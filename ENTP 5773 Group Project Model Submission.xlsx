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abhis\Downloads\"/>
    </mc:Choice>
  </mc:AlternateContent>
  <xr:revisionPtr revIDLastSave="0" documentId="8_{8A85D13A-5919-4B16-9F1F-AEF79077DC53}" xr6:coauthVersionLast="47" xr6:coauthVersionMax="47" xr10:uidLastSave="{00000000-0000-0000-0000-000000000000}"/>
  <bookViews>
    <workbookView xWindow="-108" yWindow="-108" windowWidth="23256" windowHeight="12576" tabRatio="730" firstSheet="2" activeTab="9" xr2:uid="{5204CF14-CC32-413D-9D2E-35069B93B426}"/>
  </bookViews>
  <sheets>
    <sheet name="Company Summary W Graphs" sheetId="10" r:id="rId1"/>
    <sheet name="Investor Table" sheetId="15" r:id="rId2"/>
    <sheet name="Rev" sheetId="1" r:id="rId3"/>
    <sheet name="Sales Rev" sheetId="17" r:id="rId4"/>
    <sheet name="Summary P&amp;L" sheetId="14" r:id="rId5"/>
    <sheet name="P&amp;L" sheetId="3" r:id="rId6"/>
    <sheet name="Balance Sheet" sheetId="5" r:id="rId7"/>
    <sheet name="HeadCount" sheetId="13" r:id="rId8"/>
    <sheet name="R&amp;D" sheetId="2" r:id="rId9"/>
    <sheet name="G&amp;A" sheetId="7" r:id="rId10"/>
    <sheet name="Sales &amp; Marketing" sheetId="4" r:id="rId11"/>
    <sheet name="CapEx" sheetId="11" r:id="rId12"/>
    <sheet name="Loan" sheetId="12" r:id="rId13"/>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42" i="7" l="1"/>
  <c r="AM42" i="7"/>
  <c r="AN42" i="7"/>
  <c r="AO42" i="7"/>
  <c r="AP42" i="7"/>
  <c r="AQ42" i="7"/>
  <c r="AR42" i="7"/>
  <c r="AS42" i="7"/>
  <c r="AT42" i="7"/>
  <c r="AU42" i="7"/>
  <c r="AV42" i="7"/>
  <c r="AW42" i="7"/>
  <c r="AX42" i="7"/>
  <c r="AY42" i="7"/>
  <c r="AZ42" i="7"/>
  <c r="BA42" i="7"/>
  <c r="BB42" i="7"/>
  <c r="BC42" i="7"/>
  <c r="BD42" i="7"/>
  <c r="BE42" i="7"/>
  <c r="BF42" i="7"/>
  <c r="BG42" i="7"/>
  <c r="BH42" i="7"/>
  <c r="BI42" i="7"/>
  <c r="BJ42" i="7"/>
  <c r="BK42" i="7"/>
  <c r="BL42" i="7"/>
  <c r="BM42" i="7"/>
  <c r="BN42" i="7"/>
  <c r="BO42" i="7"/>
  <c r="BP42" i="7"/>
  <c r="BQ42" i="7"/>
  <c r="BR42" i="7"/>
  <c r="BS42" i="7"/>
  <c r="BT42" i="7"/>
  <c r="AK42" i="7"/>
  <c r="N8" i="5"/>
  <c r="O8" i="5"/>
  <c r="P8" i="5"/>
  <c r="Q8" i="5"/>
  <c r="R8" i="5"/>
  <c r="S8" i="5"/>
  <c r="T8" i="5"/>
  <c r="U8" i="5"/>
  <c r="V8" i="5"/>
  <c r="W8" i="5"/>
  <c r="X8" i="5"/>
  <c r="Y8" i="5"/>
  <c r="Z8" i="5"/>
  <c r="AA8" i="5"/>
  <c r="AB8" i="5"/>
  <c r="AC8" i="5"/>
  <c r="AD8" i="5"/>
  <c r="AE8" i="5"/>
  <c r="AF8" i="5"/>
  <c r="AG8" i="5"/>
  <c r="AH8" i="5"/>
  <c r="AI8" i="5"/>
  <c r="AJ8" i="5"/>
  <c r="AK8" i="5"/>
  <c r="AL8" i="5"/>
  <c r="AM8" i="5"/>
  <c r="AN8" i="5"/>
  <c r="AO8" i="5"/>
  <c r="AP8" i="5"/>
  <c r="AQ8" i="5"/>
  <c r="AR8" i="5"/>
  <c r="AS8" i="5"/>
  <c r="AT8" i="5"/>
  <c r="AU8" i="5"/>
  <c r="AV8" i="5"/>
  <c r="AW8" i="5"/>
  <c r="AX8" i="5"/>
  <c r="AY8" i="5"/>
  <c r="AZ8" i="5"/>
  <c r="BA8" i="5"/>
  <c r="BB8" i="5"/>
  <c r="BC8" i="5"/>
  <c r="BD8" i="5"/>
  <c r="BE8" i="5"/>
  <c r="BF8" i="5"/>
  <c r="BG8" i="5"/>
  <c r="BH8" i="5"/>
  <c r="BI8" i="5"/>
  <c r="BJ8" i="5"/>
  <c r="BK8" i="5"/>
  <c r="BL8" i="5"/>
  <c r="BM8" i="5"/>
  <c r="BN8" i="5"/>
  <c r="BO8" i="5"/>
  <c r="BP8" i="5"/>
  <c r="BQ8" i="5"/>
  <c r="BR8" i="5"/>
  <c r="BS8" i="5"/>
  <c r="BT8" i="5"/>
  <c r="M8" i="5"/>
  <c r="N30" i="7"/>
  <c r="O30" i="7"/>
  <c r="P30" i="7"/>
  <c r="Q30" i="7"/>
  <c r="R30" i="7"/>
  <c r="S30" i="7"/>
  <c r="T30" i="7"/>
  <c r="U30" i="7"/>
  <c r="V30" i="7"/>
  <c r="W30" i="7"/>
  <c r="X30" i="7"/>
  <c r="Y30" i="7"/>
  <c r="Z30" i="7"/>
  <c r="AA30" i="7"/>
  <c r="AB30" i="7"/>
  <c r="AC30" i="7"/>
  <c r="AD30" i="7"/>
  <c r="AE30" i="7"/>
  <c r="AF30" i="7"/>
  <c r="AG30" i="7"/>
  <c r="AH30" i="7"/>
  <c r="AI30" i="7"/>
  <c r="AJ30" i="7"/>
  <c r="AK30" i="7"/>
  <c r="AL30" i="7"/>
  <c r="AM30" i="7"/>
  <c r="AN30" i="7"/>
  <c r="AO30" i="7"/>
  <c r="AP30" i="7"/>
  <c r="AQ30" i="7"/>
  <c r="AR30" i="7"/>
  <c r="AS30" i="7"/>
  <c r="AT30" i="7"/>
  <c r="AU30" i="7"/>
  <c r="AV30" i="7"/>
  <c r="AW30" i="7"/>
  <c r="AX30" i="7"/>
  <c r="AY30" i="7"/>
  <c r="AZ30" i="7"/>
  <c r="BA30" i="7"/>
  <c r="BB30" i="7"/>
  <c r="BC30" i="7"/>
  <c r="BD30" i="7"/>
  <c r="BE30" i="7"/>
  <c r="BF30" i="7"/>
  <c r="BG30" i="7"/>
  <c r="BH30" i="7"/>
  <c r="BI30" i="7"/>
  <c r="BJ30" i="7"/>
  <c r="BK30" i="7"/>
  <c r="BL30" i="7"/>
  <c r="BM30" i="7"/>
  <c r="BN30" i="7"/>
  <c r="BO30" i="7"/>
  <c r="BP30" i="7"/>
  <c r="BQ30" i="7"/>
  <c r="BR30" i="7"/>
  <c r="BS30" i="7"/>
  <c r="BT30" i="7"/>
  <c r="M30" i="7"/>
  <c r="AG64" i="7"/>
  <c r="AG62" i="7"/>
  <c r="C58" i="7"/>
  <c r="AF58" i="7"/>
  <c r="C59" i="7"/>
  <c r="AF59" i="7"/>
  <c r="C60" i="7"/>
  <c r="AF60" i="7"/>
  <c r="AF62" i="7"/>
  <c r="AE58" i="7"/>
  <c r="AE59" i="7"/>
  <c r="AE60" i="7"/>
  <c r="AE62" i="7"/>
  <c r="AD58" i="7"/>
  <c r="AD59" i="7"/>
  <c r="AD60" i="7"/>
  <c r="AD62" i="7"/>
  <c r="AC58" i="7"/>
  <c r="AC59" i="7"/>
  <c r="AC60" i="7"/>
  <c r="AC62" i="7"/>
  <c r="AB58" i="7"/>
  <c r="AB59" i="7"/>
  <c r="AB60" i="7"/>
  <c r="AB62" i="7"/>
  <c r="AA58" i="7"/>
  <c r="AA59" i="7"/>
  <c r="AA60" i="7"/>
  <c r="AA62" i="7"/>
  <c r="Z58" i="7"/>
  <c r="Z59" i="7"/>
  <c r="Z60" i="7"/>
  <c r="Z62" i="7"/>
  <c r="Y58" i="7"/>
  <c r="Y59" i="7"/>
  <c r="Y60" i="7"/>
  <c r="Y62" i="7"/>
  <c r="X58" i="7"/>
  <c r="X59" i="7"/>
  <c r="X60" i="7"/>
  <c r="X62" i="7"/>
  <c r="W58" i="7"/>
  <c r="W59" i="7"/>
  <c r="W60" i="7"/>
  <c r="W62" i="7"/>
  <c r="V58" i="7"/>
  <c r="V59" i="7"/>
  <c r="V60" i="7"/>
  <c r="V62" i="7"/>
  <c r="U58" i="7"/>
  <c r="U59" i="7"/>
  <c r="U60" i="7"/>
  <c r="U62" i="7"/>
  <c r="T58" i="7"/>
  <c r="T59" i="7"/>
  <c r="T60" i="7"/>
  <c r="T62" i="7"/>
  <c r="S58" i="7"/>
  <c r="S59" i="7"/>
  <c r="S60" i="7"/>
  <c r="S62" i="7"/>
  <c r="R58" i="7"/>
  <c r="R59" i="7"/>
  <c r="R60" i="7"/>
  <c r="R62" i="7"/>
  <c r="Q58" i="7"/>
  <c r="Q59" i="7"/>
  <c r="Q60" i="7"/>
  <c r="Q62" i="7"/>
  <c r="P58" i="7"/>
  <c r="P59" i="7"/>
  <c r="P60" i="7"/>
  <c r="P62" i="7"/>
  <c r="O58" i="7"/>
  <c r="O59" i="7"/>
  <c r="O60" i="7"/>
  <c r="O62" i="7"/>
  <c r="N58" i="7"/>
  <c r="N59" i="7"/>
  <c r="N60" i="7"/>
  <c r="N62" i="7"/>
  <c r="M58" i="7"/>
  <c r="M59" i="7"/>
  <c r="M60" i="7"/>
  <c r="M62" i="7"/>
  <c r="M64" i="7"/>
  <c r="N64" i="7"/>
  <c r="O64" i="7"/>
  <c r="P64" i="7"/>
  <c r="Q64" i="7"/>
  <c r="R64" i="7"/>
  <c r="S64" i="7"/>
  <c r="T64" i="7"/>
  <c r="U64" i="7"/>
  <c r="V64" i="7"/>
  <c r="W64" i="7"/>
  <c r="X64" i="7"/>
  <c r="Y64" i="7"/>
  <c r="Z64" i="7"/>
  <c r="AA64" i="7"/>
  <c r="AB64" i="7"/>
  <c r="AC64" i="7"/>
  <c r="AD64" i="7"/>
  <c r="AE64" i="7"/>
  <c r="AF64" i="7"/>
  <c r="AH62" i="7"/>
  <c r="AH64" i="7"/>
  <c r="AI62" i="7"/>
  <c r="AI64" i="7"/>
  <c r="AJ62" i="7"/>
  <c r="AJ64" i="7"/>
  <c r="AK62" i="7"/>
  <c r="AK64" i="7"/>
  <c r="AL62" i="7"/>
  <c r="AL64" i="7"/>
  <c r="AM62" i="7"/>
  <c r="AM64" i="7"/>
  <c r="AN62" i="7"/>
  <c r="AN64" i="7"/>
  <c r="AO62" i="7"/>
  <c r="AO64" i="7"/>
  <c r="AP62" i="7"/>
  <c r="AP64" i="7"/>
  <c r="AQ62" i="7"/>
  <c r="AQ64" i="7"/>
  <c r="AR62" i="7"/>
  <c r="AR64" i="7"/>
  <c r="AS62" i="7"/>
  <c r="AS64" i="7"/>
  <c r="AT62" i="7"/>
  <c r="AT64" i="7"/>
  <c r="AU62" i="7"/>
  <c r="AU64" i="7"/>
  <c r="AV62" i="7"/>
  <c r="AV64" i="7"/>
  <c r="AW62" i="7"/>
  <c r="AW64" i="7"/>
  <c r="AX62" i="7"/>
  <c r="AX64" i="7"/>
  <c r="AY62" i="7"/>
  <c r="AY64" i="7"/>
  <c r="AZ62" i="7"/>
  <c r="AZ64" i="7"/>
  <c r="BA62" i="7"/>
  <c r="BA64" i="7"/>
  <c r="BB62" i="7"/>
  <c r="BB64" i="7"/>
  <c r="BC62" i="7"/>
  <c r="BC64" i="7"/>
  <c r="BD62" i="7"/>
  <c r="BD64" i="7"/>
  <c r="BE62" i="7"/>
  <c r="BE64" i="7"/>
  <c r="BF62" i="7"/>
  <c r="BF64" i="7"/>
  <c r="BG62" i="7"/>
  <c r="BG64" i="7"/>
  <c r="BH62" i="7"/>
  <c r="BH64" i="7"/>
  <c r="BI62" i="7"/>
  <c r="BI64" i="7"/>
  <c r="BJ62" i="7"/>
  <c r="BJ64" i="7"/>
  <c r="BK62" i="7"/>
  <c r="BK64" i="7"/>
  <c r="BL62" i="7"/>
  <c r="BL64" i="7"/>
  <c r="BM62" i="7"/>
  <c r="BM64" i="7"/>
  <c r="BN62" i="7"/>
  <c r="BN64" i="7"/>
  <c r="BO62" i="7"/>
  <c r="BO64" i="7"/>
  <c r="BP62" i="7"/>
  <c r="BP64" i="7"/>
  <c r="BQ62" i="7"/>
  <c r="BQ64" i="7"/>
  <c r="BR62" i="7"/>
  <c r="BR64" i="7"/>
  <c r="BS62" i="7"/>
  <c r="BS64" i="7"/>
  <c r="BT62" i="7"/>
  <c r="BT64" i="7"/>
  <c r="S21" i="1"/>
  <c r="N16" i="5"/>
  <c r="O16" i="5"/>
  <c r="P16" i="5"/>
  <c r="Q16" i="5"/>
  <c r="R16" i="5"/>
  <c r="S16" i="5"/>
  <c r="T16" i="5"/>
  <c r="U16" i="5"/>
  <c r="V16" i="5"/>
  <c r="W16" i="5"/>
  <c r="X16" i="5"/>
  <c r="Y16" i="5"/>
  <c r="Z16" i="5"/>
  <c r="AA16" i="5"/>
  <c r="AB16" i="5"/>
  <c r="AC16" i="5"/>
  <c r="AD16" i="5"/>
  <c r="AE16" i="5"/>
  <c r="AF16" i="5"/>
  <c r="AG16" i="5"/>
  <c r="AH16" i="5"/>
  <c r="AI16" i="5"/>
  <c r="AJ16" i="5"/>
  <c r="AK16" i="5"/>
  <c r="AL16" i="5"/>
  <c r="AM16" i="5"/>
  <c r="AN16" i="5"/>
  <c r="AO16" i="5"/>
  <c r="AP16" i="5"/>
  <c r="AQ16" i="5"/>
  <c r="AR16" i="5"/>
  <c r="AS16" i="5"/>
  <c r="AT16" i="5"/>
  <c r="AU16" i="5"/>
  <c r="AV16" i="5"/>
  <c r="AW16" i="5"/>
  <c r="AX16" i="5"/>
  <c r="AY16" i="5"/>
  <c r="AZ16" i="5"/>
  <c r="BA16" i="5"/>
  <c r="BB16" i="5"/>
  <c r="BC16" i="5"/>
  <c r="BD16" i="5"/>
  <c r="BE16" i="5"/>
  <c r="BF16" i="5"/>
  <c r="BG16" i="5"/>
  <c r="BH16" i="5"/>
  <c r="BI16" i="5"/>
  <c r="BJ16" i="5"/>
  <c r="BK16" i="5"/>
  <c r="BL16" i="5"/>
  <c r="BM16" i="5"/>
  <c r="BN16" i="5"/>
  <c r="BO16" i="5"/>
  <c r="BP16" i="5"/>
  <c r="BQ16" i="5"/>
  <c r="BR16" i="5"/>
  <c r="BS16" i="5"/>
  <c r="BT16" i="5"/>
  <c r="M16" i="5"/>
  <c r="O7" i="7"/>
  <c r="P7" i="7"/>
  <c r="Q7" i="7"/>
  <c r="R7" i="7"/>
  <c r="S7" i="7"/>
  <c r="T7" i="7"/>
  <c r="U7" i="7"/>
  <c r="V7" i="7"/>
  <c r="W7" i="7"/>
  <c r="X7" i="7"/>
  <c r="Y7" i="7"/>
  <c r="Z7" i="7"/>
  <c r="AA7" i="7"/>
  <c r="AB7" i="7"/>
  <c r="AC7" i="7"/>
  <c r="AD7" i="7"/>
  <c r="AE7" i="7"/>
  <c r="AF7" i="7"/>
  <c r="AG7" i="7"/>
  <c r="AH7" i="7"/>
  <c r="AI7" i="7"/>
  <c r="AJ7" i="7"/>
  <c r="AK7" i="7"/>
  <c r="AL7" i="7"/>
  <c r="AM7" i="7"/>
  <c r="AN7" i="7"/>
  <c r="AO7" i="7"/>
  <c r="AP7" i="7"/>
  <c r="AQ7" i="7"/>
  <c r="AR7" i="7"/>
  <c r="AS7" i="7"/>
  <c r="AT7" i="7"/>
  <c r="AU7" i="7"/>
  <c r="AV7" i="7"/>
  <c r="AW7" i="7"/>
  <c r="AX7" i="7"/>
  <c r="AY7" i="7"/>
  <c r="AZ7" i="7"/>
  <c r="BA7" i="7"/>
  <c r="BB7" i="7"/>
  <c r="BC7" i="7"/>
  <c r="BD7" i="7"/>
  <c r="BE7" i="7"/>
  <c r="BF7" i="7"/>
  <c r="BG7" i="7"/>
  <c r="BH7" i="7"/>
  <c r="BI7" i="7"/>
  <c r="BJ7" i="7"/>
  <c r="BK7" i="7"/>
  <c r="BL7" i="7"/>
  <c r="BM7" i="7"/>
  <c r="BN7" i="7"/>
  <c r="BO7" i="7"/>
  <c r="BP7" i="7"/>
  <c r="BQ7" i="7"/>
  <c r="BR7" i="7"/>
  <c r="BS7" i="7"/>
  <c r="BT7" i="7"/>
  <c r="N7" i="7"/>
  <c r="N38" i="7"/>
  <c r="N39" i="7"/>
  <c r="N40" i="7"/>
  <c r="N54" i="7"/>
  <c r="N6" i="7"/>
  <c r="N8" i="7"/>
  <c r="O38" i="7"/>
  <c r="O39" i="7"/>
  <c r="O40" i="7"/>
  <c r="O54" i="7"/>
  <c r="O6" i="7"/>
  <c r="O8" i="7"/>
  <c r="P38" i="7"/>
  <c r="P39" i="7"/>
  <c r="P40" i="7"/>
  <c r="P54" i="7"/>
  <c r="P6" i="7"/>
  <c r="P8" i="7"/>
  <c r="Q38" i="7"/>
  <c r="Q39" i="7"/>
  <c r="Q40" i="7"/>
  <c r="Q54" i="7"/>
  <c r="Q6" i="7"/>
  <c r="Q8" i="7"/>
  <c r="R38" i="7"/>
  <c r="R39" i="7"/>
  <c r="R40" i="7"/>
  <c r="R54" i="7"/>
  <c r="R6" i="7"/>
  <c r="R8" i="7"/>
  <c r="S38" i="7"/>
  <c r="S39" i="7"/>
  <c r="S40" i="7"/>
  <c r="S54" i="7"/>
  <c r="S6" i="7"/>
  <c r="S8" i="7"/>
  <c r="T38" i="7"/>
  <c r="T39" i="7"/>
  <c r="T40" i="7"/>
  <c r="T54" i="7"/>
  <c r="T6" i="7"/>
  <c r="T8" i="7"/>
  <c r="U38" i="7"/>
  <c r="U39" i="7"/>
  <c r="U40" i="7"/>
  <c r="U50" i="7"/>
  <c r="U54" i="7"/>
  <c r="U6" i="7"/>
  <c r="U8" i="7"/>
  <c r="V38" i="7"/>
  <c r="V39" i="7"/>
  <c r="V40" i="7"/>
  <c r="V50" i="7"/>
  <c r="V54" i="7"/>
  <c r="V6" i="7"/>
  <c r="V8" i="7"/>
  <c r="W38" i="7"/>
  <c r="W39" i="7"/>
  <c r="W40" i="7"/>
  <c r="W50" i="7"/>
  <c r="W54" i="7"/>
  <c r="W6" i="7"/>
  <c r="W8" i="7"/>
  <c r="X38" i="7"/>
  <c r="X39" i="7"/>
  <c r="X40" i="7"/>
  <c r="X50" i="7"/>
  <c r="X54" i="7"/>
  <c r="X6" i="7"/>
  <c r="X8" i="7"/>
  <c r="Y38" i="7"/>
  <c r="Y39" i="7"/>
  <c r="Y40" i="7"/>
  <c r="Y43" i="7"/>
  <c r="Y50" i="7"/>
  <c r="Y51" i="7"/>
  <c r="Y54" i="7"/>
  <c r="Y6" i="7"/>
  <c r="Y8" i="7"/>
  <c r="Z38" i="7"/>
  <c r="Z39" i="7"/>
  <c r="Z40" i="7"/>
  <c r="Z43" i="7"/>
  <c r="Z50" i="7"/>
  <c r="Z51" i="7"/>
  <c r="Z54" i="7"/>
  <c r="Z6" i="7"/>
  <c r="Z8" i="7"/>
  <c r="AA38" i="7"/>
  <c r="AA39" i="7"/>
  <c r="AA40" i="7"/>
  <c r="AA41" i="7"/>
  <c r="AA43" i="7"/>
  <c r="AA50" i="7"/>
  <c r="AA51" i="7"/>
  <c r="AA54" i="7"/>
  <c r="AA6" i="7"/>
  <c r="AA8" i="7"/>
  <c r="AB38" i="7"/>
  <c r="AB39" i="7"/>
  <c r="AB40" i="7"/>
  <c r="AB41" i="7"/>
  <c r="AB43" i="7"/>
  <c r="AB44" i="7"/>
  <c r="AB45" i="7"/>
  <c r="AB46" i="7"/>
  <c r="AB50" i="7"/>
  <c r="AB51" i="7"/>
  <c r="AB54" i="7"/>
  <c r="AB6" i="7"/>
  <c r="AB8" i="7"/>
  <c r="AC38" i="7"/>
  <c r="AC39" i="7"/>
  <c r="AC40" i="7"/>
  <c r="AC41" i="7"/>
  <c r="AC43" i="7"/>
  <c r="AC44" i="7"/>
  <c r="AC45" i="7"/>
  <c r="AC46" i="7"/>
  <c r="AC50" i="7"/>
  <c r="AC51" i="7"/>
  <c r="AC54" i="7"/>
  <c r="AC6" i="7"/>
  <c r="AC8" i="7"/>
  <c r="AD38" i="7"/>
  <c r="AD39" i="7"/>
  <c r="AD40" i="7"/>
  <c r="AD41" i="7"/>
  <c r="AD43" i="7"/>
  <c r="AD44" i="7"/>
  <c r="AD45" i="7"/>
  <c r="AD46" i="7"/>
  <c r="AD50" i="7"/>
  <c r="AD51" i="7"/>
  <c r="AD54" i="7"/>
  <c r="AD6" i="7"/>
  <c r="AD8" i="7"/>
  <c r="AE38" i="7"/>
  <c r="AE39" i="7"/>
  <c r="AE40" i="7"/>
  <c r="AE41" i="7"/>
  <c r="AE43" i="7"/>
  <c r="AE44" i="7"/>
  <c r="AE45" i="7"/>
  <c r="AE46" i="7"/>
  <c r="AE50" i="7"/>
  <c r="AE51" i="7"/>
  <c r="AE54" i="7"/>
  <c r="AE6" i="7"/>
  <c r="AE8" i="7"/>
  <c r="AF38" i="7"/>
  <c r="AF39" i="7"/>
  <c r="AF40" i="7"/>
  <c r="AF41" i="7"/>
  <c r="AF43" i="7"/>
  <c r="AF44" i="7"/>
  <c r="AF45" i="7"/>
  <c r="AF46" i="7"/>
  <c r="AF50" i="7"/>
  <c r="AF51" i="7"/>
  <c r="AF54" i="7"/>
  <c r="AF6" i="7"/>
  <c r="AF8" i="7"/>
  <c r="AG38" i="7"/>
  <c r="AG39" i="7"/>
  <c r="AG40" i="7"/>
  <c r="AG41" i="7"/>
  <c r="AG43" i="7"/>
  <c r="AG44" i="7"/>
  <c r="AG45" i="7"/>
  <c r="AG46" i="7"/>
  <c r="AG50" i="7"/>
  <c r="AG51" i="7"/>
  <c r="AG54" i="7"/>
  <c r="AG6" i="7"/>
  <c r="AG8" i="7"/>
  <c r="AH38" i="7"/>
  <c r="AH39" i="7"/>
  <c r="AH40" i="7"/>
  <c r="AH41" i="7"/>
  <c r="AH43" i="7"/>
  <c r="AH44" i="7"/>
  <c r="AH45" i="7"/>
  <c r="AH46" i="7"/>
  <c r="AH50" i="7"/>
  <c r="AH51" i="7"/>
  <c r="AH54" i="7"/>
  <c r="AH6" i="7"/>
  <c r="AH8" i="7"/>
  <c r="AI38" i="7"/>
  <c r="AI39" i="7"/>
  <c r="AI40" i="7"/>
  <c r="AI41" i="7"/>
  <c r="AI43" i="7"/>
  <c r="AI44" i="7"/>
  <c r="AI45" i="7"/>
  <c r="AI46" i="7"/>
  <c r="AI50" i="7"/>
  <c r="AI51" i="7"/>
  <c r="AI54" i="7"/>
  <c r="AI6" i="7"/>
  <c r="AI8" i="7"/>
  <c r="AJ38" i="7"/>
  <c r="AJ39" i="7"/>
  <c r="AJ40" i="7"/>
  <c r="AJ41" i="7"/>
  <c r="AJ43" i="7"/>
  <c r="AJ44" i="7"/>
  <c r="AJ45" i="7"/>
  <c r="AJ46" i="7"/>
  <c r="AJ50" i="7"/>
  <c r="AJ51" i="7"/>
  <c r="AJ54" i="7"/>
  <c r="AJ6" i="7"/>
  <c r="AJ8" i="7"/>
  <c r="AK38" i="7"/>
  <c r="AK39" i="7"/>
  <c r="AK40" i="7"/>
  <c r="AK41" i="7"/>
  <c r="AK43" i="7"/>
  <c r="AK44" i="7"/>
  <c r="AK45" i="7"/>
  <c r="AK46" i="7"/>
  <c r="AK50" i="7"/>
  <c r="AK51" i="7"/>
  <c r="AK52" i="7"/>
  <c r="AK54" i="7"/>
  <c r="AK6" i="7"/>
  <c r="AK8" i="7"/>
  <c r="AL38" i="7"/>
  <c r="AL39" i="7"/>
  <c r="AL40" i="7"/>
  <c r="AL41" i="7"/>
  <c r="AL43" i="7"/>
  <c r="AL44" i="7"/>
  <c r="AL45" i="7"/>
  <c r="AL46" i="7"/>
  <c r="AL50" i="7"/>
  <c r="AL51" i="7"/>
  <c r="AL52" i="7"/>
  <c r="AL54" i="7"/>
  <c r="AL6" i="7"/>
  <c r="AL8" i="7"/>
  <c r="AM38" i="7"/>
  <c r="AM39" i="7"/>
  <c r="AM40" i="7"/>
  <c r="AM41" i="7"/>
  <c r="AM43" i="7"/>
  <c r="AM44" i="7"/>
  <c r="AM45" i="7"/>
  <c r="AM46" i="7"/>
  <c r="AM50" i="7"/>
  <c r="AM51" i="7"/>
  <c r="AM52" i="7"/>
  <c r="AM54" i="7"/>
  <c r="AM6" i="7"/>
  <c r="AM8" i="7"/>
  <c r="AN38" i="7"/>
  <c r="AN39" i="7"/>
  <c r="AN40" i="7"/>
  <c r="AN41" i="7"/>
  <c r="AN43" i="7"/>
  <c r="AN44" i="7"/>
  <c r="AN45" i="7"/>
  <c r="AN46" i="7"/>
  <c r="AN50" i="7"/>
  <c r="AN51" i="7"/>
  <c r="AN52" i="7"/>
  <c r="AN54" i="7"/>
  <c r="AN6" i="7"/>
  <c r="AN8" i="7"/>
  <c r="AO38" i="7"/>
  <c r="AO39" i="7"/>
  <c r="AO40" i="7"/>
  <c r="AO41" i="7"/>
  <c r="AO43" i="7"/>
  <c r="AO44" i="7"/>
  <c r="AO45" i="7"/>
  <c r="AO46" i="7"/>
  <c r="AO50" i="7"/>
  <c r="AO51" i="7"/>
  <c r="AO52" i="7"/>
  <c r="AO54" i="7"/>
  <c r="AO6" i="7"/>
  <c r="AO8" i="7"/>
  <c r="AP38" i="7"/>
  <c r="AP39" i="7"/>
  <c r="AP40" i="7"/>
  <c r="AP41" i="7"/>
  <c r="AP43" i="7"/>
  <c r="AP44" i="7"/>
  <c r="AP45" i="7"/>
  <c r="AP46" i="7"/>
  <c r="AP50" i="7"/>
  <c r="AP51" i="7"/>
  <c r="AP52" i="7"/>
  <c r="AP54" i="7"/>
  <c r="AP6" i="7"/>
  <c r="AP8" i="7"/>
  <c r="AQ38" i="7"/>
  <c r="AQ39" i="7"/>
  <c r="AQ40" i="7"/>
  <c r="AQ41" i="7"/>
  <c r="AQ43" i="7"/>
  <c r="AQ44" i="7"/>
  <c r="AQ45" i="7"/>
  <c r="AQ46" i="7"/>
  <c r="AQ50" i="7"/>
  <c r="AQ51" i="7"/>
  <c r="AQ52" i="7"/>
  <c r="AQ54" i="7"/>
  <c r="AQ6" i="7"/>
  <c r="AQ8" i="7"/>
  <c r="AR38" i="7"/>
  <c r="AR39" i="7"/>
  <c r="AR40" i="7"/>
  <c r="AR41" i="7"/>
  <c r="AR43" i="7"/>
  <c r="AR44" i="7"/>
  <c r="AR45" i="7"/>
  <c r="AR46" i="7"/>
  <c r="AR50" i="7"/>
  <c r="AR51" i="7"/>
  <c r="AR52" i="7"/>
  <c r="AR54" i="7"/>
  <c r="AR6" i="7"/>
  <c r="AR8" i="7"/>
  <c r="AS38" i="7"/>
  <c r="AS39" i="7"/>
  <c r="AS40" i="7"/>
  <c r="AS41" i="7"/>
  <c r="AS43" i="7"/>
  <c r="AS44" i="7"/>
  <c r="AS45" i="7"/>
  <c r="AS46" i="7"/>
  <c r="AS50" i="7"/>
  <c r="AS51" i="7"/>
  <c r="AS52" i="7"/>
  <c r="AS54" i="7"/>
  <c r="AS6" i="7"/>
  <c r="AS8" i="7"/>
  <c r="AT38" i="7"/>
  <c r="AT39" i="7"/>
  <c r="AT40" i="7"/>
  <c r="AT41" i="7"/>
  <c r="AT43" i="7"/>
  <c r="AT44" i="7"/>
  <c r="AT45" i="7"/>
  <c r="AT46" i="7"/>
  <c r="AT50" i="7"/>
  <c r="AT51" i="7"/>
  <c r="AT52" i="7"/>
  <c r="AT54" i="7"/>
  <c r="AT6" i="7"/>
  <c r="AT8" i="7"/>
  <c r="AU38" i="7"/>
  <c r="AU39" i="7"/>
  <c r="AU40" i="7"/>
  <c r="AU41" i="7"/>
  <c r="AU43" i="7"/>
  <c r="AU44" i="7"/>
  <c r="AU45" i="7"/>
  <c r="AU46" i="7"/>
  <c r="AU50" i="7"/>
  <c r="AU51" i="7"/>
  <c r="AU52" i="7"/>
  <c r="AU54" i="7"/>
  <c r="AU6" i="7"/>
  <c r="AU8" i="7"/>
  <c r="AV38" i="7"/>
  <c r="AV39" i="7"/>
  <c r="AV40" i="7"/>
  <c r="AV41" i="7"/>
  <c r="AV43" i="7"/>
  <c r="AV44" i="7"/>
  <c r="AV45" i="7"/>
  <c r="AV46" i="7"/>
  <c r="AV50" i="7"/>
  <c r="AV51" i="7"/>
  <c r="AV52" i="7"/>
  <c r="AV54" i="7"/>
  <c r="AV6" i="7"/>
  <c r="AV8" i="7"/>
  <c r="AW38" i="7"/>
  <c r="AW39" i="7"/>
  <c r="AW40" i="7"/>
  <c r="AW41" i="7"/>
  <c r="AW43" i="7"/>
  <c r="AW44" i="7"/>
  <c r="AW45" i="7"/>
  <c r="AW46" i="7"/>
  <c r="AW47" i="7"/>
  <c r="AW48" i="7"/>
  <c r="AW49" i="7"/>
  <c r="AW50" i="7"/>
  <c r="AW51" i="7"/>
  <c r="AW52" i="7"/>
  <c r="AW54" i="7"/>
  <c r="AW6" i="7"/>
  <c r="AW8" i="7"/>
  <c r="AX38" i="7"/>
  <c r="AX39" i="7"/>
  <c r="AX40" i="7"/>
  <c r="AX41" i="7"/>
  <c r="AX43" i="7"/>
  <c r="AX44" i="7"/>
  <c r="AX45" i="7"/>
  <c r="AX46" i="7"/>
  <c r="AX47" i="7"/>
  <c r="AX48" i="7"/>
  <c r="AX49" i="7"/>
  <c r="AX50" i="7"/>
  <c r="AX51" i="7"/>
  <c r="AX52" i="7"/>
  <c r="AX54" i="7"/>
  <c r="AX6" i="7"/>
  <c r="AX8" i="7"/>
  <c r="AY38" i="7"/>
  <c r="AY39" i="7"/>
  <c r="AY40" i="7"/>
  <c r="AY41" i="7"/>
  <c r="AY43" i="7"/>
  <c r="AY44" i="7"/>
  <c r="AY45" i="7"/>
  <c r="AY46" i="7"/>
  <c r="AY47" i="7"/>
  <c r="AY48" i="7"/>
  <c r="AY49" i="7"/>
  <c r="AY50" i="7"/>
  <c r="AY51" i="7"/>
  <c r="AY52" i="7"/>
  <c r="AY54" i="7"/>
  <c r="AY6" i="7"/>
  <c r="AY8" i="7"/>
  <c r="AZ38" i="7"/>
  <c r="AZ39" i="7"/>
  <c r="AZ40" i="7"/>
  <c r="AZ41" i="7"/>
  <c r="AZ43" i="7"/>
  <c r="AZ44" i="7"/>
  <c r="AZ45" i="7"/>
  <c r="AZ46" i="7"/>
  <c r="AZ47" i="7"/>
  <c r="AZ48" i="7"/>
  <c r="AZ49" i="7"/>
  <c r="AZ50" i="7"/>
  <c r="AZ51" i="7"/>
  <c r="AZ52" i="7"/>
  <c r="AZ54" i="7"/>
  <c r="AZ6" i="7"/>
  <c r="AZ8" i="7"/>
  <c r="BA38" i="7"/>
  <c r="BA39" i="7"/>
  <c r="BA40" i="7"/>
  <c r="BA41" i="7"/>
  <c r="BA43" i="7"/>
  <c r="BA44" i="7"/>
  <c r="BA45" i="7"/>
  <c r="BA46" i="7"/>
  <c r="BA47" i="7"/>
  <c r="BA48" i="7"/>
  <c r="BA49" i="7"/>
  <c r="BA50" i="7"/>
  <c r="BA51" i="7"/>
  <c r="BA52" i="7"/>
  <c r="BA54" i="7"/>
  <c r="BA6" i="7"/>
  <c r="BA8" i="7"/>
  <c r="BB38" i="7"/>
  <c r="BB39" i="7"/>
  <c r="BB40" i="7"/>
  <c r="BB41" i="7"/>
  <c r="BB43" i="7"/>
  <c r="BB44" i="7"/>
  <c r="BB45" i="7"/>
  <c r="BB46" i="7"/>
  <c r="BB47" i="7"/>
  <c r="BB48" i="7"/>
  <c r="BB49" i="7"/>
  <c r="BB50" i="7"/>
  <c r="BB51" i="7"/>
  <c r="BB52" i="7"/>
  <c r="BB54" i="7"/>
  <c r="BB6" i="7"/>
  <c r="BB8" i="7"/>
  <c r="BC38" i="7"/>
  <c r="BC39" i="7"/>
  <c r="BC40" i="7"/>
  <c r="BC41" i="7"/>
  <c r="BC43" i="7"/>
  <c r="BC44" i="7"/>
  <c r="BC45" i="7"/>
  <c r="BC46" i="7"/>
  <c r="BC47" i="7"/>
  <c r="BC48" i="7"/>
  <c r="BC49" i="7"/>
  <c r="BC50" i="7"/>
  <c r="BC51" i="7"/>
  <c r="BC52" i="7"/>
  <c r="BC54" i="7"/>
  <c r="BC6" i="7"/>
  <c r="BC8" i="7"/>
  <c r="BD38" i="7"/>
  <c r="BD39" i="7"/>
  <c r="BD40" i="7"/>
  <c r="BD41" i="7"/>
  <c r="BD43" i="7"/>
  <c r="BD44" i="7"/>
  <c r="BD45" i="7"/>
  <c r="BD46" i="7"/>
  <c r="BD47" i="7"/>
  <c r="BD48" i="7"/>
  <c r="BD49" i="7"/>
  <c r="BD50" i="7"/>
  <c r="BD51" i="7"/>
  <c r="BD52" i="7"/>
  <c r="BD54" i="7"/>
  <c r="BD6" i="7"/>
  <c r="BD8" i="7"/>
  <c r="BE38" i="7"/>
  <c r="BE39" i="7"/>
  <c r="BE40" i="7"/>
  <c r="BE41" i="7"/>
  <c r="BE43" i="7"/>
  <c r="BE44" i="7"/>
  <c r="BE45" i="7"/>
  <c r="BE46" i="7"/>
  <c r="BE47" i="7"/>
  <c r="BE48" i="7"/>
  <c r="BE49" i="7"/>
  <c r="BE50" i="7"/>
  <c r="BE51" i="7"/>
  <c r="BE52" i="7"/>
  <c r="BE54" i="7"/>
  <c r="BE6" i="7"/>
  <c r="BE8" i="7"/>
  <c r="BF38" i="7"/>
  <c r="BF39" i="7"/>
  <c r="BF40" i="7"/>
  <c r="BF41" i="7"/>
  <c r="BF43" i="7"/>
  <c r="BF44" i="7"/>
  <c r="BF45" i="7"/>
  <c r="BF46" i="7"/>
  <c r="BF47" i="7"/>
  <c r="BF48" i="7"/>
  <c r="BF49" i="7"/>
  <c r="BF50" i="7"/>
  <c r="BF51" i="7"/>
  <c r="BF52" i="7"/>
  <c r="BF54" i="7"/>
  <c r="BF6" i="7"/>
  <c r="BF8" i="7"/>
  <c r="BG38" i="7"/>
  <c r="BG39" i="7"/>
  <c r="BG40" i="7"/>
  <c r="BG41" i="7"/>
  <c r="BG43" i="7"/>
  <c r="BG44" i="7"/>
  <c r="BG45" i="7"/>
  <c r="BG46" i="7"/>
  <c r="BG47" i="7"/>
  <c r="BG48" i="7"/>
  <c r="BG49" i="7"/>
  <c r="BG50" i="7"/>
  <c r="BG51" i="7"/>
  <c r="BG52" i="7"/>
  <c r="BG54" i="7"/>
  <c r="BG6" i="7"/>
  <c r="BG8" i="7"/>
  <c r="BH38" i="7"/>
  <c r="BH39" i="7"/>
  <c r="BH40" i="7"/>
  <c r="BH41" i="7"/>
  <c r="BH43" i="7"/>
  <c r="BH44" i="7"/>
  <c r="BH45" i="7"/>
  <c r="BH46" i="7"/>
  <c r="BH47" i="7"/>
  <c r="BH48" i="7"/>
  <c r="BH49" i="7"/>
  <c r="BH50" i="7"/>
  <c r="BH51" i="7"/>
  <c r="BH52" i="7"/>
  <c r="BH54" i="7"/>
  <c r="BH6" i="7"/>
  <c r="BH8" i="7"/>
  <c r="BI38" i="7"/>
  <c r="BI39" i="7"/>
  <c r="BI40" i="7"/>
  <c r="BI41" i="7"/>
  <c r="BI43" i="7"/>
  <c r="BI44" i="7"/>
  <c r="BI45" i="7"/>
  <c r="BI46" i="7"/>
  <c r="BI47" i="7"/>
  <c r="BI48" i="7"/>
  <c r="BI49" i="7"/>
  <c r="BI50" i="7"/>
  <c r="BI51" i="7"/>
  <c r="BI52" i="7"/>
  <c r="BI54" i="7"/>
  <c r="BI6" i="7"/>
  <c r="BI8" i="7"/>
  <c r="BJ38" i="7"/>
  <c r="BJ39" i="7"/>
  <c r="BJ40" i="7"/>
  <c r="BJ41" i="7"/>
  <c r="BJ43" i="7"/>
  <c r="BJ44" i="7"/>
  <c r="BJ45" i="7"/>
  <c r="BJ46" i="7"/>
  <c r="BJ47" i="7"/>
  <c r="BJ48" i="7"/>
  <c r="BJ49" i="7"/>
  <c r="BJ50" i="7"/>
  <c r="BJ51" i="7"/>
  <c r="BJ52" i="7"/>
  <c r="BJ54" i="7"/>
  <c r="BJ6" i="7"/>
  <c r="BJ8" i="7"/>
  <c r="BK38" i="7"/>
  <c r="BK39" i="7"/>
  <c r="BK40" i="7"/>
  <c r="BK41" i="7"/>
  <c r="BK43" i="7"/>
  <c r="BK44" i="7"/>
  <c r="BK45" i="7"/>
  <c r="BK46" i="7"/>
  <c r="BK47" i="7"/>
  <c r="BK48" i="7"/>
  <c r="BK49" i="7"/>
  <c r="BK50" i="7"/>
  <c r="BK51" i="7"/>
  <c r="BK52" i="7"/>
  <c r="BK54" i="7"/>
  <c r="BK6" i="7"/>
  <c r="BK8" i="7"/>
  <c r="BL38" i="7"/>
  <c r="BL39" i="7"/>
  <c r="BL40" i="7"/>
  <c r="BL41" i="7"/>
  <c r="BL43" i="7"/>
  <c r="BL44" i="7"/>
  <c r="BL45" i="7"/>
  <c r="BL46" i="7"/>
  <c r="BL47" i="7"/>
  <c r="BL48" i="7"/>
  <c r="BL49" i="7"/>
  <c r="BL50" i="7"/>
  <c r="BL51" i="7"/>
  <c r="BL52" i="7"/>
  <c r="BL54" i="7"/>
  <c r="BL6" i="7"/>
  <c r="BL8" i="7"/>
  <c r="BM38" i="7"/>
  <c r="BM39" i="7"/>
  <c r="BM40" i="7"/>
  <c r="BM41" i="7"/>
  <c r="BM43" i="7"/>
  <c r="BM44" i="7"/>
  <c r="BM45" i="7"/>
  <c r="BM46" i="7"/>
  <c r="BM47" i="7"/>
  <c r="BM48" i="7"/>
  <c r="BM49" i="7"/>
  <c r="BM50" i="7"/>
  <c r="BM51" i="7"/>
  <c r="BM52" i="7"/>
  <c r="BM54" i="7"/>
  <c r="BM6" i="7"/>
  <c r="BM8" i="7"/>
  <c r="BN38" i="7"/>
  <c r="BN39" i="7"/>
  <c r="BN40" i="7"/>
  <c r="BN41" i="7"/>
  <c r="BN43" i="7"/>
  <c r="BN44" i="7"/>
  <c r="BN45" i="7"/>
  <c r="BN46" i="7"/>
  <c r="BN47" i="7"/>
  <c r="BN48" i="7"/>
  <c r="BN49" i="7"/>
  <c r="BN50" i="7"/>
  <c r="BN51" i="7"/>
  <c r="BN52" i="7"/>
  <c r="BN54" i="7"/>
  <c r="BN6" i="7"/>
  <c r="BN8" i="7"/>
  <c r="BO38" i="7"/>
  <c r="BO39" i="7"/>
  <c r="BO40" i="7"/>
  <c r="BO41" i="7"/>
  <c r="BO43" i="7"/>
  <c r="BO44" i="7"/>
  <c r="BO45" i="7"/>
  <c r="BO46" i="7"/>
  <c r="BO47" i="7"/>
  <c r="BO48" i="7"/>
  <c r="BO49" i="7"/>
  <c r="BO50" i="7"/>
  <c r="BO51" i="7"/>
  <c r="BO52" i="7"/>
  <c r="BO54" i="7"/>
  <c r="BO6" i="7"/>
  <c r="BO8" i="7"/>
  <c r="BP38" i="7"/>
  <c r="BP39" i="7"/>
  <c r="BP40" i="7"/>
  <c r="BP41" i="7"/>
  <c r="BP43" i="7"/>
  <c r="BP44" i="7"/>
  <c r="BP45" i="7"/>
  <c r="BP46" i="7"/>
  <c r="BP47" i="7"/>
  <c r="BP48" i="7"/>
  <c r="BP49" i="7"/>
  <c r="BP50" i="7"/>
  <c r="BP51" i="7"/>
  <c r="BP52" i="7"/>
  <c r="BP54" i="7"/>
  <c r="BP6" i="7"/>
  <c r="BP8" i="7"/>
  <c r="BQ38" i="7"/>
  <c r="BQ39" i="7"/>
  <c r="BQ40" i="7"/>
  <c r="BQ41" i="7"/>
  <c r="BQ43" i="7"/>
  <c r="BQ44" i="7"/>
  <c r="BQ45" i="7"/>
  <c r="BQ46" i="7"/>
  <c r="BQ47" i="7"/>
  <c r="BQ48" i="7"/>
  <c r="BQ49" i="7"/>
  <c r="BQ50" i="7"/>
  <c r="BQ51" i="7"/>
  <c r="BQ52" i="7"/>
  <c r="BQ54" i="7"/>
  <c r="BQ6" i="7"/>
  <c r="BQ8" i="7"/>
  <c r="BR38" i="7"/>
  <c r="BR39" i="7"/>
  <c r="BR40" i="7"/>
  <c r="BR41" i="7"/>
  <c r="BR43" i="7"/>
  <c r="BR44" i="7"/>
  <c r="BR45" i="7"/>
  <c r="BR46" i="7"/>
  <c r="BR47" i="7"/>
  <c r="BR48" i="7"/>
  <c r="BR49" i="7"/>
  <c r="BR50" i="7"/>
  <c r="BR51" i="7"/>
  <c r="BR52" i="7"/>
  <c r="BR54" i="7"/>
  <c r="BR6" i="7"/>
  <c r="BR8" i="7"/>
  <c r="BS38" i="7"/>
  <c r="BS39" i="7"/>
  <c r="BS40" i="7"/>
  <c r="BS41" i="7"/>
  <c r="BS43" i="7"/>
  <c r="BS44" i="7"/>
  <c r="BS45" i="7"/>
  <c r="BS46" i="7"/>
  <c r="BS47" i="7"/>
  <c r="BS48" i="7"/>
  <c r="BS49" i="7"/>
  <c r="BS50" i="7"/>
  <c r="BS51" i="7"/>
  <c r="BS52" i="7"/>
  <c r="BS54" i="7"/>
  <c r="BS6" i="7"/>
  <c r="BS8" i="7"/>
  <c r="BT38" i="7"/>
  <c r="BT39" i="7"/>
  <c r="BT40" i="7"/>
  <c r="BT41" i="7"/>
  <c r="BT43" i="7"/>
  <c r="BT44" i="7"/>
  <c r="BT45" i="7"/>
  <c r="BT46" i="7"/>
  <c r="BT47" i="7"/>
  <c r="BT48" i="7"/>
  <c r="BT49" i="7"/>
  <c r="BT50" i="7"/>
  <c r="BT51" i="7"/>
  <c r="BT52" i="7"/>
  <c r="BT54" i="7"/>
  <c r="BT6" i="7"/>
  <c r="BT8" i="7"/>
  <c r="M38" i="7"/>
  <c r="M39" i="7"/>
  <c r="M40" i="7"/>
  <c r="M54" i="7"/>
  <c r="M6" i="7"/>
  <c r="M8" i="7"/>
  <c r="M7" i="7"/>
  <c r="N74" i="3"/>
  <c r="O74" i="3"/>
  <c r="P74" i="3"/>
  <c r="Q74" i="3"/>
  <c r="R74" i="3"/>
  <c r="S74" i="3"/>
  <c r="T74" i="3"/>
  <c r="U74" i="3"/>
  <c r="V74" i="3"/>
  <c r="W74" i="3"/>
  <c r="X74" i="3"/>
  <c r="Y74" i="3"/>
  <c r="Z74" i="3"/>
  <c r="AA74" i="3"/>
  <c r="AB74" i="3"/>
  <c r="AC74" i="3"/>
  <c r="AD74" i="3"/>
  <c r="AE74" i="3"/>
  <c r="AF74" i="3"/>
  <c r="AG74" i="3"/>
  <c r="AH74" i="3"/>
  <c r="AI74" i="3"/>
  <c r="AJ74" i="3"/>
  <c r="AK74" i="3"/>
  <c r="AL74" i="3"/>
  <c r="AM74" i="3"/>
  <c r="AN74" i="3"/>
  <c r="AO74" i="3"/>
  <c r="AP74" i="3"/>
  <c r="AQ74" i="3"/>
  <c r="AR74" i="3"/>
  <c r="AS74" i="3"/>
  <c r="AT74" i="3"/>
  <c r="AU74" i="3"/>
  <c r="AV74" i="3"/>
  <c r="AW74" i="3"/>
  <c r="AX74" i="3"/>
  <c r="AY74" i="3"/>
  <c r="AZ74" i="3"/>
  <c r="BA74" i="3"/>
  <c r="BB74" i="3"/>
  <c r="BC74" i="3"/>
  <c r="BD74" i="3"/>
  <c r="BE74" i="3"/>
  <c r="BF74" i="3"/>
  <c r="BG74" i="3"/>
  <c r="BH74" i="3"/>
  <c r="BI74" i="3"/>
  <c r="BJ74" i="3"/>
  <c r="BK74" i="3"/>
  <c r="BL74" i="3"/>
  <c r="BM74" i="3"/>
  <c r="BN74" i="3"/>
  <c r="BO74" i="3"/>
  <c r="BP74" i="3"/>
  <c r="BQ74" i="3"/>
  <c r="BR74" i="3"/>
  <c r="BS74" i="3"/>
  <c r="BT74" i="3"/>
  <c r="M74" i="3"/>
  <c r="N60" i="3"/>
  <c r="O60" i="3"/>
  <c r="P60" i="3"/>
  <c r="Q60" i="3"/>
  <c r="R60" i="3"/>
  <c r="S60" i="3"/>
  <c r="T60" i="3"/>
  <c r="U60" i="3"/>
  <c r="V60" i="3"/>
  <c r="W60" i="3"/>
  <c r="X60" i="3"/>
  <c r="Y60" i="3"/>
  <c r="Z60" i="3"/>
  <c r="AA60" i="3"/>
  <c r="AB60" i="3"/>
  <c r="AC60" i="3"/>
  <c r="AD60" i="3"/>
  <c r="AE60" i="3"/>
  <c r="AF60" i="3"/>
  <c r="AG60" i="3"/>
  <c r="AH60" i="3"/>
  <c r="AI60" i="3"/>
  <c r="AJ60" i="3"/>
  <c r="AK60" i="3"/>
  <c r="AL60" i="3"/>
  <c r="AM60" i="3"/>
  <c r="AN60" i="3"/>
  <c r="AO60" i="3"/>
  <c r="AP60" i="3"/>
  <c r="AQ60" i="3"/>
  <c r="AR60" i="3"/>
  <c r="AS60" i="3"/>
  <c r="AT60" i="3"/>
  <c r="AU60" i="3"/>
  <c r="AV60" i="3"/>
  <c r="AW60" i="3"/>
  <c r="AX60" i="3"/>
  <c r="AY60" i="3"/>
  <c r="AZ60" i="3"/>
  <c r="BA60" i="3"/>
  <c r="BB60" i="3"/>
  <c r="BC60" i="3"/>
  <c r="BD60" i="3"/>
  <c r="BE60" i="3"/>
  <c r="BF60" i="3"/>
  <c r="BG60" i="3"/>
  <c r="BH60" i="3"/>
  <c r="BI60" i="3"/>
  <c r="BJ60" i="3"/>
  <c r="BK60" i="3"/>
  <c r="BL60" i="3"/>
  <c r="BM60" i="3"/>
  <c r="BN60" i="3"/>
  <c r="BO60" i="3"/>
  <c r="BP60" i="3"/>
  <c r="BQ60" i="3"/>
  <c r="BR60" i="3"/>
  <c r="BS60" i="3"/>
  <c r="BT60" i="3"/>
  <c r="M60" i="3"/>
  <c r="M14" i="7"/>
  <c r="M16" i="7"/>
  <c r="M12" i="1"/>
  <c r="M30" i="1"/>
  <c r="M57" i="1"/>
  <c r="M65" i="1"/>
  <c r="M16" i="1"/>
  <c r="M7" i="1"/>
  <c r="M8" i="1"/>
  <c r="N12" i="1"/>
  <c r="N16" i="1"/>
  <c r="N7" i="1"/>
  <c r="N8" i="1"/>
  <c r="O12" i="1"/>
  <c r="O16" i="1"/>
  <c r="O7" i="1"/>
  <c r="O8" i="1"/>
  <c r="P12" i="1"/>
  <c r="P16" i="1"/>
  <c r="P7" i="1"/>
  <c r="P8" i="1"/>
  <c r="Q12" i="1"/>
  <c r="Q16" i="1"/>
  <c r="Q7" i="1"/>
  <c r="Q8" i="1"/>
  <c r="R12" i="1"/>
  <c r="R16" i="1"/>
  <c r="R7" i="1"/>
  <c r="R8" i="1"/>
  <c r="S12" i="1"/>
  <c r="S7" i="1"/>
  <c r="S8" i="1"/>
  <c r="M73" i="1" a="1"/>
  <c r="M73" i="1"/>
  <c r="M34" i="1"/>
  <c r="M61" i="1"/>
  <c r="M69" i="1"/>
  <c r="M77" i="1"/>
  <c r="M9" i="3"/>
  <c r="M15" i="3"/>
  <c r="M19" i="3"/>
  <c r="M23" i="3"/>
  <c r="M25" i="3"/>
  <c r="N14" i="7"/>
  <c r="N16" i="7"/>
  <c r="N40" i="1"/>
  <c r="N48" i="1"/>
  <c r="N30" i="1"/>
  <c r="N57" i="1"/>
  <c r="N65" i="1"/>
  <c r="N31" i="1"/>
  <c r="N58" i="1"/>
  <c r="N66" i="1"/>
  <c r="N32" i="1"/>
  <c r="N59" i="1"/>
  <c r="N67" i="1"/>
  <c r="N44" i="1"/>
  <c r="N52" i="1"/>
  <c r="N34" i="1"/>
  <c r="N61" i="1"/>
  <c r="N69" i="1"/>
  <c r="N35" i="1"/>
  <c r="N62" i="1"/>
  <c r="N70" i="1"/>
  <c r="N36" i="1"/>
  <c r="N63" i="1"/>
  <c r="N71" i="1"/>
  <c r="N77" i="1"/>
  <c r="N9" i="3"/>
  <c r="N15" i="3"/>
  <c r="N16" i="3"/>
  <c r="N17" i="3"/>
  <c r="N19" i="3"/>
  <c r="N20" i="3"/>
  <c r="N21" i="3"/>
  <c r="N23" i="3"/>
  <c r="N25" i="3"/>
  <c r="O14" i="7"/>
  <c r="O16" i="7"/>
  <c r="P14" i="7"/>
  <c r="P16" i="7"/>
  <c r="Q14" i="7"/>
  <c r="Q16" i="7"/>
  <c r="R14" i="7"/>
  <c r="R16" i="7"/>
  <c r="S14" i="7"/>
  <c r="S16" i="7"/>
  <c r="T14" i="7"/>
  <c r="T16" i="7"/>
  <c r="U14" i="7"/>
  <c r="U16" i="7"/>
  <c r="V14" i="7"/>
  <c r="V16" i="7"/>
  <c r="W14" i="7"/>
  <c r="W16" i="7"/>
  <c r="X14" i="7"/>
  <c r="X16" i="7"/>
  <c r="Y14" i="7"/>
  <c r="Y16" i="7"/>
  <c r="Z14" i="7"/>
  <c r="Z16" i="7"/>
  <c r="AA14" i="7"/>
  <c r="AA16" i="7"/>
  <c r="AB14" i="7"/>
  <c r="AB16" i="7"/>
  <c r="AC14" i="7"/>
  <c r="AC16" i="7"/>
  <c r="AD14" i="7"/>
  <c r="AD16" i="7"/>
  <c r="AE14" i="7"/>
  <c r="AE16" i="7"/>
  <c r="AF14" i="7"/>
  <c r="AF16" i="7"/>
  <c r="AG14" i="7"/>
  <c r="AG16" i="7"/>
  <c r="AH14" i="7"/>
  <c r="AH16" i="7"/>
  <c r="AI14" i="7"/>
  <c r="AI16" i="7"/>
  <c r="AJ14" i="7"/>
  <c r="AJ16" i="7"/>
  <c r="AK14" i="7"/>
  <c r="AK16" i="7"/>
  <c r="AL14" i="7"/>
  <c r="AL16" i="7"/>
  <c r="AM14" i="7"/>
  <c r="AM16" i="7"/>
  <c r="AN14" i="7"/>
  <c r="AN16" i="7"/>
  <c r="AO14" i="7"/>
  <c r="AO16" i="7"/>
  <c r="AP14" i="7"/>
  <c r="AP16" i="7"/>
  <c r="AQ14" i="7"/>
  <c r="AQ16" i="7"/>
  <c r="AR14" i="7"/>
  <c r="AR16" i="7"/>
  <c r="AS14" i="7"/>
  <c r="AS16" i="7"/>
  <c r="AT14" i="7"/>
  <c r="AT16" i="7"/>
  <c r="AU14" i="7"/>
  <c r="AU16" i="7"/>
  <c r="AV14" i="7"/>
  <c r="AV16" i="7"/>
  <c r="AW14" i="7"/>
  <c r="AW16" i="7"/>
  <c r="AX14" i="7"/>
  <c r="AX16" i="7"/>
  <c r="AY14" i="7"/>
  <c r="AY16" i="7"/>
  <c r="AZ14" i="7"/>
  <c r="AZ16" i="7"/>
  <c r="BA14" i="7"/>
  <c r="BA16" i="7"/>
  <c r="BB14" i="7"/>
  <c r="BB16" i="7"/>
  <c r="BC14" i="7"/>
  <c r="BC16" i="7"/>
  <c r="BD14" i="7"/>
  <c r="BD16" i="7"/>
  <c r="BE14" i="7"/>
  <c r="BE16" i="7"/>
  <c r="BF14" i="7"/>
  <c r="BF16" i="7"/>
  <c r="BG14" i="7"/>
  <c r="BG16" i="7"/>
  <c r="BH14" i="7"/>
  <c r="BH16" i="7"/>
  <c r="BI14" i="7"/>
  <c r="BI16" i="7"/>
  <c r="BJ14" i="7"/>
  <c r="BJ16" i="7"/>
  <c r="BK14" i="7"/>
  <c r="BK16" i="7"/>
  <c r="BL14" i="7"/>
  <c r="BL16" i="7"/>
  <c r="BM14" i="7"/>
  <c r="BM16" i="7"/>
  <c r="BN14" i="7"/>
  <c r="BN16" i="7"/>
  <c r="BO14" i="7"/>
  <c r="BO16" i="7"/>
  <c r="BP14" i="7"/>
  <c r="BP16" i="7"/>
  <c r="BQ14" i="7"/>
  <c r="BQ16" i="7"/>
  <c r="BR14" i="7"/>
  <c r="BR16" i="7"/>
  <c r="BS14" i="7"/>
  <c r="BS16" i="7"/>
  <c r="BT14" i="7"/>
  <c r="BT16" i="7"/>
  <c r="M81" i="1"/>
  <c r="M66" i="3"/>
  <c r="M71" i="3"/>
  <c r="Q33" i="2"/>
  <c r="R33" i="2"/>
  <c r="N9" i="5"/>
  <c r="O9" i="5"/>
  <c r="P9" i="5"/>
  <c r="Q9" i="5"/>
  <c r="R9" i="5"/>
  <c r="S9" i="5"/>
  <c r="T9" i="5"/>
  <c r="U9" i="5"/>
  <c r="V9" i="5"/>
  <c r="W9" i="5"/>
  <c r="X9" i="5"/>
  <c r="Y9" i="5"/>
  <c r="Z9" i="5"/>
  <c r="AA9" i="5"/>
  <c r="AB9" i="5"/>
  <c r="AC9" i="5"/>
  <c r="AD9" i="5"/>
  <c r="AE9" i="5"/>
  <c r="AF9" i="5"/>
  <c r="AG9" i="5"/>
  <c r="AH9" i="5"/>
  <c r="AI9" i="5"/>
  <c r="AJ9" i="5"/>
  <c r="AK9" i="5"/>
  <c r="AL9" i="5"/>
  <c r="AM9" i="5"/>
  <c r="AN9" i="5"/>
  <c r="AO9" i="5"/>
  <c r="AP9" i="5"/>
  <c r="AQ9" i="5"/>
  <c r="AR9" i="5"/>
  <c r="AS9" i="5"/>
  <c r="AT9" i="5"/>
  <c r="AU9" i="5"/>
  <c r="AV9" i="5"/>
  <c r="AW9" i="5"/>
  <c r="AX9" i="5"/>
  <c r="AY9" i="5"/>
  <c r="AZ9" i="5"/>
  <c r="BA9" i="5"/>
  <c r="BB9" i="5"/>
  <c r="BC9" i="5"/>
  <c r="BD9" i="5"/>
  <c r="BE9" i="5"/>
  <c r="BF9" i="5"/>
  <c r="BG9" i="5"/>
  <c r="BH9" i="5"/>
  <c r="BI9" i="5"/>
  <c r="BJ9" i="5"/>
  <c r="BK9" i="5"/>
  <c r="BL9" i="5"/>
  <c r="BM9" i="5"/>
  <c r="BN9" i="5"/>
  <c r="BO9" i="5"/>
  <c r="BP9" i="5"/>
  <c r="BQ9" i="5"/>
  <c r="BR9" i="5"/>
  <c r="BS9" i="5"/>
  <c r="BT9" i="5"/>
  <c r="BG37" i="2"/>
  <c r="BE40" i="2"/>
  <c r="BD54" i="2"/>
  <c r="BC42" i="2"/>
  <c r="BA50" i="2"/>
  <c r="AT53" i="2"/>
  <c r="AS51" i="2"/>
  <c r="AR36" i="2"/>
  <c r="AP52" i="2"/>
  <c r="AO44" i="2"/>
  <c r="AL43" i="2"/>
  <c r="AM35" i="2"/>
  <c r="AO49" i="2"/>
  <c r="AP49" i="2"/>
  <c r="AE48" i="2"/>
  <c r="AE47" i="2"/>
  <c r="AB45" i="2"/>
  <c r="AD39" i="2"/>
  <c r="AA41" i="2"/>
  <c r="P38" i="2"/>
  <c r="N15" i="17" a="1"/>
  <c r="N15" i="17"/>
  <c r="O15" i="17" a="1"/>
  <c r="O15" i="17"/>
  <c r="P15" i="17" a="1"/>
  <c r="P15" i="17"/>
  <c r="Q15" i="17" a="1"/>
  <c r="Q15" i="17"/>
  <c r="R15" i="17" a="1"/>
  <c r="R15" i="17"/>
  <c r="S15" i="17" a="1"/>
  <c r="S15" i="17"/>
  <c r="T15" i="17" a="1"/>
  <c r="T15" i="17"/>
  <c r="U15" i="17" a="1"/>
  <c r="U15" i="17"/>
  <c r="V15" i="17" a="1"/>
  <c r="V15" i="17"/>
  <c r="W15" i="17" a="1"/>
  <c r="W15" i="17"/>
  <c r="X15" i="17" a="1"/>
  <c r="X15" i="17"/>
  <c r="Y15" i="17" a="1"/>
  <c r="Y15" i="17"/>
  <c r="Z15" i="17" a="1"/>
  <c r="Z15" i="17"/>
  <c r="AA15" i="17" a="1"/>
  <c r="AA15" i="17"/>
  <c r="AB15" i="17" a="1"/>
  <c r="AB15" i="17"/>
  <c r="AC15" i="17" a="1"/>
  <c r="AC15" i="17"/>
  <c r="AD15" i="17" a="1"/>
  <c r="AD15" i="17"/>
  <c r="AE15" i="17" a="1"/>
  <c r="AE15" i="17"/>
  <c r="AF15" i="17" a="1"/>
  <c r="AF15" i="17"/>
  <c r="AG15" i="17" a="1"/>
  <c r="AG15" i="17"/>
  <c r="AH15" i="17" a="1"/>
  <c r="AH15" i="17"/>
  <c r="AI15" i="17" a="1"/>
  <c r="AI15" i="17"/>
  <c r="AJ15" i="17" a="1"/>
  <c r="AJ15" i="17"/>
  <c r="AK15" i="17" a="1"/>
  <c r="AK15" i="17"/>
  <c r="AL15" i="17" a="1"/>
  <c r="AL15" i="17"/>
  <c r="AM15" i="17" a="1"/>
  <c r="AM15" i="17"/>
  <c r="AN15" i="17" a="1"/>
  <c r="AN15" i="17"/>
  <c r="AO15" i="17" a="1"/>
  <c r="AO15" i="17"/>
  <c r="AP15" i="17" a="1"/>
  <c r="AP15" i="17"/>
  <c r="AQ15" i="17" a="1"/>
  <c r="AQ15" i="17"/>
  <c r="AR15" i="17" a="1"/>
  <c r="AR15" i="17"/>
  <c r="AS15" i="17" a="1"/>
  <c r="AS15" i="17"/>
  <c r="AT15" i="17" a="1"/>
  <c r="AT15" i="17"/>
  <c r="AU15" i="17" a="1"/>
  <c r="AU15" i="17"/>
  <c r="AV15" i="17" a="1"/>
  <c r="AV15" i="17"/>
  <c r="AW15" i="17" a="1"/>
  <c r="AW15" i="17"/>
  <c r="AX15" i="17" a="1"/>
  <c r="AX15" i="17"/>
  <c r="AY15" i="17" a="1"/>
  <c r="AY15" i="17"/>
  <c r="AZ15" i="17" a="1"/>
  <c r="AZ15" i="17"/>
  <c r="BA15" i="17" a="1"/>
  <c r="BA15" i="17"/>
  <c r="BB15" i="17" a="1"/>
  <c r="BB15" i="17"/>
  <c r="BC15" i="17" a="1"/>
  <c r="BC15" i="17"/>
  <c r="BD15" i="17" a="1"/>
  <c r="BD15" i="17"/>
  <c r="BE15" i="17" a="1"/>
  <c r="BE15" i="17"/>
  <c r="BF15" i="17" a="1"/>
  <c r="BF15" i="17"/>
  <c r="BG15" i="17" a="1"/>
  <c r="BG15" i="17"/>
  <c r="BH15" i="17" a="1"/>
  <c r="BH15" i="17"/>
  <c r="BI15" i="17" a="1"/>
  <c r="BI15" i="17"/>
  <c r="BJ15" i="17" a="1"/>
  <c r="BJ15" i="17"/>
  <c r="BK15" i="17" a="1"/>
  <c r="BK15" i="17"/>
  <c r="BL15" i="17" a="1"/>
  <c r="BL15" i="17"/>
  <c r="BM15" i="17" a="1"/>
  <c r="BM15" i="17"/>
  <c r="BN15" i="17" a="1"/>
  <c r="BN15" i="17"/>
  <c r="BO15" i="17" a="1"/>
  <c r="BO15" i="17"/>
  <c r="BP15" i="17" a="1"/>
  <c r="BP15" i="17"/>
  <c r="BQ15" i="17" a="1"/>
  <c r="BQ15" i="17"/>
  <c r="BR15" i="17" a="1"/>
  <c r="BR15" i="17"/>
  <c r="BS15" i="17" a="1"/>
  <c r="BS15" i="17"/>
  <c r="BT15" i="17" a="1"/>
  <c r="BT15" i="17"/>
  <c r="N17" i="17" a="1"/>
  <c r="N17" i="17"/>
  <c r="O17" i="17" a="1"/>
  <c r="O17" i="17"/>
  <c r="P17" i="17" a="1"/>
  <c r="P17" i="17"/>
  <c r="Q17" i="17" a="1"/>
  <c r="Q17" i="17"/>
  <c r="R17" i="17" a="1"/>
  <c r="R17" i="17"/>
  <c r="S17" i="17" a="1"/>
  <c r="S17" i="17"/>
  <c r="T17" i="17" a="1"/>
  <c r="T17" i="17"/>
  <c r="U17" i="17" a="1"/>
  <c r="U17" i="17"/>
  <c r="V17" i="17" a="1"/>
  <c r="V17" i="17"/>
  <c r="W17" i="17" a="1"/>
  <c r="W17" i="17"/>
  <c r="X17" i="17" a="1"/>
  <c r="X17" i="17"/>
  <c r="Y17" i="17" a="1"/>
  <c r="Y17" i="17"/>
  <c r="Z17" i="17" a="1"/>
  <c r="Z17" i="17"/>
  <c r="AA17" i="17" a="1"/>
  <c r="AA17" i="17"/>
  <c r="AB17" i="17" a="1"/>
  <c r="AB17" i="17"/>
  <c r="AC17" i="17" a="1"/>
  <c r="AC17" i="17"/>
  <c r="AD17" i="17" a="1"/>
  <c r="AD17" i="17"/>
  <c r="AE17" i="17" a="1"/>
  <c r="AE17" i="17"/>
  <c r="AF17" i="17" a="1"/>
  <c r="AF17" i="17"/>
  <c r="AG17" i="17" a="1"/>
  <c r="AG17" i="17"/>
  <c r="AH17" i="17" a="1"/>
  <c r="AH17" i="17"/>
  <c r="AI17" i="17" a="1"/>
  <c r="AI17" i="17"/>
  <c r="AJ17" i="17" a="1"/>
  <c r="AJ17" i="17"/>
  <c r="AK17" i="17" a="1"/>
  <c r="AK17" i="17"/>
  <c r="AL17" i="17" a="1"/>
  <c r="AL17" i="17"/>
  <c r="AM17" i="17" a="1"/>
  <c r="AM17" i="17"/>
  <c r="AN17" i="17" a="1"/>
  <c r="AN17" i="17"/>
  <c r="AO17" i="17" a="1"/>
  <c r="AO17" i="17"/>
  <c r="AP17" i="17" a="1"/>
  <c r="AP17" i="17"/>
  <c r="AQ17" i="17" a="1"/>
  <c r="AQ17" i="17"/>
  <c r="AR17" i="17" a="1"/>
  <c r="AR17" i="17"/>
  <c r="AS17" i="17" a="1"/>
  <c r="AS17" i="17"/>
  <c r="AT17" i="17" a="1"/>
  <c r="AT17" i="17"/>
  <c r="AU17" i="17" a="1"/>
  <c r="AU17" i="17"/>
  <c r="AV17" i="17" a="1"/>
  <c r="AV17" i="17"/>
  <c r="AW17" i="17" a="1"/>
  <c r="AW17" i="17"/>
  <c r="AX17" i="17" a="1"/>
  <c r="AX17" i="17"/>
  <c r="AY17" i="17" a="1"/>
  <c r="AY17" i="17"/>
  <c r="AZ17" i="17" a="1"/>
  <c r="AZ17" i="17"/>
  <c r="BA17" i="17" a="1"/>
  <c r="BA17" i="17"/>
  <c r="BB17" i="17" a="1"/>
  <c r="BB17" i="17"/>
  <c r="BC17" i="17" a="1"/>
  <c r="BC17" i="17"/>
  <c r="BD17" i="17" a="1"/>
  <c r="BD17" i="17"/>
  <c r="BE17" i="17" a="1"/>
  <c r="BE17" i="17"/>
  <c r="BF17" i="17" a="1"/>
  <c r="BF17" i="17"/>
  <c r="BG17" i="17" a="1"/>
  <c r="BG17" i="17"/>
  <c r="BH17" i="17" a="1"/>
  <c r="BH17" i="17"/>
  <c r="BI17" i="17" a="1"/>
  <c r="BI17" i="17"/>
  <c r="BJ17" i="17" a="1"/>
  <c r="BJ17" i="17"/>
  <c r="BK17" i="17" a="1"/>
  <c r="BK17" i="17"/>
  <c r="BL17" i="17" a="1"/>
  <c r="BL17" i="17"/>
  <c r="BM17" i="17" a="1"/>
  <c r="BM17" i="17"/>
  <c r="BN17" i="17" a="1"/>
  <c r="BN17" i="17"/>
  <c r="BO17" i="17" a="1"/>
  <c r="BO17" i="17"/>
  <c r="BP17" i="17" a="1"/>
  <c r="BP17" i="17"/>
  <c r="BQ17" i="17" a="1"/>
  <c r="BQ17" i="17"/>
  <c r="BR17" i="17" a="1"/>
  <c r="BR17" i="17"/>
  <c r="BS17" i="17" a="1"/>
  <c r="BS17" i="17"/>
  <c r="BT17" i="17" a="1"/>
  <c r="BT17" i="17"/>
  <c r="N18" i="17" a="1"/>
  <c r="N18" i="17"/>
  <c r="O18" i="17" a="1"/>
  <c r="O18" i="17"/>
  <c r="P18" i="17" a="1"/>
  <c r="P18" i="17"/>
  <c r="Q18" i="17" a="1"/>
  <c r="Q18" i="17"/>
  <c r="R18" i="17" a="1"/>
  <c r="R18" i="17"/>
  <c r="S18" i="17" a="1"/>
  <c r="S18" i="17"/>
  <c r="T18" i="17" a="1"/>
  <c r="T18" i="17"/>
  <c r="U18" i="17" a="1"/>
  <c r="U18" i="17"/>
  <c r="V18" i="17" a="1"/>
  <c r="V18" i="17"/>
  <c r="W18" i="17" a="1"/>
  <c r="W18" i="17"/>
  <c r="X18" i="17" a="1"/>
  <c r="X18" i="17"/>
  <c r="Y18" i="17" a="1"/>
  <c r="Y18" i="17"/>
  <c r="Z18" i="17" a="1"/>
  <c r="Z18" i="17"/>
  <c r="AA18" i="17" a="1"/>
  <c r="AA18" i="17"/>
  <c r="AB18" i="17" a="1"/>
  <c r="AB18" i="17"/>
  <c r="AC18" i="17" a="1"/>
  <c r="AC18" i="17"/>
  <c r="AD18" i="17" a="1"/>
  <c r="AD18" i="17"/>
  <c r="AE18" i="17" a="1"/>
  <c r="AE18" i="17"/>
  <c r="AF18" i="17" a="1"/>
  <c r="AF18" i="17"/>
  <c r="AG18" i="17" a="1"/>
  <c r="AG18" i="17"/>
  <c r="AH18" i="17" a="1"/>
  <c r="AH18" i="17"/>
  <c r="AI18" i="17" a="1"/>
  <c r="AI18" i="17"/>
  <c r="AJ18" i="17" a="1"/>
  <c r="AJ18" i="17"/>
  <c r="AK18" i="17" a="1"/>
  <c r="AK18" i="17"/>
  <c r="AL18" i="17" a="1"/>
  <c r="AL18" i="17"/>
  <c r="AM18" i="17" a="1"/>
  <c r="AM18" i="17"/>
  <c r="AN18" i="17" a="1"/>
  <c r="AN18" i="17"/>
  <c r="AO18" i="17" a="1"/>
  <c r="AO18" i="17"/>
  <c r="AP18" i="17" a="1"/>
  <c r="AP18" i="17"/>
  <c r="AQ18" i="17" a="1"/>
  <c r="AQ18" i="17"/>
  <c r="AR18" i="17" a="1"/>
  <c r="AR18" i="17"/>
  <c r="AS18" i="17" a="1"/>
  <c r="AS18" i="17"/>
  <c r="AT18" i="17" a="1"/>
  <c r="AT18" i="17"/>
  <c r="AU18" i="17" a="1"/>
  <c r="AU18" i="17"/>
  <c r="AV18" i="17" a="1"/>
  <c r="AV18" i="17"/>
  <c r="AW18" i="17" a="1"/>
  <c r="AW18" i="17"/>
  <c r="AX18" i="17" a="1"/>
  <c r="AX18" i="17"/>
  <c r="AY18" i="17" a="1"/>
  <c r="AY18" i="17"/>
  <c r="AZ18" i="17" a="1"/>
  <c r="AZ18" i="17"/>
  <c r="BA18" i="17" a="1"/>
  <c r="BA18" i="17"/>
  <c r="BB18" i="17" a="1"/>
  <c r="BB18" i="17"/>
  <c r="BC18" i="17" a="1"/>
  <c r="BC18" i="17"/>
  <c r="BD18" i="17" a="1"/>
  <c r="BD18" i="17"/>
  <c r="BE18" i="17" a="1"/>
  <c r="BE18" i="17"/>
  <c r="BF18" i="17" a="1"/>
  <c r="BF18" i="17"/>
  <c r="BG18" i="17" a="1"/>
  <c r="BG18" i="17"/>
  <c r="BH18" i="17" a="1"/>
  <c r="BH18" i="17"/>
  <c r="BI18" i="17" a="1"/>
  <c r="BI18" i="17"/>
  <c r="BJ18" i="17" a="1"/>
  <c r="BJ18" i="17"/>
  <c r="BK18" i="17" a="1"/>
  <c r="BK18" i="17"/>
  <c r="BL18" i="17" a="1"/>
  <c r="BL18" i="17"/>
  <c r="BM18" i="17" a="1"/>
  <c r="BM18" i="17"/>
  <c r="BN18" i="17" a="1"/>
  <c r="BN18" i="17"/>
  <c r="BO18" i="17" a="1"/>
  <c r="BO18" i="17"/>
  <c r="BP18" i="17" a="1"/>
  <c r="BP18" i="17"/>
  <c r="BQ18" i="17" a="1"/>
  <c r="BQ18" i="17"/>
  <c r="BR18" i="17" a="1"/>
  <c r="BR18" i="17"/>
  <c r="BS18" i="17" a="1"/>
  <c r="BS18" i="17"/>
  <c r="BT18" i="17" a="1"/>
  <c r="BT18" i="17"/>
  <c r="N19" i="17" a="1"/>
  <c r="N19" i="17"/>
  <c r="O19" i="17" a="1"/>
  <c r="O19" i="17"/>
  <c r="P19" i="17" a="1"/>
  <c r="P19" i="17"/>
  <c r="Q19" i="17" a="1"/>
  <c r="Q19" i="17"/>
  <c r="R19" i="17" a="1"/>
  <c r="R19" i="17"/>
  <c r="S19" i="17" a="1"/>
  <c r="S19" i="17"/>
  <c r="T19" i="17" a="1"/>
  <c r="T19" i="17"/>
  <c r="U19" i="17" a="1"/>
  <c r="U19" i="17"/>
  <c r="V19" i="17" a="1"/>
  <c r="V19" i="17"/>
  <c r="W19" i="17" a="1"/>
  <c r="W19" i="17"/>
  <c r="X19" i="17" a="1"/>
  <c r="X19" i="17"/>
  <c r="Y19" i="17" a="1"/>
  <c r="Y19" i="17"/>
  <c r="Z19" i="17" a="1"/>
  <c r="Z19" i="17"/>
  <c r="AA19" i="17" a="1"/>
  <c r="AA19" i="17"/>
  <c r="AB19" i="17" a="1"/>
  <c r="AB19" i="17"/>
  <c r="AC19" i="17" a="1"/>
  <c r="AC19" i="17"/>
  <c r="AD19" i="17" a="1"/>
  <c r="AD19" i="17"/>
  <c r="AE19" i="17" a="1"/>
  <c r="AE19" i="17"/>
  <c r="AF19" i="17" a="1"/>
  <c r="AF19" i="17"/>
  <c r="AG19" i="17" a="1"/>
  <c r="AG19" i="17"/>
  <c r="AH19" i="17" a="1"/>
  <c r="AH19" i="17"/>
  <c r="AI19" i="17" a="1"/>
  <c r="AI19" i="17"/>
  <c r="AJ19" i="17" a="1"/>
  <c r="AJ19" i="17"/>
  <c r="AK19" i="17" a="1"/>
  <c r="AK19" i="17"/>
  <c r="AL19" i="17" a="1"/>
  <c r="AL19" i="17"/>
  <c r="AM19" i="17" a="1"/>
  <c r="AM19" i="17"/>
  <c r="AN19" i="17" a="1"/>
  <c r="AN19" i="17"/>
  <c r="AO19" i="17" a="1"/>
  <c r="AO19" i="17"/>
  <c r="AP19" i="17" a="1"/>
  <c r="AP19" i="17"/>
  <c r="AQ19" i="17" a="1"/>
  <c r="AQ19" i="17"/>
  <c r="AR19" i="17" a="1"/>
  <c r="AR19" i="17"/>
  <c r="AS19" i="17" a="1"/>
  <c r="AS19" i="17"/>
  <c r="AT19" i="17" a="1"/>
  <c r="AT19" i="17"/>
  <c r="AU19" i="17" a="1"/>
  <c r="AU19" i="17"/>
  <c r="AV19" i="17" a="1"/>
  <c r="AV19" i="17"/>
  <c r="AW19" i="17" a="1"/>
  <c r="AW19" i="17"/>
  <c r="AX19" i="17" a="1"/>
  <c r="AX19" i="17"/>
  <c r="AY19" i="17" a="1"/>
  <c r="AY19" i="17"/>
  <c r="AZ19" i="17" a="1"/>
  <c r="AZ19" i="17"/>
  <c r="BA19" i="17" a="1"/>
  <c r="BA19" i="17"/>
  <c r="BB19" i="17" a="1"/>
  <c r="BB19" i="17"/>
  <c r="BC19" i="17" a="1"/>
  <c r="BC19" i="17"/>
  <c r="BD19" i="17" a="1"/>
  <c r="BD19" i="17"/>
  <c r="BE19" i="17" a="1"/>
  <c r="BE19" i="17"/>
  <c r="BF19" i="17" a="1"/>
  <c r="BF19" i="17"/>
  <c r="BG19" i="17" a="1"/>
  <c r="BG19" i="17"/>
  <c r="BH19" i="17" a="1"/>
  <c r="BH19" i="17"/>
  <c r="BI19" i="17" a="1"/>
  <c r="BI19" i="17"/>
  <c r="BJ19" i="17" a="1"/>
  <c r="BJ19" i="17"/>
  <c r="BK19" i="17" a="1"/>
  <c r="BK19" i="17"/>
  <c r="BL19" i="17" a="1"/>
  <c r="BL19" i="17"/>
  <c r="BM19" i="17" a="1"/>
  <c r="BM19" i="17"/>
  <c r="BN19" i="17" a="1"/>
  <c r="BN19" i="17"/>
  <c r="BO19" i="17" a="1"/>
  <c r="BO19" i="17"/>
  <c r="BP19" i="17" a="1"/>
  <c r="BP19" i="17"/>
  <c r="BQ19" i="17" a="1"/>
  <c r="BQ19" i="17"/>
  <c r="BR19" i="17" a="1"/>
  <c r="BR19" i="17"/>
  <c r="BS19" i="17" a="1"/>
  <c r="BS19" i="17"/>
  <c r="BT19" i="17" a="1"/>
  <c r="BT19" i="17"/>
  <c r="N20" i="17" a="1"/>
  <c r="N20" i="17"/>
  <c r="O20" i="17" a="1"/>
  <c r="O20" i="17"/>
  <c r="P20" i="17" a="1"/>
  <c r="P20" i="17"/>
  <c r="Q20" i="17" a="1"/>
  <c r="Q20" i="17"/>
  <c r="R20" i="17" a="1"/>
  <c r="R20" i="17"/>
  <c r="S20" i="17" a="1"/>
  <c r="S20" i="17"/>
  <c r="T20" i="17" a="1"/>
  <c r="T20" i="17"/>
  <c r="U20" i="17" a="1"/>
  <c r="U20" i="17"/>
  <c r="V20" i="17" a="1"/>
  <c r="V20" i="17"/>
  <c r="W20" i="17" a="1"/>
  <c r="W20" i="17"/>
  <c r="X20" i="17" a="1"/>
  <c r="X20" i="17"/>
  <c r="Y20" i="17" a="1"/>
  <c r="Y20" i="17"/>
  <c r="Z20" i="17" a="1"/>
  <c r="Z20" i="17"/>
  <c r="AA20" i="17" a="1"/>
  <c r="AA20" i="17"/>
  <c r="AB20" i="17" a="1"/>
  <c r="AB20" i="17"/>
  <c r="AC20" i="17" a="1"/>
  <c r="AC20" i="17"/>
  <c r="AD20" i="17" a="1"/>
  <c r="AD20" i="17"/>
  <c r="AE20" i="17" a="1"/>
  <c r="AE20" i="17"/>
  <c r="AF20" i="17" a="1"/>
  <c r="AF20" i="17"/>
  <c r="AG20" i="17" a="1"/>
  <c r="AG20" i="17"/>
  <c r="AH20" i="17" a="1"/>
  <c r="AH20" i="17"/>
  <c r="AI20" i="17" a="1"/>
  <c r="AI20" i="17"/>
  <c r="AJ20" i="17" a="1"/>
  <c r="AJ20" i="17"/>
  <c r="AK20" i="17" a="1"/>
  <c r="AK20" i="17"/>
  <c r="AL20" i="17" a="1"/>
  <c r="AL20" i="17"/>
  <c r="AM20" i="17" a="1"/>
  <c r="AM20" i="17"/>
  <c r="AN20" i="17" a="1"/>
  <c r="AN20" i="17"/>
  <c r="AO20" i="17" a="1"/>
  <c r="AO20" i="17"/>
  <c r="AP20" i="17" a="1"/>
  <c r="AP20" i="17"/>
  <c r="AQ20" i="17" a="1"/>
  <c r="AQ20" i="17"/>
  <c r="AR20" i="17" a="1"/>
  <c r="AR20" i="17"/>
  <c r="AS20" i="17" a="1"/>
  <c r="AS20" i="17"/>
  <c r="AT20" i="17" a="1"/>
  <c r="AT20" i="17"/>
  <c r="AU20" i="17" a="1"/>
  <c r="AU20" i="17"/>
  <c r="AV20" i="17" a="1"/>
  <c r="AV20" i="17"/>
  <c r="AW20" i="17" a="1"/>
  <c r="AW20" i="17"/>
  <c r="AX20" i="17" a="1"/>
  <c r="AX20" i="17"/>
  <c r="AY20" i="17" a="1"/>
  <c r="AY20" i="17"/>
  <c r="AZ20" i="17" a="1"/>
  <c r="AZ20" i="17"/>
  <c r="BA20" i="17" a="1"/>
  <c r="BA20" i="17"/>
  <c r="BB20" i="17" a="1"/>
  <c r="BB20" i="17"/>
  <c r="BC20" i="17" a="1"/>
  <c r="BC20" i="17"/>
  <c r="BD20" i="17" a="1"/>
  <c r="BD20" i="17"/>
  <c r="BE20" i="17" a="1"/>
  <c r="BE20" i="17"/>
  <c r="BF20" i="17" a="1"/>
  <c r="BF20" i="17"/>
  <c r="BG20" i="17" a="1"/>
  <c r="BG20" i="17"/>
  <c r="BH20" i="17" a="1"/>
  <c r="BH20" i="17"/>
  <c r="BI20" i="17" a="1"/>
  <c r="BI20" i="17"/>
  <c r="BJ20" i="17" a="1"/>
  <c r="BJ20" i="17"/>
  <c r="BK20" i="17" a="1"/>
  <c r="BK20" i="17"/>
  <c r="BL20" i="17" a="1"/>
  <c r="BL20" i="17"/>
  <c r="BM20" i="17" a="1"/>
  <c r="BM20" i="17"/>
  <c r="BN20" i="17" a="1"/>
  <c r="BN20" i="17"/>
  <c r="BO20" i="17" a="1"/>
  <c r="BO20" i="17"/>
  <c r="BP20" i="17" a="1"/>
  <c r="BP20" i="17"/>
  <c r="BQ20" i="17" a="1"/>
  <c r="BQ20" i="17"/>
  <c r="BR20" i="17" a="1"/>
  <c r="BR20" i="17"/>
  <c r="BS20" i="17" a="1"/>
  <c r="BS20" i="17"/>
  <c r="BT20" i="17" a="1"/>
  <c r="BT20" i="17"/>
  <c r="N21" i="17" a="1"/>
  <c r="N21" i="17"/>
  <c r="O21" i="17" a="1"/>
  <c r="O21" i="17"/>
  <c r="P21" i="17" a="1"/>
  <c r="P21" i="17"/>
  <c r="Q21" i="17" a="1"/>
  <c r="Q21" i="17"/>
  <c r="R21" i="17" a="1"/>
  <c r="R21" i="17"/>
  <c r="S21" i="17" a="1"/>
  <c r="S21" i="17"/>
  <c r="T21" i="17" a="1"/>
  <c r="T21" i="17"/>
  <c r="U21" i="17" a="1"/>
  <c r="U21" i="17"/>
  <c r="V21" i="17" a="1"/>
  <c r="V21" i="17"/>
  <c r="W21" i="17" a="1"/>
  <c r="W21" i="17"/>
  <c r="X21" i="17" a="1"/>
  <c r="X21" i="17"/>
  <c r="Y21" i="17" a="1"/>
  <c r="Y21" i="17"/>
  <c r="Z21" i="17" a="1"/>
  <c r="Z21" i="17"/>
  <c r="AA21" i="17" a="1"/>
  <c r="AA21" i="17"/>
  <c r="AB21" i="17" a="1"/>
  <c r="AB21" i="17"/>
  <c r="AC21" i="17" a="1"/>
  <c r="AC21" i="17"/>
  <c r="AD21" i="17" a="1"/>
  <c r="AD21" i="17"/>
  <c r="AE21" i="17" a="1"/>
  <c r="AE21" i="17"/>
  <c r="AF21" i="17" a="1"/>
  <c r="AF21" i="17"/>
  <c r="AG21" i="17" a="1"/>
  <c r="AG21" i="17"/>
  <c r="AH21" i="17" a="1"/>
  <c r="AH21" i="17"/>
  <c r="AI21" i="17" a="1"/>
  <c r="AI21" i="17"/>
  <c r="AJ21" i="17" a="1"/>
  <c r="AJ21" i="17"/>
  <c r="AK21" i="17" a="1"/>
  <c r="AK21" i="17"/>
  <c r="AL21" i="17" a="1"/>
  <c r="AL21" i="17"/>
  <c r="AM21" i="17" a="1"/>
  <c r="AM21" i="17"/>
  <c r="AN21" i="17" a="1"/>
  <c r="AN21" i="17"/>
  <c r="AO21" i="17" a="1"/>
  <c r="AO21" i="17"/>
  <c r="AP21" i="17" a="1"/>
  <c r="AP21" i="17"/>
  <c r="AQ21" i="17" a="1"/>
  <c r="AQ21" i="17"/>
  <c r="AR21" i="17" a="1"/>
  <c r="AR21" i="17"/>
  <c r="AS21" i="17" a="1"/>
  <c r="AS21" i="17"/>
  <c r="AT21" i="17" a="1"/>
  <c r="AT21" i="17"/>
  <c r="AU21" i="17" a="1"/>
  <c r="AU21" i="17"/>
  <c r="AV21" i="17" a="1"/>
  <c r="AV21" i="17"/>
  <c r="AW21" i="17" a="1"/>
  <c r="AW21" i="17"/>
  <c r="AX21" i="17" a="1"/>
  <c r="AX21" i="17"/>
  <c r="AY21" i="17" a="1"/>
  <c r="AY21" i="17"/>
  <c r="AZ21" i="17" a="1"/>
  <c r="AZ21" i="17"/>
  <c r="BA21" i="17" a="1"/>
  <c r="BA21" i="17"/>
  <c r="BB21" i="17" a="1"/>
  <c r="BB21" i="17"/>
  <c r="BC21" i="17" a="1"/>
  <c r="BC21" i="17"/>
  <c r="BD21" i="17" a="1"/>
  <c r="BD21" i="17"/>
  <c r="BE21" i="17" a="1"/>
  <c r="BE21" i="17"/>
  <c r="BF21" i="17" a="1"/>
  <c r="BF21" i="17"/>
  <c r="BG21" i="17" a="1"/>
  <c r="BG21" i="17"/>
  <c r="BH21" i="17" a="1"/>
  <c r="BH21" i="17"/>
  <c r="BI21" i="17" a="1"/>
  <c r="BI21" i="17"/>
  <c r="BJ21" i="17" a="1"/>
  <c r="BJ21" i="17"/>
  <c r="BK21" i="17" a="1"/>
  <c r="BK21" i="17"/>
  <c r="BL21" i="17" a="1"/>
  <c r="BL21" i="17"/>
  <c r="BM21" i="17" a="1"/>
  <c r="BM21" i="17"/>
  <c r="BN21" i="17" a="1"/>
  <c r="BN21" i="17"/>
  <c r="BO21" i="17" a="1"/>
  <c r="BO21" i="17"/>
  <c r="BP21" i="17" a="1"/>
  <c r="BP21" i="17"/>
  <c r="BQ21" i="17" a="1"/>
  <c r="BQ21" i="17"/>
  <c r="BR21" i="17" a="1"/>
  <c r="BR21" i="17"/>
  <c r="BS21" i="17" a="1"/>
  <c r="BS21" i="17"/>
  <c r="BT21" i="17" a="1"/>
  <c r="BT21" i="17"/>
  <c r="N22" i="17" a="1"/>
  <c r="N22" i="17"/>
  <c r="O22" i="17" a="1"/>
  <c r="O22" i="17"/>
  <c r="P22" i="17" a="1"/>
  <c r="P22" i="17"/>
  <c r="Q22" i="17" a="1"/>
  <c r="Q22" i="17"/>
  <c r="R22" i="17" a="1"/>
  <c r="R22" i="17"/>
  <c r="S22" i="17" a="1"/>
  <c r="S22" i="17"/>
  <c r="T22" i="17" a="1"/>
  <c r="T22" i="17"/>
  <c r="U22" i="17" a="1"/>
  <c r="U22" i="17"/>
  <c r="V22" i="17" a="1"/>
  <c r="V22" i="17"/>
  <c r="W22" i="17" a="1"/>
  <c r="W22" i="17"/>
  <c r="X22" i="17" a="1"/>
  <c r="X22" i="17"/>
  <c r="Y22" i="17" a="1"/>
  <c r="Y22" i="17"/>
  <c r="Z22" i="17" a="1"/>
  <c r="Z22" i="17"/>
  <c r="AA22" i="17" a="1"/>
  <c r="AA22" i="17"/>
  <c r="AB22" i="17" a="1"/>
  <c r="AB22" i="17"/>
  <c r="AC22" i="17" a="1"/>
  <c r="AC22" i="17"/>
  <c r="AD22" i="17" a="1"/>
  <c r="AD22" i="17"/>
  <c r="AE22" i="17" a="1"/>
  <c r="AE22" i="17"/>
  <c r="AF22" i="17" a="1"/>
  <c r="AF22" i="17"/>
  <c r="AG22" i="17" a="1"/>
  <c r="AG22" i="17"/>
  <c r="AH22" i="17" a="1"/>
  <c r="AH22" i="17"/>
  <c r="AI22" i="17" a="1"/>
  <c r="AI22" i="17"/>
  <c r="AJ22" i="17" a="1"/>
  <c r="AJ22" i="17"/>
  <c r="AK22" i="17" a="1"/>
  <c r="AK22" i="17"/>
  <c r="AL22" i="17" a="1"/>
  <c r="AL22" i="17"/>
  <c r="AM22" i="17" a="1"/>
  <c r="AM22" i="17"/>
  <c r="AN22" i="17" a="1"/>
  <c r="AN22" i="17"/>
  <c r="AO22" i="17" a="1"/>
  <c r="AO22" i="17"/>
  <c r="AP22" i="17" a="1"/>
  <c r="AP22" i="17"/>
  <c r="AQ22" i="17" a="1"/>
  <c r="AQ22" i="17"/>
  <c r="AR22" i="17" a="1"/>
  <c r="AR22" i="17"/>
  <c r="AS22" i="17" a="1"/>
  <c r="AS22" i="17"/>
  <c r="AT22" i="17" a="1"/>
  <c r="AT22" i="17"/>
  <c r="AU22" i="17" a="1"/>
  <c r="AU22" i="17"/>
  <c r="AV22" i="17" a="1"/>
  <c r="AV22" i="17"/>
  <c r="AW22" i="17" a="1"/>
  <c r="AW22" i="17"/>
  <c r="AX22" i="17" a="1"/>
  <c r="AX22" i="17"/>
  <c r="AY22" i="17" a="1"/>
  <c r="AY22" i="17"/>
  <c r="AZ22" i="17" a="1"/>
  <c r="AZ22" i="17"/>
  <c r="BA22" i="17" a="1"/>
  <c r="BA22" i="17"/>
  <c r="BB22" i="17" a="1"/>
  <c r="BB22" i="17"/>
  <c r="BC22" i="17" a="1"/>
  <c r="BC22" i="17"/>
  <c r="BD22" i="17" a="1"/>
  <c r="BD22" i="17"/>
  <c r="BE22" i="17" a="1"/>
  <c r="BE22" i="17"/>
  <c r="BF22" i="17" a="1"/>
  <c r="BF22" i="17"/>
  <c r="BG22" i="17" a="1"/>
  <c r="BG22" i="17"/>
  <c r="BH22" i="17" a="1"/>
  <c r="BH22" i="17"/>
  <c r="BI22" i="17" a="1"/>
  <c r="BI22" i="17"/>
  <c r="BJ22" i="17" a="1"/>
  <c r="BJ22" i="17"/>
  <c r="BK22" i="17" a="1"/>
  <c r="BK22" i="17"/>
  <c r="BL22" i="17" a="1"/>
  <c r="BL22" i="17"/>
  <c r="BM22" i="17" a="1"/>
  <c r="BM22" i="17"/>
  <c r="BN22" i="17" a="1"/>
  <c r="BN22" i="17"/>
  <c r="BO22" i="17" a="1"/>
  <c r="BO22" i="17"/>
  <c r="BP22" i="17" a="1"/>
  <c r="BP22" i="17"/>
  <c r="BQ22" i="17" a="1"/>
  <c r="BQ22" i="17"/>
  <c r="BR22" i="17" a="1"/>
  <c r="BR22" i="17"/>
  <c r="BS22" i="17" a="1"/>
  <c r="BS22" i="17"/>
  <c r="BT22" i="17" a="1"/>
  <c r="BT22" i="17"/>
  <c r="M17" i="17" a="1"/>
  <c r="M17" i="17"/>
  <c r="M18" i="17" a="1"/>
  <c r="M18" i="17"/>
  <c r="M19" i="17" a="1"/>
  <c r="M19" i="17"/>
  <c r="M20" i="17" a="1"/>
  <c r="M20" i="17"/>
  <c r="M21" i="17" a="1"/>
  <c r="M21" i="17"/>
  <c r="M22" i="17" a="1"/>
  <c r="M22" i="17"/>
  <c r="M15" i="17" a="1"/>
  <c r="M15" i="17"/>
  <c r="N29" i="4"/>
  <c r="N30" i="4"/>
  <c r="N31" i="4"/>
  <c r="N32" i="4"/>
  <c r="N33" i="4"/>
  <c r="N34" i="4"/>
  <c r="N35" i="4"/>
  <c r="N37" i="4"/>
  <c r="O29" i="4"/>
  <c r="O30" i="4"/>
  <c r="O31" i="4"/>
  <c r="O32" i="4"/>
  <c r="O33" i="4"/>
  <c r="O34" i="4"/>
  <c r="O35" i="4"/>
  <c r="O37" i="4"/>
  <c r="P29" i="4"/>
  <c r="P30" i="4"/>
  <c r="P31" i="4"/>
  <c r="P32" i="4"/>
  <c r="P33" i="4"/>
  <c r="P34" i="4"/>
  <c r="P35" i="4"/>
  <c r="P37" i="4"/>
  <c r="Q29" i="4"/>
  <c r="Q30" i="4"/>
  <c r="Q31" i="4"/>
  <c r="Q32" i="4"/>
  <c r="Q33" i="4"/>
  <c r="Q34" i="4"/>
  <c r="Q35" i="4"/>
  <c r="Q37" i="4"/>
  <c r="R29" i="4"/>
  <c r="R30" i="4"/>
  <c r="R31" i="4"/>
  <c r="R32" i="4"/>
  <c r="R33" i="4"/>
  <c r="R34" i="4"/>
  <c r="R35" i="4"/>
  <c r="R37" i="4"/>
  <c r="S29" i="4"/>
  <c r="S30" i="4"/>
  <c r="S31" i="4"/>
  <c r="S32" i="4"/>
  <c r="S33" i="4"/>
  <c r="S34" i="4"/>
  <c r="S35" i="4"/>
  <c r="S37" i="4"/>
  <c r="T29" i="4"/>
  <c r="T30" i="4"/>
  <c r="T31" i="4"/>
  <c r="T32" i="4"/>
  <c r="T33" i="4"/>
  <c r="T34" i="4"/>
  <c r="T35" i="4"/>
  <c r="T37" i="4"/>
  <c r="U29" i="4"/>
  <c r="U30" i="4"/>
  <c r="U31" i="4"/>
  <c r="U32" i="4"/>
  <c r="U33" i="4"/>
  <c r="U34" i="4"/>
  <c r="U35" i="4"/>
  <c r="U37" i="4"/>
  <c r="V29" i="4"/>
  <c r="V30" i="4"/>
  <c r="V31" i="4"/>
  <c r="V32" i="4"/>
  <c r="V33" i="4"/>
  <c r="V34" i="4"/>
  <c r="V35" i="4"/>
  <c r="V37" i="4"/>
  <c r="W29" i="4"/>
  <c r="W30" i="4"/>
  <c r="W31" i="4"/>
  <c r="W32" i="4"/>
  <c r="W33" i="4"/>
  <c r="W34" i="4"/>
  <c r="W35" i="4"/>
  <c r="W37" i="4"/>
  <c r="X29" i="4"/>
  <c r="X30" i="4"/>
  <c r="X31" i="4"/>
  <c r="X32" i="4"/>
  <c r="X33" i="4"/>
  <c r="X34" i="4"/>
  <c r="X35" i="4"/>
  <c r="X37" i="4"/>
  <c r="Y29" i="4"/>
  <c r="Y30" i="4"/>
  <c r="Y31" i="4"/>
  <c r="Y32" i="4"/>
  <c r="Y33" i="4"/>
  <c r="Y34" i="4"/>
  <c r="Y35" i="4"/>
  <c r="Y37" i="4"/>
  <c r="Z29" i="4"/>
  <c r="Z30" i="4"/>
  <c r="Z31" i="4"/>
  <c r="Z32" i="4"/>
  <c r="Z33" i="4"/>
  <c r="Z34" i="4"/>
  <c r="Z35" i="4"/>
  <c r="Z37" i="4"/>
  <c r="AA29" i="4"/>
  <c r="AA30" i="4"/>
  <c r="AA31" i="4"/>
  <c r="AA32" i="4"/>
  <c r="AA33" i="4"/>
  <c r="AA34" i="4"/>
  <c r="AA35" i="4"/>
  <c r="AA37" i="4"/>
  <c r="AB29" i="4"/>
  <c r="AB30" i="4"/>
  <c r="AB31" i="4"/>
  <c r="AB32" i="4"/>
  <c r="AB33" i="4"/>
  <c r="AB34" i="4"/>
  <c r="AB35" i="4"/>
  <c r="AB37" i="4"/>
  <c r="AC29" i="4"/>
  <c r="AC30" i="4"/>
  <c r="AC31" i="4"/>
  <c r="AC32" i="4"/>
  <c r="AC33" i="4"/>
  <c r="AC34" i="4"/>
  <c r="AC35" i="4"/>
  <c r="AC37" i="4"/>
  <c r="AD29" i="4"/>
  <c r="AD30" i="4"/>
  <c r="AD31" i="4"/>
  <c r="AD32" i="4"/>
  <c r="AD33" i="4"/>
  <c r="AD34" i="4"/>
  <c r="AD35" i="4"/>
  <c r="AD37" i="4"/>
  <c r="AE29" i="4"/>
  <c r="AE30" i="4"/>
  <c r="AE31" i="4"/>
  <c r="AE32" i="4"/>
  <c r="AE33" i="4"/>
  <c r="AE34" i="4"/>
  <c r="AE35" i="4"/>
  <c r="AE37" i="4"/>
  <c r="AF29" i="4"/>
  <c r="AF30" i="4"/>
  <c r="AF31" i="4"/>
  <c r="AF32" i="4"/>
  <c r="AF33" i="4"/>
  <c r="AF34" i="4"/>
  <c r="AF35" i="4"/>
  <c r="AF37" i="4"/>
  <c r="AG29" i="4"/>
  <c r="AG30" i="4"/>
  <c r="AG31" i="4"/>
  <c r="AG32" i="4"/>
  <c r="AG33" i="4"/>
  <c r="AG34" i="4"/>
  <c r="AG35" i="4"/>
  <c r="AG37" i="4"/>
  <c r="AH29" i="4"/>
  <c r="AH30" i="4"/>
  <c r="AH31" i="4"/>
  <c r="AH32" i="4"/>
  <c r="AH33" i="4"/>
  <c r="AH34" i="4"/>
  <c r="AH35" i="4"/>
  <c r="AH37" i="4"/>
  <c r="AI29" i="4"/>
  <c r="AI30" i="4"/>
  <c r="AI31" i="4"/>
  <c r="AI32" i="4"/>
  <c r="AI33" i="4"/>
  <c r="AI34" i="4"/>
  <c r="AI35" i="4"/>
  <c r="AI37" i="4"/>
  <c r="AJ29" i="4"/>
  <c r="AJ30" i="4"/>
  <c r="AJ31" i="4"/>
  <c r="AJ32" i="4"/>
  <c r="AJ33" i="4"/>
  <c r="AJ34" i="4"/>
  <c r="AJ35" i="4"/>
  <c r="AJ37" i="4"/>
  <c r="AK29" i="4"/>
  <c r="AK30" i="4"/>
  <c r="AK31" i="4"/>
  <c r="AK32" i="4"/>
  <c r="AK33" i="4"/>
  <c r="AK34" i="4"/>
  <c r="AK35" i="4"/>
  <c r="AK37" i="4"/>
  <c r="AL29" i="4"/>
  <c r="AL30" i="4"/>
  <c r="AL31" i="4"/>
  <c r="AL32" i="4"/>
  <c r="AL33" i="4"/>
  <c r="AL34" i="4"/>
  <c r="AL35" i="4"/>
  <c r="AL37" i="4"/>
  <c r="AM29" i="4"/>
  <c r="AM30" i="4"/>
  <c r="AM31" i="4"/>
  <c r="AM32" i="4"/>
  <c r="AM33" i="4"/>
  <c r="AM34" i="4"/>
  <c r="AM35" i="4"/>
  <c r="AM37" i="4"/>
  <c r="AN29" i="4"/>
  <c r="AN30" i="4"/>
  <c r="AN31" i="4"/>
  <c r="AN32" i="4"/>
  <c r="AN33" i="4"/>
  <c r="AN34" i="4"/>
  <c r="AN35" i="4"/>
  <c r="AN37" i="4"/>
  <c r="AO29" i="4"/>
  <c r="AO30" i="4"/>
  <c r="AO31" i="4"/>
  <c r="AO32" i="4"/>
  <c r="AO33" i="4"/>
  <c r="AO34" i="4"/>
  <c r="AO35" i="4"/>
  <c r="AO37" i="4"/>
  <c r="AP29" i="4"/>
  <c r="AP30" i="4"/>
  <c r="AP31" i="4"/>
  <c r="AP32" i="4"/>
  <c r="AP33" i="4"/>
  <c r="AP34" i="4"/>
  <c r="AP35" i="4"/>
  <c r="AP37" i="4"/>
  <c r="AQ29" i="4"/>
  <c r="AQ30" i="4"/>
  <c r="AQ31" i="4"/>
  <c r="AQ32" i="4"/>
  <c r="AQ33" i="4"/>
  <c r="AQ34" i="4"/>
  <c r="AQ35" i="4"/>
  <c r="AQ37" i="4"/>
  <c r="AR29" i="4"/>
  <c r="AR30" i="4"/>
  <c r="AR31" i="4"/>
  <c r="AR32" i="4"/>
  <c r="AR33" i="4"/>
  <c r="AR34" i="4"/>
  <c r="AR35" i="4"/>
  <c r="AR37" i="4"/>
  <c r="AS29" i="4"/>
  <c r="AS30" i="4"/>
  <c r="AS31" i="4"/>
  <c r="AS32" i="4"/>
  <c r="AS33" i="4"/>
  <c r="AS34" i="4"/>
  <c r="AS35" i="4"/>
  <c r="AS37" i="4"/>
  <c r="AT29" i="4"/>
  <c r="AT30" i="4"/>
  <c r="AT31" i="4"/>
  <c r="AT32" i="4"/>
  <c r="AT33" i="4"/>
  <c r="AT34" i="4"/>
  <c r="AT35" i="4"/>
  <c r="AT37" i="4"/>
  <c r="AU29" i="4"/>
  <c r="AU30" i="4"/>
  <c r="AU31" i="4"/>
  <c r="AU32" i="4"/>
  <c r="AU33" i="4"/>
  <c r="AU34" i="4"/>
  <c r="AU35" i="4"/>
  <c r="AU37" i="4"/>
  <c r="AV29" i="4"/>
  <c r="AV30" i="4"/>
  <c r="AV31" i="4"/>
  <c r="AV32" i="4"/>
  <c r="AV33" i="4"/>
  <c r="AV34" i="4"/>
  <c r="AV35" i="4"/>
  <c r="AV37" i="4"/>
  <c r="AW29" i="4"/>
  <c r="AW30" i="4"/>
  <c r="AW31" i="4"/>
  <c r="AW32" i="4"/>
  <c r="AW33" i="4"/>
  <c r="AW34" i="4"/>
  <c r="AW35" i="4"/>
  <c r="AW37" i="4"/>
  <c r="AX29" i="4"/>
  <c r="AX30" i="4"/>
  <c r="AX31" i="4"/>
  <c r="AX32" i="4"/>
  <c r="AX33" i="4"/>
  <c r="AX34" i="4"/>
  <c r="AX35" i="4"/>
  <c r="AX37" i="4"/>
  <c r="AY29" i="4"/>
  <c r="AY30" i="4"/>
  <c r="AY31" i="4"/>
  <c r="AY32" i="4"/>
  <c r="AY33" i="4"/>
  <c r="AY34" i="4"/>
  <c r="AY35" i="4"/>
  <c r="AY37" i="4"/>
  <c r="AZ29" i="4"/>
  <c r="AZ30" i="4"/>
  <c r="AZ31" i="4"/>
  <c r="AZ32" i="4"/>
  <c r="AZ33" i="4"/>
  <c r="AZ34" i="4"/>
  <c r="AZ35" i="4"/>
  <c r="AZ37" i="4"/>
  <c r="BA29" i="4"/>
  <c r="BA30" i="4"/>
  <c r="BA31" i="4"/>
  <c r="BA32" i="4"/>
  <c r="BA33" i="4"/>
  <c r="BA34" i="4"/>
  <c r="BA35" i="4"/>
  <c r="BA37" i="4"/>
  <c r="BB29" i="4"/>
  <c r="BB30" i="4"/>
  <c r="BB31" i="4"/>
  <c r="BB32" i="4"/>
  <c r="BB33" i="4"/>
  <c r="BB34" i="4"/>
  <c r="BB35" i="4"/>
  <c r="BB37" i="4"/>
  <c r="BC29" i="4"/>
  <c r="BC30" i="4"/>
  <c r="BC31" i="4"/>
  <c r="BC32" i="4"/>
  <c r="BC33" i="4"/>
  <c r="BC34" i="4"/>
  <c r="BC35" i="4"/>
  <c r="BC37" i="4"/>
  <c r="BD29" i="4"/>
  <c r="BD30" i="4"/>
  <c r="BD31" i="4"/>
  <c r="BD32" i="4"/>
  <c r="BD33" i="4"/>
  <c r="BD34" i="4"/>
  <c r="BD35" i="4"/>
  <c r="BD37" i="4"/>
  <c r="BE29" i="4"/>
  <c r="BE30" i="4"/>
  <c r="BE31" i="4"/>
  <c r="BE32" i="4"/>
  <c r="BE33" i="4"/>
  <c r="BE34" i="4"/>
  <c r="BE35" i="4"/>
  <c r="BE37" i="4"/>
  <c r="BF29" i="4"/>
  <c r="BF30" i="4"/>
  <c r="BF31" i="4"/>
  <c r="BF32" i="4"/>
  <c r="BF33" i="4"/>
  <c r="BF34" i="4"/>
  <c r="BF35" i="4"/>
  <c r="BF37" i="4"/>
  <c r="BG29" i="4"/>
  <c r="BG30" i="4"/>
  <c r="BG31" i="4"/>
  <c r="BG32" i="4"/>
  <c r="BG33" i="4"/>
  <c r="BG34" i="4"/>
  <c r="BG35" i="4"/>
  <c r="BG37" i="4"/>
  <c r="BH29" i="4"/>
  <c r="BH30" i="4"/>
  <c r="BH31" i="4"/>
  <c r="BH32" i="4"/>
  <c r="BH33" i="4"/>
  <c r="BH34" i="4"/>
  <c r="BH35" i="4"/>
  <c r="BH37" i="4"/>
  <c r="BI29" i="4"/>
  <c r="BI30" i="4"/>
  <c r="BI31" i="4"/>
  <c r="BI32" i="4"/>
  <c r="BI33" i="4"/>
  <c r="BI34" i="4"/>
  <c r="BI35" i="4"/>
  <c r="BI37" i="4"/>
  <c r="BJ29" i="4"/>
  <c r="BJ30" i="4"/>
  <c r="BJ31" i="4"/>
  <c r="BJ32" i="4"/>
  <c r="BJ33" i="4"/>
  <c r="BJ34" i="4"/>
  <c r="BJ35" i="4"/>
  <c r="BJ37" i="4"/>
  <c r="BK29" i="4"/>
  <c r="BK30" i="4"/>
  <c r="BK31" i="4"/>
  <c r="BK32" i="4"/>
  <c r="BK33" i="4"/>
  <c r="BK34" i="4"/>
  <c r="BK35" i="4"/>
  <c r="BK37" i="4"/>
  <c r="BL29" i="4"/>
  <c r="BL30" i="4"/>
  <c r="BL31" i="4"/>
  <c r="BL32" i="4"/>
  <c r="BL33" i="4"/>
  <c r="BL34" i="4"/>
  <c r="BL35" i="4"/>
  <c r="BL37" i="4"/>
  <c r="BM29" i="4"/>
  <c r="BM30" i="4"/>
  <c r="BM31" i="4"/>
  <c r="BM32" i="4"/>
  <c r="BM33" i="4"/>
  <c r="BM34" i="4"/>
  <c r="BM35" i="4"/>
  <c r="BM37" i="4"/>
  <c r="BN29" i="4"/>
  <c r="BN30" i="4"/>
  <c r="BN31" i="4"/>
  <c r="BN32" i="4"/>
  <c r="BN33" i="4"/>
  <c r="BN34" i="4"/>
  <c r="BN35" i="4"/>
  <c r="BN37" i="4"/>
  <c r="BO29" i="4"/>
  <c r="BO30" i="4"/>
  <c r="BO31" i="4"/>
  <c r="BO32" i="4"/>
  <c r="BO33" i="4"/>
  <c r="BO34" i="4"/>
  <c r="BO35" i="4"/>
  <c r="BO37" i="4"/>
  <c r="BP29" i="4"/>
  <c r="BP30" i="4"/>
  <c r="BP31" i="4"/>
  <c r="BP32" i="4"/>
  <c r="BP33" i="4"/>
  <c r="BP34" i="4"/>
  <c r="BP35" i="4"/>
  <c r="BP37" i="4"/>
  <c r="BQ29" i="4"/>
  <c r="BQ30" i="4"/>
  <c r="BQ31" i="4"/>
  <c r="BQ32" i="4"/>
  <c r="BQ33" i="4"/>
  <c r="BQ34" i="4"/>
  <c r="BQ35" i="4"/>
  <c r="BQ37" i="4"/>
  <c r="BR29" i="4"/>
  <c r="BR30" i="4"/>
  <c r="BR31" i="4"/>
  <c r="BR32" i="4"/>
  <c r="BR33" i="4"/>
  <c r="BR34" i="4"/>
  <c r="BR35" i="4"/>
  <c r="BR37" i="4"/>
  <c r="BS29" i="4"/>
  <c r="BS30" i="4"/>
  <c r="BS31" i="4"/>
  <c r="BS32" i="4"/>
  <c r="BS33" i="4"/>
  <c r="BS34" i="4"/>
  <c r="BS35" i="4"/>
  <c r="BS37" i="4"/>
  <c r="BT29" i="4"/>
  <c r="BT30" i="4"/>
  <c r="BT31" i="4"/>
  <c r="BT32" i="4"/>
  <c r="BT33" i="4"/>
  <c r="BT34" i="4"/>
  <c r="BT35" i="4"/>
  <c r="BT37" i="4"/>
  <c r="M37" i="4"/>
  <c r="N4" i="17"/>
  <c r="O4" i="17"/>
  <c r="P4" i="17"/>
  <c r="Q4" i="17"/>
  <c r="R4" i="17"/>
  <c r="S4" i="17"/>
  <c r="T4" i="17"/>
  <c r="U4" i="17"/>
  <c r="V4" i="17"/>
  <c r="W4" i="17"/>
  <c r="X4" i="17"/>
  <c r="Y4" i="17"/>
  <c r="Z4" i="17"/>
  <c r="AA4" i="17"/>
  <c r="AB4" i="17"/>
  <c r="AC4" i="17"/>
  <c r="AD4" i="17"/>
  <c r="AE4" i="17"/>
  <c r="AF4" i="17"/>
  <c r="AG4" i="17"/>
  <c r="AH4" i="17"/>
  <c r="AI4" i="17"/>
  <c r="AJ4" i="17"/>
  <c r="AK4" i="17"/>
  <c r="AL4" i="17"/>
  <c r="AM4" i="17"/>
  <c r="AN4" i="17"/>
  <c r="AO4" i="17"/>
  <c r="AP4" i="17"/>
  <c r="AQ4" i="17"/>
  <c r="AR4" i="17"/>
  <c r="AS4" i="17"/>
  <c r="AT4" i="17"/>
  <c r="AU4" i="17"/>
  <c r="AV4" i="17"/>
  <c r="AW4" i="17"/>
  <c r="AX4" i="17"/>
  <c r="AY4" i="17"/>
  <c r="AZ4" i="17"/>
  <c r="BA4" i="17"/>
  <c r="BB4" i="17"/>
  <c r="BC4" i="17"/>
  <c r="BD4" i="17"/>
  <c r="BE4" i="17"/>
  <c r="BF4" i="17"/>
  <c r="BG4" i="17"/>
  <c r="BH4" i="17"/>
  <c r="BI4" i="17"/>
  <c r="BJ4" i="17"/>
  <c r="BK4" i="17"/>
  <c r="BL4" i="17"/>
  <c r="BM4" i="17"/>
  <c r="BN4" i="17"/>
  <c r="BO4" i="17"/>
  <c r="BP4" i="17"/>
  <c r="BQ4" i="17"/>
  <c r="BR4" i="17"/>
  <c r="BS4" i="17"/>
  <c r="BT4" i="17"/>
  <c r="N5" i="17"/>
  <c r="O5" i="17"/>
  <c r="P5" i="17"/>
  <c r="Q5" i="17"/>
  <c r="R5" i="17"/>
  <c r="S5" i="17"/>
  <c r="T5" i="17"/>
  <c r="U5" i="17"/>
  <c r="V5" i="17"/>
  <c r="W5" i="17"/>
  <c r="X5" i="17"/>
  <c r="Y5" i="17"/>
  <c r="Z5" i="17"/>
  <c r="AA5" i="17"/>
  <c r="AB5" i="17"/>
  <c r="AC5" i="17"/>
  <c r="AD5" i="17"/>
  <c r="AE5" i="17"/>
  <c r="AF5" i="17"/>
  <c r="AG5" i="17"/>
  <c r="AH5" i="17"/>
  <c r="AI5" i="17"/>
  <c r="AJ5" i="17"/>
  <c r="AK5" i="17"/>
  <c r="AL5" i="17"/>
  <c r="AM5" i="17"/>
  <c r="AN5" i="17"/>
  <c r="AO5" i="17"/>
  <c r="AP5" i="17"/>
  <c r="AQ5" i="17"/>
  <c r="AR5" i="17"/>
  <c r="AS5" i="17"/>
  <c r="AT5" i="17"/>
  <c r="AU5" i="17"/>
  <c r="AV5" i="17"/>
  <c r="AW5" i="17"/>
  <c r="AX5" i="17"/>
  <c r="AY5" i="17"/>
  <c r="AZ5" i="17"/>
  <c r="BA5" i="17"/>
  <c r="BB5" i="17"/>
  <c r="BC5" i="17"/>
  <c r="BD5" i="17"/>
  <c r="BE5" i="17"/>
  <c r="BF5" i="17"/>
  <c r="BG5" i="17"/>
  <c r="BH5" i="17"/>
  <c r="BI5" i="17"/>
  <c r="BJ5" i="17"/>
  <c r="BK5" i="17"/>
  <c r="BL5" i="17"/>
  <c r="BM5" i="17"/>
  <c r="BN5" i="17"/>
  <c r="BO5" i="17"/>
  <c r="BP5" i="17"/>
  <c r="BQ5" i="17"/>
  <c r="BR5" i="17"/>
  <c r="BS5" i="17"/>
  <c r="BT5" i="17"/>
  <c r="N6" i="17"/>
  <c r="O6" i="17"/>
  <c r="P6" i="17"/>
  <c r="Q6" i="17"/>
  <c r="R6" i="17"/>
  <c r="S6" i="17"/>
  <c r="T6" i="17"/>
  <c r="U6" i="17"/>
  <c r="V6" i="17"/>
  <c r="W6" i="17"/>
  <c r="X6" i="17"/>
  <c r="Y6" i="17"/>
  <c r="Z6" i="17"/>
  <c r="AA6" i="17"/>
  <c r="AB6" i="17"/>
  <c r="AC6" i="17"/>
  <c r="AD6" i="17"/>
  <c r="AE6" i="17"/>
  <c r="AF6" i="17"/>
  <c r="AG6" i="17"/>
  <c r="AH6" i="17"/>
  <c r="AI6" i="17"/>
  <c r="AJ6" i="17"/>
  <c r="AK6" i="17"/>
  <c r="AL6" i="17"/>
  <c r="AM6" i="17"/>
  <c r="AN6" i="17"/>
  <c r="AO6" i="17"/>
  <c r="AP6" i="17"/>
  <c r="AQ6" i="17"/>
  <c r="AR6" i="17"/>
  <c r="AS6" i="17"/>
  <c r="AT6" i="17"/>
  <c r="AU6" i="17"/>
  <c r="AV6" i="17"/>
  <c r="AW6" i="17"/>
  <c r="AX6" i="17"/>
  <c r="AY6" i="17"/>
  <c r="AZ6" i="17"/>
  <c r="BA6" i="17"/>
  <c r="BB6" i="17"/>
  <c r="BC6" i="17"/>
  <c r="BD6" i="17"/>
  <c r="BE6" i="17"/>
  <c r="BF6" i="17"/>
  <c r="BG6" i="17"/>
  <c r="BH6" i="17"/>
  <c r="BI6" i="17"/>
  <c r="BJ6" i="17"/>
  <c r="BK6" i="17"/>
  <c r="BL6" i="17"/>
  <c r="BM6" i="17"/>
  <c r="BN6" i="17"/>
  <c r="BO6" i="17"/>
  <c r="BP6" i="17"/>
  <c r="BQ6" i="17"/>
  <c r="BR6" i="17"/>
  <c r="BS6" i="17"/>
  <c r="BT6" i="17"/>
  <c r="M7" i="17"/>
  <c r="N7" i="17"/>
  <c r="O7" i="17"/>
  <c r="P7" i="17"/>
  <c r="Q7" i="17"/>
  <c r="R7" i="17"/>
  <c r="S7" i="17"/>
  <c r="T7" i="17"/>
  <c r="U7" i="17"/>
  <c r="V7" i="17"/>
  <c r="W7" i="17"/>
  <c r="X7" i="17"/>
  <c r="Y7" i="17"/>
  <c r="Z7" i="17"/>
  <c r="AA7" i="17"/>
  <c r="AB7" i="17"/>
  <c r="AC7" i="17"/>
  <c r="AD7" i="17"/>
  <c r="AE7" i="17"/>
  <c r="AF7" i="17"/>
  <c r="AG7" i="17"/>
  <c r="AH7" i="17"/>
  <c r="AI7" i="17"/>
  <c r="AJ7" i="17"/>
  <c r="AK7" i="17"/>
  <c r="AL7" i="17"/>
  <c r="AM7" i="17"/>
  <c r="AN7" i="17"/>
  <c r="AO7" i="17"/>
  <c r="AP7" i="17"/>
  <c r="AQ7" i="17"/>
  <c r="AR7" i="17"/>
  <c r="AS7" i="17"/>
  <c r="AT7" i="17"/>
  <c r="AU7" i="17"/>
  <c r="AV7" i="17"/>
  <c r="AW7" i="17"/>
  <c r="AX7" i="17"/>
  <c r="AY7" i="17"/>
  <c r="AZ7" i="17"/>
  <c r="BA7" i="17"/>
  <c r="BB7" i="17"/>
  <c r="BC7" i="17"/>
  <c r="BD7" i="17"/>
  <c r="BE7" i="17"/>
  <c r="BF7" i="17"/>
  <c r="BG7" i="17"/>
  <c r="BH7" i="17"/>
  <c r="BI7" i="17"/>
  <c r="BJ7" i="17"/>
  <c r="BK7" i="17"/>
  <c r="BL7" i="17"/>
  <c r="BM7" i="17"/>
  <c r="BN7" i="17"/>
  <c r="BO7" i="17"/>
  <c r="BP7" i="17"/>
  <c r="BQ7" i="17"/>
  <c r="BR7" i="17"/>
  <c r="BS7" i="17"/>
  <c r="BT7" i="17"/>
  <c r="M8" i="17"/>
  <c r="N8" i="17"/>
  <c r="O8" i="17"/>
  <c r="P8" i="17"/>
  <c r="Q8" i="17"/>
  <c r="R8" i="17"/>
  <c r="S8" i="17"/>
  <c r="T8" i="17"/>
  <c r="U8" i="17"/>
  <c r="V8" i="17"/>
  <c r="W8" i="17"/>
  <c r="X8" i="17"/>
  <c r="Y8" i="17"/>
  <c r="Z8" i="17"/>
  <c r="AA8" i="17"/>
  <c r="AB8" i="17"/>
  <c r="AC8" i="17"/>
  <c r="AD8" i="17"/>
  <c r="AE8" i="17"/>
  <c r="AF8" i="17"/>
  <c r="AG8" i="17"/>
  <c r="AH8" i="17"/>
  <c r="AI8" i="17"/>
  <c r="AJ8" i="17"/>
  <c r="AK8" i="17"/>
  <c r="AL8" i="17"/>
  <c r="AM8" i="17"/>
  <c r="AN8" i="17"/>
  <c r="AO8" i="17"/>
  <c r="AP8" i="17"/>
  <c r="AQ8" i="17"/>
  <c r="AR8" i="17"/>
  <c r="AS8" i="17"/>
  <c r="AT8" i="17"/>
  <c r="AU8" i="17"/>
  <c r="AV8" i="17"/>
  <c r="AW8" i="17"/>
  <c r="AX8" i="17"/>
  <c r="AY8" i="17"/>
  <c r="AZ8" i="17"/>
  <c r="BA8" i="17"/>
  <c r="BB8" i="17"/>
  <c r="BC8" i="17"/>
  <c r="BD8" i="17"/>
  <c r="BE8" i="17"/>
  <c r="BF8" i="17"/>
  <c r="BG8" i="17"/>
  <c r="BH8" i="17"/>
  <c r="BI8" i="17"/>
  <c r="BJ8" i="17"/>
  <c r="BK8" i="17"/>
  <c r="BL8" i="17"/>
  <c r="BM8" i="17"/>
  <c r="BN8" i="17"/>
  <c r="BO8" i="17"/>
  <c r="BP8" i="17"/>
  <c r="BQ8" i="17"/>
  <c r="BR8" i="17"/>
  <c r="BS8" i="17"/>
  <c r="BT8" i="17"/>
  <c r="N9" i="17"/>
  <c r="O9" i="17"/>
  <c r="P9" i="17"/>
  <c r="Q9" i="17"/>
  <c r="R9" i="17"/>
  <c r="S9" i="17"/>
  <c r="T9" i="17"/>
  <c r="U9" i="17"/>
  <c r="V9" i="17"/>
  <c r="W9" i="17"/>
  <c r="X9" i="17"/>
  <c r="Y9" i="17"/>
  <c r="Z9" i="17"/>
  <c r="AA9" i="17"/>
  <c r="AB9" i="17"/>
  <c r="AC9" i="17"/>
  <c r="AD9" i="17"/>
  <c r="AE9" i="17"/>
  <c r="AF9" i="17"/>
  <c r="AG9" i="17"/>
  <c r="AH9" i="17"/>
  <c r="AI9" i="17"/>
  <c r="AJ9" i="17"/>
  <c r="AK9" i="17"/>
  <c r="AL9" i="17"/>
  <c r="AM9" i="17"/>
  <c r="AN9" i="17"/>
  <c r="AO9" i="17"/>
  <c r="AP9" i="17"/>
  <c r="AQ9" i="17"/>
  <c r="AR9" i="17"/>
  <c r="AS9" i="17"/>
  <c r="AT9" i="17"/>
  <c r="AU9" i="17"/>
  <c r="AV9" i="17"/>
  <c r="AW9" i="17"/>
  <c r="AX9" i="17"/>
  <c r="AY9" i="17"/>
  <c r="AZ9" i="17"/>
  <c r="BA9" i="17"/>
  <c r="BB9" i="17"/>
  <c r="BC9" i="17"/>
  <c r="BD9" i="17"/>
  <c r="BE9" i="17"/>
  <c r="BF9" i="17"/>
  <c r="BG9" i="17"/>
  <c r="BH9" i="17"/>
  <c r="BI9" i="17"/>
  <c r="BJ9" i="17"/>
  <c r="BK9" i="17"/>
  <c r="BL9" i="17"/>
  <c r="BM9" i="17"/>
  <c r="BN9" i="17"/>
  <c r="BO9" i="17"/>
  <c r="BP9" i="17"/>
  <c r="BQ9" i="17"/>
  <c r="BR9" i="17"/>
  <c r="BS9" i="17"/>
  <c r="BT9" i="17"/>
  <c r="N10" i="17"/>
  <c r="O10" i="17"/>
  <c r="P10" i="17"/>
  <c r="Q10" i="17"/>
  <c r="R10" i="17"/>
  <c r="S10" i="17"/>
  <c r="T10" i="17"/>
  <c r="U10" i="17"/>
  <c r="V10" i="17"/>
  <c r="W10" i="17"/>
  <c r="X10" i="17"/>
  <c r="Y10" i="17"/>
  <c r="Z10" i="17"/>
  <c r="AA10" i="17"/>
  <c r="AB10" i="17"/>
  <c r="AC10" i="17"/>
  <c r="AD10" i="17"/>
  <c r="AE10" i="17"/>
  <c r="AF10" i="17"/>
  <c r="AG10" i="17"/>
  <c r="AH10" i="17"/>
  <c r="AI10" i="17"/>
  <c r="AJ10" i="17"/>
  <c r="AK10" i="17"/>
  <c r="AL10" i="17"/>
  <c r="AM10" i="17"/>
  <c r="AN10" i="17"/>
  <c r="AO10" i="17"/>
  <c r="AP10" i="17"/>
  <c r="AQ10" i="17"/>
  <c r="AR10" i="17"/>
  <c r="AS10" i="17"/>
  <c r="AT10" i="17"/>
  <c r="AU10" i="17"/>
  <c r="AV10" i="17"/>
  <c r="AW10" i="17"/>
  <c r="AX10" i="17"/>
  <c r="AY10" i="17"/>
  <c r="AZ10" i="17"/>
  <c r="BA10" i="17"/>
  <c r="BB10" i="17"/>
  <c r="BC10" i="17"/>
  <c r="BD10" i="17"/>
  <c r="BE10" i="17"/>
  <c r="BF10" i="17"/>
  <c r="BG10" i="17"/>
  <c r="BH10" i="17"/>
  <c r="BI10" i="17"/>
  <c r="BJ10" i="17"/>
  <c r="BK10" i="17"/>
  <c r="BL10" i="17"/>
  <c r="BM10" i="17"/>
  <c r="BN10" i="17"/>
  <c r="BO10" i="17"/>
  <c r="BP10" i="17"/>
  <c r="BQ10" i="17"/>
  <c r="BR10" i="17"/>
  <c r="BS10" i="17"/>
  <c r="BT10" i="17"/>
  <c r="N11" i="17"/>
  <c r="O11" i="17"/>
  <c r="P11" i="17"/>
  <c r="Q11" i="17"/>
  <c r="R11" i="17"/>
  <c r="S11" i="17"/>
  <c r="T11" i="17"/>
  <c r="U11" i="17"/>
  <c r="V11" i="17"/>
  <c r="W11" i="17"/>
  <c r="X11" i="17"/>
  <c r="Y11" i="17"/>
  <c r="Z11" i="17"/>
  <c r="AA11" i="17"/>
  <c r="AB11" i="17"/>
  <c r="AC11" i="17"/>
  <c r="AD11" i="17"/>
  <c r="AE11" i="17"/>
  <c r="AF11" i="17"/>
  <c r="AG11" i="17"/>
  <c r="AH11" i="17"/>
  <c r="AI11" i="17"/>
  <c r="AJ11" i="17"/>
  <c r="AK11" i="17"/>
  <c r="AL11" i="17"/>
  <c r="AM11" i="17"/>
  <c r="AN11" i="17"/>
  <c r="AO11" i="17"/>
  <c r="AP11" i="17"/>
  <c r="AQ11" i="17"/>
  <c r="AR11" i="17"/>
  <c r="AS11" i="17"/>
  <c r="AT11" i="17"/>
  <c r="AU11" i="17"/>
  <c r="AV11" i="17"/>
  <c r="AW11" i="17"/>
  <c r="AX11" i="17"/>
  <c r="AY11" i="17"/>
  <c r="AZ11" i="17"/>
  <c r="BA11" i="17"/>
  <c r="BB11" i="17"/>
  <c r="BC11" i="17"/>
  <c r="BD11" i="17"/>
  <c r="BE11" i="17"/>
  <c r="BF11" i="17"/>
  <c r="BG11" i="17"/>
  <c r="BH11" i="17"/>
  <c r="BI11" i="17"/>
  <c r="BJ11" i="17"/>
  <c r="BK11" i="17"/>
  <c r="BL11" i="17"/>
  <c r="BM11" i="17"/>
  <c r="BN11" i="17"/>
  <c r="BO11" i="17"/>
  <c r="BP11" i="17"/>
  <c r="BQ11" i="17"/>
  <c r="BR11" i="17"/>
  <c r="BS11" i="17"/>
  <c r="BT11" i="17"/>
  <c r="M11" i="17"/>
  <c r="M10" i="17"/>
  <c r="M9" i="17"/>
  <c r="C21" i="17" a="1"/>
  <c r="C21" i="17"/>
  <c r="C24" i="17"/>
  <c r="M4" i="17"/>
  <c r="D24" i="17"/>
  <c r="E24" i="17"/>
  <c r="F24" i="17"/>
  <c r="G24" i="17"/>
  <c r="M6" i="17"/>
  <c r="M19" i="4"/>
  <c r="M20" i="4"/>
  <c r="M21" i="4"/>
  <c r="M22" i="4"/>
  <c r="M23" i="4"/>
  <c r="M24" i="4"/>
  <c r="M25" i="4"/>
  <c r="M27" i="4"/>
  <c r="N19" i="4"/>
  <c r="N20" i="4"/>
  <c r="N21" i="4"/>
  <c r="N22" i="4"/>
  <c r="N23" i="4"/>
  <c r="N24" i="4"/>
  <c r="N25" i="4"/>
  <c r="N27" i="4"/>
  <c r="O19" i="4"/>
  <c r="O20" i="4"/>
  <c r="O21" i="4"/>
  <c r="O22" i="4"/>
  <c r="O23" i="4"/>
  <c r="O24" i="4"/>
  <c r="O25" i="4"/>
  <c r="O27" i="4"/>
  <c r="P19" i="4"/>
  <c r="P20" i="4"/>
  <c r="P21" i="4"/>
  <c r="P22" i="4"/>
  <c r="P23" i="4"/>
  <c r="P24" i="4"/>
  <c r="P25" i="4"/>
  <c r="P27" i="4"/>
  <c r="Q19" i="4"/>
  <c r="Q20" i="4"/>
  <c r="Q21" i="4"/>
  <c r="Q22" i="4"/>
  <c r="Q23" i="4"/>
  <c r="Q24" i="4"/>
  <c r="Q25" i="4"/>
  <c r="Q27" i="4"/>
  <c r="R19" i="4"/>
  <c r="R20" i="4"/>
  <c r="R21" i="4"/>
  <c r="R22" i="4"/>
  <c r="R23" i="4"/>
  <c r="R24" i="4"/>
  <c r="R25" i="4"/>
  <c r="R27" i="4"/>
  <c r="S19" i="4"/>
  <c r="S20" i="4"/>
  <c r="S21" i="4"/>
  <c r="S22" i="4"/>
  <c r="S23" i="4"/>
  <c r="S24" i="4"/>
  <c r="S25" i="4"/>
  <c r="S27" i="4"/>
  <c r="T19" i="4"/>
  <c r="T20" i="4"/>
  <c r="T21" i="4"/>
  <c r="T22" i="4"/>
  <c r="T23" i="4"/>
  <c r="T24" i="4"/>
  <c r="T25" i="4"/>
  <c r="T27" i="4"/>
  <c r="U19" i="4"/>
  <c r="U20" i="4"/>
  <c r="U21" i="4"/>
  <c r="U22" i="4"/>
  <c r="U23" i="4"/>
  <c r="U24" i="4"/>
  <c r="U25" i="4"/>
  <c r="U27" i="4"/>
  <c r="V19" i="4"/>
  <c r="V20" i="4"/>
  <c r="V21" i="4"/>
  <c r="V22" i="4"/>
  <c r="V23" i="4"/>
  <c r="V24" i="4"/>
  <c r="V25" i="4"/>
  <c r="V27" i="4"/>
  <c r="W19" i="4"/>
  <c r="W20" i="4"/>
  <c r="W21" i="4"/>
  <c r="W22" i="4"/>
  <c r="W23" i="4"/>
  <c r="W24" i="4"/>
  <c r="W25" i="4"/>
  <c r="W27" i="4"/>
  <c r="X19" i="4"/>
  <c r="X20" i="4"/>
  <c r="X21" i="4"/>
  <c r="X22" i="4"/>
  <c r="X23" i="4"/>
  <c r="X24" i="4"/>
  <c r="X25" i="4"/>
  <c r="X27" i="4"/>
  <c r="H13" i="4"/>
  <c r="Y19" i="4"/>
  <c r="H14" i="4"/>
  <c r="Y20" i="4"/>
  <c r="H15" i="4"/>
  <c r="Y21" i="4"/>
  <c r="Y22" i="4"/>
  <c r="Y23" i="4"/>
  <c r="Y24" i="4"/>
  <c r="Y25" i="4"/>
  <c r="Y27" i="4"/>
  <c r="Z19" i="4"/>
  <c r="Z20" i="4"/>
  <c r="Z21" i="4"/>
  <c r="Z22" i="4"/>
  <c r="Z23" i="4"/>
  <c r="Z24" i="4"/>
  <c r="Z25" i="4"/>
  <c r="Z27" i="4"/>
  <c r="AA19" i="4"/>
  <c r="AA20" i="4"/>
  <c r="AA21" i="4"/>
  <c r="AA22" i="4"/>
  <c r="AA23" i="4"/>
  <c r="AA24" i="4"/>
  <c r="AA25" i="4"/>
  <c r="AA27" i="4"/>
  <c r="AB19" i="4"/>
  <c r="AB20" i="4"/>
  <c r="AB21" i="4"/>
  <c r="AB22" i="4"/>
  <c r="AB23" i="4"/>
  <c r="AB24" i="4"/>
  <c r="AB25" i="4"/>
  <c r="AB27" i="4"/>
  <c r="AC19" i="4"/>
  <c r="AC20" i="4"/>
  <c r="AC21" i="4"/>
  <c r="AC22" i="4"/>
  <c r="AC23" i="4"/>
  <c r="AC24" i="4"/>
  <c r="AC25" i="4"/>
  <c r="AC27" i="4"/>
  <c r="AD19" i="4"/>
  <c r="AD20" i="4"/>
  <c r="AD21" i="4"/>
  <c r="AD22" i="4"/>
  <c r="AD23" i="4"/>
  <c r="AD24" i="4"/>
  <c r="AD25" i="4"/>
  <c r="AD27" i="4"/>
  <c r="AE19" i="4"/>
  <c r="AE20" i="4"/>
  <c r="AE21" i="4"/>
  <c r="AE22" i="4"/>
  <c r="AE23" i="4"/>
  <c r="AE24" i="4"/>
  <c r="AE25" i="4"/>
  <c r="AE27" i="4"/>
  <c r="AF19" i="4"/>
  <c r="AF20" i="4"/>
  <c r="AF21" i="4"/>
  <c r="AF22" i="4"/>
  <c r="AF23" i="4"/>
  <c r="AF24" i="4"/>
  <c r="AF25" i="4"/>
  <c r="AF27" i="4"/>
  <c r="AG19" i="4"/>
  <c r="AG20" i="4"/>
  <c r="AG21" i="4"/>
  <c r="AG22" i="4"/>
  <c r="AG23" i="4"/>
  <c r="AG24" i="4"/>
  <c r="AG25" i="4"/>
  <c r="AG27" i="4"/>
  <c r="AH19" i="4"/>
  <c r="AH20" i="4"/>
  <c r="AH21" i="4"/>
  <c r="AH22" i="4"/>
  <c r="AH23" i="4"/>
  <c r="AH24" i="4"/>
  <c r="AH25" i="4"/>
  <c r="AH27" i="4"/>
  <c r="AI19" i="4"/>
  <c r="AI20" i="4"/>
  <c r="AI21" i="4"/>
  <c r="AI22" i="4"/>
  <c r="AI23" i="4"/>
  <c r="AI24" i="4"/>
  <c r="AI25" i="4"/>
  <c r="AI27" i="4"/>
  <c r="AJ19" i="4"/>
  <c r="AJ20" i="4"/>
  <c r="AJ21" i="4"/>
  <c r="AJ22" i="4"/>
  <c r="AJ23" i="4"/>
  <c r="AJ24" i="4"/>
  <c r="AJ25" i="4"/>
  <c r="AJ27" i="4"/>
  <c r="AK19" i="4"/>
  <c r="AK20" i="4"/>
  <c r="AK21" i="4"/>
  <c r="H16" i="4"/>
  <c r="AK22" i="4"/>
  <c r="AK23" i="4"/>
  <c r="AK24" i="4"/>
  <c r="AK25" i="4"/>
  <c r="AK27" i="4"/>
  <c r="AL19" i="4"/>
  <c r="AL20" i="4"/>
  <c r="AL21" i="4"/>
  <c r="AL22" i="4"/>
  <c r="AL23" i="4"/>
  <c r="AL24" i="4"/>
  <c r="AL25" i="4"/>
  <c r="AL27" i="4"/>
  <c r="AM19" i="4"/>
  <c r="AM20" i="4"/>
  <c r="AM21" i="4"/>
  <c r="AM22" i="4"/>
  <c r="AM23" i="4"/>
  <c r="AM24" i="4"/>
  <c r="AM25" i="4"/>
  <c r="AM27" i="4"/>
  <c r="AN19" i="4"/>
  <c r="AN20" i="4"/>
  <c r="AN21" i="4"/>
  <c r="AN22" i="4"/>
  <c r="AN23" i="4"/>
  <c r="AN24" i="4"/>
  <c r="AN25" i="4"/>
  <c r="AN27" i="4"/>
  <c r="AO19" i="4"/>
  <c r="AO20" i="4"/>
  <c r="AO21" i="4"/>
  <c r="AO22" i="4"/>
  <c r="AO23" i="4"/>
  <c r="AO24" i="4"/>
  <c r="AO25" i="4"/>
  <c r="AO27" i="4"/>
  <c r="AP19" i="4"/>
  <c r="AP20" i="4"/>
  <c r="AP21" i="4"/>
  <c r="AP22" i="4"/>
  <c r="AP23" i="4"/>
  <c r="AP24" i="4"/>
  <c r="AP25" i="4"/>
  <c r="AP27" i="4"/>
  <c r="AQ19" i="4"/>
  <c r="AQ20" i="4"/>
  <c r="AQ21" i="4"/>
  <c r="AQ22" i="4"/>
  <c r="AQ23" i="4"/>
  <c r="AQ24" i="4"/>
  <c r="AQ25" i="4"/>
  <c r="AQ27" i="4"/>
  <c r="AR19" i="4"/>
  <c r="AR20" i="4"/>
  <c r="AR21" i="4"/>
  <c r="AR22" i="4"/>
  <c r="AR23" i="4"/>
  <c r="AR24" i="4"/>
  <c r="AR25" i="4"/>
  <c r="AR27" i="4"/>
  <c r="AS19" i="4"/>
  <c r="AS20" i="4"/>
  <c r="AS21" i="4"/>
  <c r="AS22" i="4"/>
  <c r="AS23" i="4"/>
  <c r="AS24" i="4"/>
  <c r="AS25" i="4"/>
  <c r="AS27" i="4"/>
  <c r="AT19" i="4"/>
  <c r="AT20" i="4"/>
  <c r="AT21" i="4"/>
  <c r="AT22" i="4"/>
  <c r="AT23" i="4"/>
  <c r="AT24" i="4"/>
  <c r="AT25" i="4"/>
  <c r="AT27" i="4"/>
  <c r="AU19" i="4"/>
  <c r="AU20" i="4"/>
  <c r="AU21" i="4"/>
  <c r="AU22" i="4"/>
  <c r="AU23" i="4"/>
  <c r="AU24" i="4"/>
  <c r="AU25" i="4"/>
  <c r="AU27" i="4"/>
  <c r="AV19" i="4"/>
  <c r="AV20" i="4"/>
  <c r="AV21" i="4"/>
  <c r="AV22" i="4"/>
  <c r="AV23" i="4"/>
  <c r="AV24" i="4"/>
  <c r="AV25" i="4"/>
  <c r="AV27" i="4"/>
  <c r="AW19" i="4"/>
  <c r="AW20" i="4"/>
  <c r="AW21" i="4"/>
  <c r="AW22" i="4"/>
  <c r="AW23" i="4"/>
  <c r="H18" i="4"/>
  <c r="AW24" i="4"/>
  <c r="H19" i="4"/>
  <c r="AW25" i="4"/>
  <c r="AW27" i="4"/>
  <c r="AX19" i="4"/>
  <c r="AX20" i="4"/>
  <c r="AX21" i="4"/>
  <c r="AX22" i="4"/>
  <c r="AX23" i="4"/>
  <c r="AX24" i="4"/>
  <c r="AX25" i="4"/>
  <c r="AX27" i="4"/>
  <c r="AY19" i="4"/>
  <c r="AY20" i="4"/>
  <c r="AY21" i="4"/>
  <c r="AY22" i="4"/>
  <c r="AY23" i="4"/>
  <c r="AY24" i="4"/>
  <c r="AY25" i="4"/>
  <c r="AY27" i="4"/>
  <c r="AZ19" i="4"/>
  <c r="AZ20" i="4"/>
  <c r="AZ21" i="4"/>
  <c r="AZ22" i="4"/>
  <c r="AZ23" i="4"/>
  <c r="AZ24" i="4"/>
  <c r="AZ25" i="4"/>
  <c r="AZ27" i="4"/>
  <c r="BA19" i="4"/>
  <c r="BA20" i="4"/>
  <c r="BA21" i="4"/>
  <c r="BA22" i="4"/>
  <c r="BA23" i="4"/>
  <c r="BA24" i="4"/>
  <c r="BA25" i="4"/>
  <c r="BA27" i="4"/>
  <c r="BB19" i="4"/>
  <c r="BB20" i="4"/>
  <c r="BB21" i="4"/>
  <c r="BB22" i="4"/>
  <c r="BB23" i="4"/>
  <c r="BB24" i="4"/>
  <c r="BB25" i="4"/>
  <c r="BB27" i="4"/>
  <c r="BC19" i="4"/>
  <c r="BC20" i="4"/>
  <c r="BC21" i="4"/>
  <c r="BC22" i="4"/>
  <c r="BC23" i="4"/>
  <c r="BC24" i="4"/>
  <c r="BC25" i="4"/>
  <c r="BC27" i="4"/>
  <c r="BD19" i="4"/>
  <c r="BD20" i="4"/>
  <c r="BD21" i="4"/>
  <c r="BD22" i="4"/>
  <c r="BD23" i="4"/>
  <c r="BD24" i="4"/>
  <c r="BD25" i="4"/>
  <c r="BD27" i="4"/>
  <c r="BE19" i="4"/>
  <c r="BE20" i="4"/>
  <c r="BE21" i="4"/>
  <c r="BE22" i="4"/>
  <c r="BE23" i="4"/>
  <c r="BE24" i="4"/>
  <c r="BE25" i="4"/>
  <c r="BE27" i="4"/>
  <c r="BF19" i="4"/>
  <c r="BF20" i="4"/>
  <c r="BF21" i="4"/>
  <c r="BF22" i="4"/>
  <c r="BF23" i="4"/>
  <c r="BF24" i="4"/>
  <c r="BF25" i="4"/>
  <c r="BF27" i="4"/>
  <c r="BG19" i="4"/>
  <c r="BG20" i="4"/>
  <c r="BG21" i="4"/>
  <c r="BG22" i="4"/>
  <c r="BG23" i="4"/>
  <c r="BG24" i="4"/>
  <c r="BG25" i="4"/>
  <c r="BG27" i="4"/>
  <c r="BH19" i="4"/>
  <c r="BH20" i="4"/>
  <c r="BH21" i="4"/>
  <c r="BH22" i="4"/>
  <c r="BH23" i="4"/>
  <c r="BH24" i="4"/>
  <c r="BH25" i="4"/>
  <c r="BH27" i="4"/>
  <c r="BI19" i="4"/>
  <c r="BI20" i="4"/>
  <c r="BI21" i="4"/>
  <c r="BI22" i="4"/>
  <c r="H17" i="4"/>
  <c r="BI23" i="4"/>
  <c r="BI24" i="4"/>
  <c r="BI25" i="4"/>
  <c r="BI27" i="4"/>
  <c r="BJ19" i="4"/>
  <c r="BJ20" i="4"/>
  <c r="BJ21" i="4"/>
  <c r="BJ22" i="4"/>
  <c r="BJ23" i="4"/>
  <c r="BJ24" i="4"/>
  <c r="BJ25" i="4"/>
  <c r="BJ27" i="4"/>
  <c r="BK19" i="4"/>
  <c r="BK20" i="4"/>
  <c r="BK21" i="4"/>
  <c r="BK22" i="4"/>
  <c r="BK23" i="4"/>
  <c r="BK24" i="4"/>
  <c r="BK25" i="4"/>
  <c r="BK27" i="4"/>
  <c r="BL19" i="4"/>
  <c r="BL20" i="4"/>
  <c r="BL21" i="4"/>
  <c r="BL22" i="4"/>
  <c r="BL23" i="4"/>
  <c r="BL24" i="4"/>
  <c r="BL25" i="4"/>
  <c r="BL27" i="4"/>
  <c r="BM19" i="4"/>
  <c r="BM20" i="4"/>
  <c r="BM21" i="4"/>
  <c r="BM22" i="4"/>
  <c r="BM23" i="4"/>
  <c r="BM24" i="4"/>
  <c r="BM25" i="4"/>
  <c r="BM27" i="4"/>
  <c r="BN19" i="4"/>
  <c r="BN20" i="4"/>
  <c r="BN21" i="4"/>
  <c r="BN22" i="4"/>
  <c r="BN23" i="4"/>
  <c r="BN24" i="4"/>
  <c r="BN25" i="4"/>
  <c r="BN27" i="4"/>
  <c r="BO19" i="4"/>
  <c r="BO20" i="4"/>
  <c r="BO21" i="4"/>
  <c r="BO22" i="4"/>
  <c r="BO23" i="4"/>
  <c r="BO24" i="4"/>
  <c r="BO25" i="4"/>
  <c r="BO27" i="4"/>
  <c r="BP19" i="4"/>
  <c r="BP20" i="4"/>
  <c r="BP21" i="4"/>
  <c r="BP22" i="4"/>
  <c r="BP23" i="4"/>
  <c r="BP24" i="4"/>
  <c r="BP25" i="4"/>
  <c r="BP27" i="4"/>
  <c r="BQ19" i="4"/>
  <c r="BQ20" i="4"/>
  <c r="BQ21" i="4"/>
  <c r="BQ22" i="4"/>
  <c r="BQ23" i="4"/>
  <c r="BQ24" i="4"/>
  <c r="BQ25" i="4"/>
  <c r="BQ27" i="4"/>
  <c r="BR19" i="4"/>
  <c r="BR20" i="4"/>
  <c r="BR21" i="4"/>
  <c r="BR22" i="4"/>
  <c r="BR23" i="4"/>
  <c r="BR24" i="4"/>
  <c r="BR25" i="4"/>
  <c r="BR27" i="4"/>
  <c r="BS19" i="4"/>
  <c r="BS20" i="4"/>
  <c r="BS21" i="4"/>
  <c r="BS22" i="4"/>
  <c r="BS23" i="4"/>
  <c r="BS24" i="4"/>
  <c r="BS25" i="4"/>
  <c r="BS27" i="4"/>
  <c r="BT19" i="4"/>
  <c r="BT20" i="4"/>
  <c r="BT21" i="4"/>
  <c r="BT22" i="4"/>
  <c r="BT23" i="4"/>
  <c r="BT24" i="4"/>
  <c r="BT25" i="4"/>
  <c r="BT27" i="4"/>
  <c r="M31" i="3" a="1"/>
  <c r="M31" i="3"/>
  <c r="E12" i="14"/>
  <c r="F12" i="14"/>
  <c r="G12" i="14"/>
  <c r="H12" i="14"/>
  <c r="E64" i="14"/>
  <c r="I12" i="14"/>
  <c r="J12" i="14"/>
  <c r="K12" i="14"/>
  <c r="L12" i="14"/>
  <c r="F64" i="14"/>
  <c r="M12" i="14"/>
  <c r="N12" i="14"/>
  <c r="O12" i="14"/>
  <c r="P12" i="14"/>
  <c r="G64" i="14"/>
  <c r="Q12" i="14"/>
  <c r="R12" i="14"/>
  <c r="S12" i="14"/>
  <c r="T12" i="14"/>
  <c r="H64" i="14"/>
  <c r="U12" i="14"/>
  <c r="V12" i="14"/>
  <c r="W12" i="14"/>
  <c r="X12" i="14"/>
  <c r="I64" i="14"/>
  <c r="D61" i="14" a="1"/>
  <c r="D61" i="14"/>
  <c r="N17" i="11"/>
  <c r="O17" i="11"/>
  <c r="P17" i="11"/>
  <c r="Q17" i="11"/>
  <c r="R17" i="11"/>
  <c r="S17" i="11"/>
  <c r="T17" i="11"/>
  <c r="U17" i="11"/>
  <c r="V17" i="11"/>
  <c r="W17" i="11"/>
  <c r="X17" i="11"/>
  <c r="D28" i="11"/>
  <c r="Y4" i="11"/>
  <c r="Y12" i="11"/>
  <c r="D29" i="11"/>
  <c r="Y5" i="11"/>
  <c r="Y13" i="11"/>
  <c r="D30" i="11"/>
  <c r="Y6" i="11"/>
  <c r="Y14" i="11"/>
  <c r="D31" i="11"/>
  <c r="Y7" i="11"/>
  <c r="Y15" i="11"/>
  <c r="Y17" i="11"/>
  <c r="Z4" i="11"/>
  <c r="Z12" i="11"/>
  <c r="Z5" i="11"/>
  <c r="Z13" i="11"/>
  <c r="Z6" i="11"/>
  <c r="Z14" i="11"/>
  <c r="Z7" i="11"/>
  <c r="Z15" i="11"/>
  <c r="Z17" i="11"/>
  <c r="AA4" i="11"/>
  <c r="AA12" i="11"/>
  <c r="AA5" i="11"/>
  <c r="AA13" i="11"/>
  <c r="AA6" i="11"/>
  <c r="AA14" i="11"/>
  <c r="AA7" i="11"/>
  <c r="AA15" i="11"/>
  <c r="AA17" i="11"/>
  <c r="AB4" i="11"/>
  <c r="AB12" i="11"/>
  <c r="AB5" i="11"/>
  <c r="AB13" i="11"/>
  <c r="AB6" i="11"/>
  <c r="AB14" i="11"/>
  <c r="AB7" i="11"/>
  <c r="AB15" i="11"/>
  <c r="AB17" i="11"/>
  <c r="AC4" i="11"/>
  <c r="AC12" i="11"/>
  <c r="AC5" i="11"/>
  <c r="AC13" i="11"/>
  <c r="AC6" i="11"/>
  <c r="AC14" i="11"/>
  <c r="AC7" i="11"/>
  <c r="AC15" i="11"/>
  <c r="AC17" i="11"/>
  <c r="AD4" i="11"/>
  <c r="AD12" i="11"/>
  <c r="AD5" i="11"/>
  <c r="AD13" i="11"/>
  <c r="AD6" i="11"/>
  <c r="AD14" i="11"/>
  <c r="AD7" i="11"/>
  <c r="AD15" i="11"/>
  <c r="AD17" i="11"/>
  <c r="AE4" i="11"/>
  <c r="AE12" i="11"/>
  <c r="AE5" i="11"/>
  <c r="AE13" i="11"/>
  <c r="AE6" i="11"/>
  <c r="AE14" i="11"/>
  <c r="AE7" i="11"/>
  <c r="AE15" i="11"/>
  <c r="AE17" i="11"/>
  <c r="AF4" i="11"/>
  <c r="AF12" i="11"/>
  <c r="AF5" i="11"/>
  <c r="AF13" i="11"/>
  <c r="AF6" i="11"/>
  <c r="AF14" i="11"/>
  <c r="AF7" i="11"/>
  <c r="AF15" i="11"/>
  <c r="AF17" i="11"/>
  <c r="AG4" i="11"/>
  <c r="AG12" i="11"/>
  <c r="AG5" i="11"/>
  <c r="AG13" i="11"/>
  <c r="AG6" i="11"/>
  <c r="AG14" i="11"/>
  <c r="AG7" i="11"/>
  <c r="AG15" i="11"/>
  <c r="AG17" i="11"/>
  <c r="AH4" i="11"/>
  <c r="AH12" i="11"/>
  <c r="AH5" i="11"/>
  <c r="AH13" i="11"/>
  <c r="AH6" i="11"/>
  <c r="AH14" i="11"/>
  <c r="AH7" i="11"/>
  <c r="AH15" i="11"/>
  <c r="AH17" i="11"/>
  <c r="AI4" i="11"/>
  <c r="AI12" i="11"/>
  <c r="AI5" i="11"/>
  <c r="AI13" i="11"/>
  <c r="AI6" i="11"/>
  <c r="AI14" i="11"/>
  <c r="AI7" i="11"/>
  <c r="AI15" i="11"/>
  <c r="AI17" i="11"/>
  <c r="AJ4" i="11"/>
  <c r="AJ12" i="11"/>
  <c r="AJ5" i="11"/>
  <c r="AJ13" i="11"/>
  <c r="AJ6" i="11"/>
  <c r="AJ14" i="11"/>
  <c r="AJ7" i="11"/>
  <c r="AJ15" i="11"/>
  <c r="AJ17" i="11"/>
  <c r="E28" i="11"/>
  <c r="AK4" i="11"/>
  <c r="AK12" i="11"/>
  <c r="E29" i="11"/>
  <c r="AK5" i="11"/>
  <c r="AK13" i="11"/>
  <c r="E30" i="11"/>
  <c r="AK6" i="11"/>
  <c r="AK14" i="11"/>
  <c r="E31" i="11"/>
  <c r="AK7" i="11"/>
  <c r="AK15" i="11"/>
  <c r="AK17" i="11"/>
  <c r="AL4" i="11"/>
  <c r="AL12" i="11"/>
  <c r="AL5" i="11"/>
  <c r="AL13" i="11"/>
  <c r="AL6" i="11"/>
  <c r="AL14" i="11"/>
  <c r="AL7" i="11"/>
  <c r="AL15" i="11"/>
  <c r="AL17" i="11"/>
  <c r="AM4" i="11"/>
  <c r="AM12" i="11"/>
  <c r="AM5" i="11"/>
  <c r="AM13" i="11"/>
  <c r="AM6" i="11"/>
  <c r="AM14" i="11"/>
  <c r="AM7" i="11"/>
  <c r="AM15" i="11"/>
  <c r="AM17" i="11"/>
  <c r="AN4" i="11"/>
  <c r="AN12" i="11"/>
  <c r="AN5" i="11"/>
  <c r="AN13" i="11"/>
  <c r="AN6" i="11"/>
  <c r="AN14" i="11"/>
  <c r="AN7" i="11"/>
  <c r="AN15" i="11"/>
  <c r="AN17" i="11"/>
  <c r="AO4" i="11"/>
  <c r="AO12" i="11"/>
  <c r="AO5" i="11"/>
  <c r="AO13" i="11"/>
  <c r="AO6" i="11"/>
  <c r="AO14" i="11"/>
  <c r="AO7" i="11"/>
  <c r="AO15" i="11"/>
  <c r="AO17" i="11"/>
  <c r="AP4" i="11"/>
  <c r="AP12" i="11"/>
  <c r="AP5" i="11"/>
  <c r="AP13" i="11"/>
  <c r="AP6" i="11"/>
  <c r="AP14" i="11"/>
  <c r="AP7" i="11"/>
  <c r="AP15" i="11"/>
  <c r="AP17" i="11"/>
  <c r="AQ4" i="11"/>
  <c r="AQ12" i="11"/>
  <c r="AQ5" i="11"/>
  <c r="AQ13" i="11"/>
  <c r="AQ6" i="11"/>
  <c r="AQ14" i="11"/>
  <c r="AQ7" i="11"/>
  <c r="AQ15" i="11"/>
  <c r="AQ17" i="11"/>
  <c r="AR4" i="11"/>
  <c r="AR12" i="11"/>
  <c r="AR5" i="11"/>
  <c r="AR13" i="11"/>
  <c r="AR6" i="11"/>
  <c r="AR14" i="11"/>
  <c r="AR7" i="11"/>
  <c r="AR15" i="11"/>
  <c r="AR17" i="11"/>
  <c r="AS4" i="11"/>
  <c r="AS12" i="11"/>
  <c r="AS5" i="11"/>
  <c r="AS13" i="11"/>
  <c r="AS6" i="11"/>
  <c r="AS14" i="11"/>
  <c r="AS7" i="11"/>
  <c r="AS15" i="11"/>
  <c r="AS17" i="11"/>
  <c r="AT4" i="11"/>
  <c r="AT12" i="11"/>
  <c r="AT5" i="11"/>
  <c r="AT13" i="11"/>
  <c r="AT6" i="11"/>
  <c r="AT14" i="11"/>
  <c r="AT7" i="11"/>
  <c r="AT15" i="11"/>
  <c r="AT17" i="11"/>
  <c r="AU4" i="11"/>
  <c r="AU12" i="11"/>
  <c r="AU5" i="11"/>
  <c r="AU13" i="11"/>
  <c r="AU6" i="11"/>
  <c r="AU14" i="11"/>
  <c r="AU7" i="11"/>
  <c r="AU15" i="11"/>
  <c r="AU17" i="11"/>
  <c r="AV4" i="11"/>
  <c r="AV12" i="11"/>
  <c r="AV5" i="11"/>
  <c r="AV13" i="11"/>
  <c r="AV6" i="11"/>
  <c r="AV14" i="11"/>
  <c r="AV7" i="11"/>
  <c r="AV15" i="11"/>
  <c r="AV17" i="11"/>
  <c r="F28" i="11"/>
  <c r="AW4" i="11"/>
  <c r="AW12" i="11"/>
  <c r="F29" i="11"/>
  <c r="AW5" i="11"/>
  <c r="AW13" i="11"/>
  <c r="F30" i="11"/>
  <c r="AW6" i="11"/>
  <c r="AW14" i="11"/>
  <c r="F31" i="11"/>
  <c r="AW7" i="11"/>
  <c r="AW15" i="11"/>
  <c r="AW17" i="11"/>
  <c r="AX4" i="11"/>
  <c r="AX12" i="11"/>
  <c r="AX5" i="11"/>
  <c r="AX13" i="11"/>
  <c r="AX6" i="11"/>
  <c r="AX14" i="11"/>
  <c r="AX7" i="11"/>
  <c r="AX15" i="11"/>
  <c r="AX17" i="11"/>
  <c r="AY4" i="11"/>
  <c r="AY12" i="11"/>
  <c r="AY5" i="11"/>
  <c r="AY13" i="11"/>
  <c r="AY6" i="11"/>
  <c r="AY14" i="11"/>
  <c r="AY7" i="11"/>
  <c r="AY15" i="11"/>
  <c r="AY17" i="11"/>
  <c r="AZ4" i="11"/>
  <c r="AZ12" i="11"/>
  <c r="AZ5" i="11"/>
  <c r="AZ13" i="11"/>
  <c r="AZ6" i="11"/>
  <c r="AZ14" i="11"/>
  <c r="AZ7" i="11"/>
  <c r="AZ15" i="11"/>
  <c r="AZ17" i="11"/>
  <c r="BA4" i="11"/>
  <c r="BA12" i="11"/>
  <c r="BA5" i="11"/>
  <c r="BA13" i="11"/>
  <c r="BA6" i="11"/>
  <c r="BA14" i="11"/>
  <c r="BA7" i="11"/>
  <c r="BA15" i="11"/>
  <c r="BA17" i="11"/>
  <c r="BB4" i="11"/>
  <c r="BB12" i="11"/>
  <c r="BB5" i="11"/>
  <c r="BB13" i="11"/>
  <c r="BB6" i="11"/>
  <c r="BB14" i="11"/>
  <c r="BB7" i="11"/>
  <c r="BB15" i="11"/>
  <c r="BB17" i="11"/>
  <c r="BC4" i="11"/>
  <c r="BC12" i="11"/>
  <c r="BC5" i="11"/>
  <c r="BC13" i="11"/>
  <c r="BC6" i="11"/>
  <c r="BC14" i="11"/>
  <c r="BC7" i="11"/>
  <c r="BC15" i="11"/>
  <c r="BC17" i="11"/>
  <c r="BD4" i="11"/>
  <c r="BD12" i="11"/>
  <c r="BD5" i="11"/>
  <c r="BD13" i="11"/>
  <c r="BD6" i="11"/>
  <c r="BD14" i="11"/>
  <c r="BD7" i="11"/>
  <c r="BD15" i="11"/>
  <c r="BD17" i="11"/>
  <c r="BE4" i="11"/>
  <c r="BE12" i="11"/>
  <c r="BE5" i="11"/>
  <c r="BE13" i="11"/>
  <c r="BE6" i="11"/>
  <c r="BE14" i="11"/>
  <c r="BE7" i="11"/>
  <c r="BE15" i="11"/>
  <c r="BE17" i="11"/>
  <c r="BF4" i="11"/>
  <c r="BF12" i="11"/>
  <c r="BF5" i="11"/>
  <c r="BF13" i="11"/>
  <c r="BF6" i="11"/>
  <c r="BF14" i="11"/>
  <c r="BF7" i="11"/>
  <c r="BF15" i="11"/>
  <c r="BF17" i="11"/>
  <c r="BG4" i="11"/>
  <c r="BG12" i="11"/>
  <c r="BG5" i="11"/>
  <c r="BG13" i="11"/>
  <c r="BG6" i="11"/>
  <c r="BG14" i="11"/>
  <c r="BG7" i="11"/>
  <c r="BG15" i="11"/>
  <c r="BG17" i="11"/>
  <c r="BH4" i="11"/>
  <c r="BH12" i="11"/>
  <c r="BH5" i="11"/>
  <c r="BH13" i="11"/>
  <c r="BH6" i="11"/>
  <c r="BH14" i="11"/>
  <c r="BH7" i="11"/>
  <c r="BH15" i="11"/>
  <c r="BH17" i="11"/>
  <c r="G28" i="11"/>
  <c r="BI4" i="11"/>
  <c r="BI12" i="11"/>
  <c r="G29" i="11"/>
  <c r="BI5" i="11"/>
  <c r="BI13" i="11"/>
  <c r="G30" i="11"/>
  <c r="BI6" i="11"/>
  <c r="BI14" i="11"/>
  <c r="G31" i="11"/>
  <c r="BI7" i="11"/>
  <c r="BI15" i="11"/>
  <c r="BI17" i="11"/>
  <c r="BJ4" i="11"/>
  <c r="BJ12" i="11"/>
  <c r="BJ5" i="11"/>
  <c r="BJ13" i="11"/>
  <c r="BJ6" i="11"/>
  <c r="BJ14" i="11"/>
  <c r="BJ7" i="11"/>
  <c r="BJ15" i="11"/>
  <c r="BJ17" i="11"/>
  <c r="BK4" i="11"/>
  <c r="BK12" i="11"/>
  <c r="BK5" i="11"/>
  <c r="BK13" i="11"/>
  <c r="BK6" i="11"/>
  <c r="BK14" i="11"/>
  <c r="BK7" i="11"/>
  <c r="BK15" i="11"/>
  <c r="BK17" i="11"/>
  <c r="BL4" i="11"/>
  <c r="BL12" i="11"/>
  <c r="BL5" i="11"/>
  <c r="BL13" i="11"/>
  <c r="BL6" i="11"/>
  <c r="BL14" i="11"/>
  <c r="BL7" i="11"/>
  <c r="BL15" i="11"/>
  <c r="BL17" i="11"/>
  <c r="BM4" i="11"/>
  <c r="BM12" i="11"/>
  <c r="BM5" i="11"/>
  <c r="BM13" i="11"/>
  <c r="BM6" i="11"/>
  <c r="BM14" i="11"/>
  <c r="BM7" i="11"/>
  <c r="BM15" i="11"/>
  <c r="BM17" i="11"/>
  <c r="BN4" i="11"/>
  <c r="BN12" i="11"/>
  <c r="BN5" i="11"/>
  <c r="BN13" i="11"/>
  <c r="BN6" i="11"/>
  <c r="BN14" i="11"/>
  <c r="BN7" i="11"/>
  <c r="BN15" i="11"/>
  <c r="BN17" i="11"/>
  <c r="BO4" i="11"/>
  <c r="BO12" i="11"/>
  <c r="BO5" i="11"/>
  <c r="BO13" i="11"/>
  <c r="BO6" i="11"/>
  <c r="BO14" i="11"/>
  <c r="BO7" i="11"/>
  <c r="BO15" i="11"/>
  <c r="BO17" i="11"/>
  <c r="BP4" i="11"/>
  <c r="BP12" i="11"/>
  <c r="BP5" i="11"/>
  <c r="BP13" i="11"/>
  <c r="BP6" i="11"/>
  <c r="BP14" i="11"/>
  <c r="BP7" i="11"/>
  <c r="BP15" i="11"/>
  <c r="BP17" i="11"/>
  <c r="BQ4" i="11"/>
  <c r="BQ12" i="11"/>
  <c r="BQ5" i="11"/>
  <c r="BQ13" i="11"/>
  <c r="BQ6" i="11"/>
  <c r="BQ14" i="11"/>
  <c r="BQ7" i="11"/>
  <c r="BQ15" i="11"/>
  <c r="BQ17" i="11"/>
  <c r="BR4" i="11"/>
  <c r="BR12" i="11"/>
  <c r="BR5" i="11"/>
  <c r="BR13" i="11"/>
  <c r="BR6" i="11"/>
  <c r="BR14" i="11"/>
  <c r="BR7" i="11"/>
  <c r="BR15" i="11"/>
  <c r="BR17" i="11"/>
  <c r="BS4" i="11"/>
  <c r="BS12" i="11"/>
  <c r="BS5" i="11"/>
  <c r="BS13" i="11"/>
  <c r="BS6" i="11"/>
  <c r="BS14" i="11"/>
  <c r="BS7" i="11"/>
  <c r="BS15" i="11"/>
  <c r="BS17" i="11"/>
  <c r="BT4" i="11"/>
  <c r="BT12" i="11"/>
  <c r="BT5" i="11"/>
  <c r="BT13" i="11"/>
  <c r="BT6" i="11"/>
  <c r="BT14" i="11"/>
  <c r="BT7" i="11"/>
  <c r="BT15" i="11"/>
  <c r="BT17" i="11"/>
  <c r="M17" i="11"/>
  <c r="N9" i="11"/>
  <c r="O9" i="11"/>
  <c r="P9" i="11"/>
  <c r="Q9" i="11"/>
  <c r="R9" i="11"/>
  <c r="S9" i="11"/>
  <c r="T9" i="11"/>
  <c r="U9" i="11"/>
  <c r="V9" i="11"/>
  <c r="W9" i="11"/>
  <c r="X9" i="11"/>
  <c r="Y9" i="11"/>
  <c r="Z9" i="11"/>
  <c r="AA9" i="11"/>
  <c r="AB9" i="11"/>
  <c r="AC9" i="11"/>
  <c r="AD9" i="11"/>
  <c r="AE9" i="11"/>
  <c r="AF9" i="11"/>
  <c r="AG9" i="11"/>
  <c r="AH9" i="11"/>
  <c r="AI9" i="11"/>
  <c r="AJ9" i="11"/>
  <c r="AK9" i="11"/>
  <c r="AL9" i="11"/>
  <c r="AM9" i="11"/>
  <c r="AN9" i="11"/>
  <c r="AO9" i="11"/>
  <c r="AP9" i="11"/>
  <c r="AQ9" i="11"/>
  <c r="AR9" i="11"/>
  <c r="AS9" i="11"/>
  <c r="AT9" i="11"/>
  <c r="AU9" i="11"/>
  <c r="AV9" i="11"/>
  <c r="AW9" i="11"/>
  <c r="AX9" i="11"/>
  <c r="AY9" i="11"/>
  <c r="AZ9" i="11"/>
  <c r="BA9" i="11"/>
  <c r="BB9" i="11"/>
  <c r="BC9" i="11"/>
  <c r="BD9" i="11"/>
  <c r="BE9" i="11"/>
  <c r="BF9" i="11"/>
  <c r="BG9" i="11"/>
  <c r="BH9" i="11"/>
  <c r="BI9" i="11"/>
  <c r="BJ9" i="11"/>
  <c r="BK9" i="11"/>
  <c r="BL9" i="11"/>
  <c r="BM9" i="11"/>
  <c r="BN9" i="11"/>
  <c r="BO9" i="11"/>
  <c r="BP9" i="11"/>
  <c r="BQ9" i="11"/>
  <c r="BR9" i="11"/>
  <c r="BS9" i="11"/>
  <c r="BT9" i="11"/>
  <c r="M9" i="11"/>
  <c r="H39" i="3"/>
  <c r="H40" i="3"/>
  <c r="H43" i="3"/>
  <c r="M72" i="3" a="1"/>
  <c r="M72" i="3"/>
  <c r="M5" i="17"/>
  <c r="M13" i="17"/>
  <c r="N13" i="17"/>
  <c r="O13" i="17"/>
  <c r="P13" i="17"/>
  <c r="Q13" i="17"/>
  <c r="R13" i="17"/>
  <c r="S13" i="17"/>
  <c r="T13" i="17"/>
  <c r="U13" i="17"/>
  <c r="V13" i="17"/>
  <c r="W13" i="17"/>
  <c r="X13" i="17"/>
  <c r="Y13" i="17"/>
  <c r="Z13" i="17"/>
  <c r="AA13" i="17"/>
  <c r="AB13" i="17"/>
  <c r="AC13" i="17"/>
  <c r="AD13" i="17"/>
  <c r="AE13" i="17"/>
  <c r="AF13" i="17"/>
  <c r="AG13" i="17"/>
  <c r="AH13" i="17"/>
  <c r="AI13" i="17"/>
  <c r="AJ13" i="17"/>
  <c r="AK13" i="17"/>
  <c r="AL13" i="17"/>
  <c r="AM13" i="17"/>
  <c r="AN13" i="17"/>
  <c r="AO13" i="17"/>
  <c r="AP13" i="17"/>
  <c r="AQ13" i="17"/>
  <c r="AR13" i="17"/>
  <c r="AS13" i="17"/>
  <c r="AT13" i="17"/>
  <c r="AU13" i="17"/>
  <c r="AV13" i="17"/>
  <c r="AW13" i="17"/>
  <c r="AX13" i="17"/>
  <c r="AY13" i="17"/>
  <c r="AZ13" i="17"/>
  <c r="BA13" i="17"/>
  <c r="BB13" i="17"/>
  <c r="BC13" i="17"/>
  <c r="BD13" i="17"/>
  <c r="BE13" i="17"/>
  <c r="BF13" i="17"/>
  <c r="BG13" i="17"/>
  <c r="BH13" i="17"/>
  <c r="BI13" i="17"/>
  <c r="BJ13" i="17"/>
  <c r="BK13" i="17"/>
  <c r="BL13" i="17"/>
  <c r="BM13" i="17"/>
  <c r="BN13" i="17"/>
  <c r="BO13" i="17"/>
  <c r="BP13" i="17"/>
  <c r="BQ13" i="17"/>
  <c r="BR13" i="17"/>
  <c r="BS13" i="17"/>
  <c r="BT13" i="17"/>
  <c r="M20" i="1" a="1"/>
  <c r="M20" i="1"/>
  <c r="M22" i="1"/>
  <c r="M13" i="1"/>
  <c r="M31" i="1"/>
  <c r="M58" i="1"/>
  <c r="M16" i="3"/>
  <c r="M23" i="1"/>
  <c r="M14" i="1"/>
  <c r="M32" i="1"/>
  <c r="M59" i="1"/>
  <c r="M17" i="3"/>
  <c r="M26" i="1"/>
  <c r="M17" i="1"/>
  <c r="M35" i="1"/>
  <c r="M62" i="1"/>
  <c r="M20" i="3"/>
  <c r="M27" i="1"/>
  <c r="M18" i="1"/>
  <c r="M36" i="1"/>
  <c r="M63" i="1"/>
  <c r="M21" i="3"/>
  <c r="M5" i="4"/>
  <c r="M6" i="4"/>
  <c r="M7" i="4"/>
  <c r="H22" i="4"/>
  <c r="M14" i="4"/>
  <c r="M15" i="4"/>
  <c r="M17" i="4"/>
  <c r="M10" i="4"/>
  <c r="M12" i="4"/>
  <c r="N5" i="4"/>
  <c r="N6" i="4"/>
  <c r="N7" i="4"/>
  <c r="N14" i="4"/>
  <c r="N15" i="4"/>
  <c r="N17" i="4"/>
  <c r="N10" i="4"/>
  <c r="N12" i="4"/>
  <c r="O5" i="4"/>
  <c r="O6" i="4"/>
  <c r="O7" i="4"/>
  <c r="O14" i="4"/>
  <c r="O15" i="4"/>
  <c r="O17" i="4"/>
  <c r="O10" i="4"/>
  <c r="O12" i="4"/>
  <c r="P5" i="4"/>
  <c r="P6" i="4"/>
  <c r="P7" i="4"/>
  <c r="P14" i="4"/>
  <c r="P15" i="4"/>
  <c r="P17" i="4"/>
  <c r="P10" i="4"/>
  <c r="P12" i="4"/>
  <c r="Q5" i="4"/>
  <c r="Q6" i="4"/>
  <c r="Q7" i="4"/>
  <c r="Q14" i="4"/>
  <c r="Q15" i="4"/>
  <c r="Q17" i="4"/>
  <c r="Q10" i="4"/>
  <c r="Q12" i="4"/>
  <c r="R5" i="4"/>
  <c r="R6" i="4"/>
  <c r="R7" i="4"/>
  <c r="R14" i="4"/>
  <c r="R15" i="4"/>
  <c r="R17" i="4"/>
  <c r="R10" i="4"/>
  <c r="R12" i="4"/>
  <c r="S5" i="4"/>
  <c r="S6" i="4"/>
  <c r="S7" i="4"/>
  <c r="S14" i="4"/>
  <c r="S15" i="4"/>
  <c r="S17" i="4"/>
  <c r="S10" i="4"/>
  <c r="S12" i="4"/>
  <c r="T5" i="4"/>
  <c r="T6" i="4"/>
  <c r="T7" i="4"/>
  <c r="T14" i="4"/>
  <c r="T15" i="4"/>
  <c r="T17" i="4"/>
  <c r="T10" i="4"/>
  <c r="T12" i="4"/>
  <c r="U5" i="4"/>
  <c r="U6" i="4"/>
  <c r="U7" i="4"/>
  <c r="U14" i="4"/>
  <c r="U15" i="4"/>
  <c r="U17" i="4"/>
  <c r="U10" i="4"/>
  <c r="U12" i="4"/>
  <c r="V5" i="4"/>
  <c r="V6" i="4"/>
  <c r="V7" i="4"/>
  <c r="V14" i="4"/>
  <c r="V15" i="4"/>
  <c r="V17" i="4"/>
  <c r="V10" i="4"/>
  <c r="V12" i="4"/>
  <c r="W5" i="4"/>
  <c r="W6" i="4"/>
  <c r="W7" i="4"/>
  <c r="W14" i="4"/>
  <c r="W15" i="4"/>
  <c r="W17" i="4"/>
  <c r="W10" i="4"/>
  <c r="W12" i="4"/>
  <c r="X5" i="4"/>
  <c r="X6" i="4"/>
  <c r="X7" i="4"/>
  <c r="X14" i="4"/>
  <c r="X15" i="4"/>
  <c r="X17" i="4"/>
  <c r="X10" i="4"/>
  <c r="X12" i="4"/>
  <c r="Y5" i="4"/>
  <c r="Y6" i="4"/>
  <c r="Y7" i="4"/>
  <c r="Y14" i="4"/>
  <c r="H23" i="4"/>
  <c r="Y15" i="4"/>
  <c r="Y17" i="4"/>
  <c r="Y10" i="4"/>
  <c r="Y12" i="4"/>
  <c r="Z5" i="4"/>
  <c r="Z6" i="4"/>
  <c r="Z7" i="4"/>
  <c r="Z14" i="4"/>
  <c r="Z15" i="4"/>
  <c r="Z17" i="4"/>
  <c r="Z10" i="4"/>
  <c r="Z12" i="4"/>
  <c r="AA5" i="4"/>
  <c r="AA6" i="4"/>
  <c r="AA7" i="4"/>
  <c r="AA14" i="4"/>
  <c r="AA15" i="4"/>
  <c r="AA17" i="4"/>
  <c r="AA10" i="4"/>
  <c r="AA12" i="4"/>
  <c r="AB5" i="4"/>
  <c r="AB6" i="4"/>
  <c r="AB7" i="4"/>
  <c r="AB14" i="4"/>
  <c r="AB15" i="4"/>
  <c r="AB17" i="4"/>
  <c r="AB10" i="4"/>
  <c r="AB12" i="4"/>
  <c r="AC5" i="4"/>
  <c r="AC6" i="4"/>
  <c r="AC7" i="4"/>
  <c r="AC14" i="4"/>
  <c r="AC15" i="4"/>
  <c r="AC17" i="4"/>
  <c r="AC10" i="4"/>
  <c r="AC12" i="4"/>
  <c r="AD5" i="4"/>
  <c r="AD6" i="4"/>
  <c r="AD7" i="4"/>
  <c r="AD14" i="4"/>
  <c r="AD15" i="4"/>
  <c r="AD17" i="4"/>
  <c r="AD10" i="4"/>
  <c r="AD12" i="4"/>
  <c r="AE5" i="4"/>
  <c r="AE6" i="4"/>
  <c r="AE7" i="4"/>
  <c r="AE14" i="4"/>
  <c r="AE15" i="4"/>
  <c r="AE17" i="4"/>
  <c r="AE10" i="4"/>
  <c r="AE12" i="4"/>
  <c r="AF5" i="4"/>
  <c r="AF6" i="4"/>
  <c r="AF7" i="4"/>
  <c r="AF14" i="4"/>
  <c r="AF15" i="4"/>
  <c r="AF17" i="4"/>
  <c r="AF10" i="4"/>
  <c r="AF12" i="4"/>
  <c r="AG5" i="4"/>
  <c r="AG6" i="4"/>
  <c r="AG7" i="4"/>
  <c r="AG14" i="4"/>
  <c r="AG15" i="4"/>
  <c r="AG17" i="4"/>
  <c r="AG10" i="4"/>
  <c r="AG12" i="4"/>
  <c r="AH5" i="4"/>
  <c r="AH6" i="4"/>
  <c r="AH7" i="4"/>
  <c r="AH14" i="4"/>
  <c r="AH15" i="4"/>
  <c r="AH17" i="4"/>
  <c r="AH10" i="4"/>
  <c r="AH12" i="4"/>
  <c r="AI5" i="4"/>
  <c r="AI6" i="4"/>
  <c r="AI7" i="4"/>
  <c r="AI14" i="4"/>
  <c r="AI15" i="4"/>
  <c r="AI17" i="4"/>
  <c r="AI10" i="4"/>
  <c r="AI12" i="4"/>
  <c r="AJ5" i="4"/>
  <c r="AJ6" i="4"/>
  <c r="AJ7" i="4"/>
  <c r="AJ14" i="4"/>
  <c r="AJ15" i="4"/>
  <c r="AJ17" i="4"/>
  <c r="AJ10" i="4"/>
  <c r="AJ12" i="4"/>
  <c r="AK5" i="4"/>
  <c r="AK6" i="4"/>
  <c r="AK7" i="4"/>
  <c r="AK14" i="4"/>
  <c r="AK15" i="4"/>
  <c r="AK17" i="4"/>
  <c r="AK10" i="4"/>
  <c r="AK12" i="4"/>
  <c r="AL5" i="4"/>
  <c r="AL6" i="4"/>
  <c r="AL7" i="4"/>
  <c r="AL14" i="4"/>
  <c r="AL15" i="4"/>
  <c r="AL17" i="4"/>
  <c r="AL10" i="4"/>
  <c r="AL12" i="4"/>
  <c r="AM5" i="4"/>
  <c r="AM6" i="4"/>
  <c r="AM7" i="4"/>
  <c r="AM14" i="4"/>
  <c r="AM15" i="4"/>
  <c r="AM17" i="4"/>
  <c r="AM10" i="4"/>
  <c r="AM12" i="4"/>
  <c r="AN5" i="4"/>
  <c r="AN6" i="4"/>
  <c r="AN7" i="4"/>
  <c r="AN14" i="4"/>
  <c r="AN15" i="4"/>
  <c r="AN17" i="4"/>
  <c r="AN10" i="4"/>
  <c r="AN12" i="4"/>
  <c r="AO5" i="4"/>
  <c r="AO6" i="4"/>
  <c r="AO7" i="4"/>
  <c r="AO14" i="4"/>
  <c r="AO15" i="4"/>
  <c r="AO17" i="4"/>
  <c r="AO10" i="4"/>
  <c r="AO12" i="4"/>
  <c r="AP5" i="4"/>
  <c r="AP6" i="4"/>
  <c r="AP7" i="4"/>
  <c r="AP14" i="4"/>
  <c r="AP15" i="4"/>
  <c r="AP17" i="4"/>
  <c r="AP10" i="4"/>
  <c r="AP12" i="4"/>
  <c r="AQ5" i="4"/>
  <c r="AQ6" i="4"/>
  <c r="AQ7" i="4"/>
  <c r="AQ14" i="4"/>
  <c r="AQ15" i="4"/>
  <c r="AQ17" i="4"/>
  <c r="AQ10" i="4"/>
  <c r="AQ12" i="4"/>
  <c r="AR5" i="4"/>
  <c r="AR6" i="4"/>
  <c r="AR7" i="4"/>
  <c r="AR14" i="4"/>
  <c r="AR15" i="4"/>
  <c r="AR17" i="4"/>
  <c r="AR10" i="4"/>
  <c r="AR12" i="4"/>
  <c r="AS5" i="4"/>
  <c r="AS6" i="4"/>
  <c r="AS7" i="4"/>
  <c r="AS14" i="4"/>
  <c r="AS15" i="4"/>
  <c r="AS17" i="4"/>
  <c r="AS10" i="4"/>
  <c r="AS12" i="4"/>
  <c r="AT5" i="4"/>
  <c r="AT6" i="4"/>
  <c r="AT7" i="4"/>
  <c r="AT14" i="4"/>
  <c r="AT15" i="4"/>
  <c r="AT17" i="4"/>
  <c r="AT10" i="4"/>
  <c r="AT12" i="4"/>
  <c r="AU5" i="4"/>
  <c r="AU6" i="4"/>
  <c r="AU7" i="4"/>
  <c r="AU14" i="4"/>
  <c r="AU15" i="4"/>
  <c r="AU17" i="4"/>
  <c r="AU10" i="4"/>
  <c r="AU12" i="4"/>
  <c r="AV5" i="4"/>
  <c r="AV6" i="4"/>
  <c r="AV7" i="4"/>
  <c r="AV14" i="4"/>
  <c r="AV15" i="4"/>
  <c r="AV17" i="4"/>
  <c r="AV10" i="4"/>
  <c r="AV12" i="4"/>
  <c r="AW5" i="4"/>
  <c r="AW6" i="4"/>
  <c r="AW7" i="4"/>
  <c r="AW14" i="4"/>
  <c r="AW15" i="4"/>
  <c r="AW17" i="4"/>
  <c r="AW10" i="4"/>
  <c r="AW12" i="4"/>
  <c r="AX5" i="4"/>
  <c r="AX6" i="4"/>
  <c r="AX7" i="4"/>
  <c r="AX14" i="4"/>
  <c r="AX15" i="4"/>
  <c r="AX17" i="4"/>
  <c r="AX10" i="4"/>
  <c r="AX12" i="4"/>
  <c r="AY5" i="4"/>
  <c r="AY6" i="4"/>
  <c r="AY7" i="4"/>
  <c r="AY14" i="4"/>
  <c r="AY15" i="4"/>
  <c r="AY17" i="4"/>
  <c r="AY10" i="4"/>
  <c r="AY12" i="4"/>
  <c r="AZ5" i="4"/>
  <c r="AZ6" i="4"/>
  <c r="AZ7" i="4"/>
  <c r="AZ14" i="4"/>
  <c r="AZ15" i="4"/>
  <c r="AZ17" i="4"/>
  <c r="AZ10" i="4"/>
  <c r="AZ12" i="4"/>
  <c r="BA5" i="4"/>
  <c r="BA6" i="4"/>
  <c r="BA7" i="4"/>
  <c r="BA14" i="4"/>
  <c r="BA15" i="4"/>
  <c r="BA17" i="4"/>
  <c r="BA10" i="4"/>
  <c r="BA12" i="4"/>
  <c r="BB5" i="4"/>
  <c r="BB6" i="4"/>
  <c r="BB7" i="4"/>
  <c r="BB14" i="4"/>
  <c r="BB15" i="4"/>
  <c r="BB17" i="4"/>
  <c r="BB10" i="4"/>
  <c r="BB12" i="4"/>
  <c r="BC5" i="4"/>
  <c r="BC6" i="4"/>
  <c r="BC7" i="4"/>
  <c r="BC14" i="4"/>
  <c r="BC15" i="4"/>
  <c r="BC17" i="4"/>
  <c r="BC10" i="4"/>
  <c r="BC12" i="4"/>
  <c r="BD5" i="4"/>
  <c r="BD6" i="4"/>
  <c r="BD7" i="4"/>
  <c r="BD14" i="4"/>
  <c r="BD15" i="4"/>
  <c r="BD17" i="4"/>
  <c r="BD10" i="4"/>
  <c r="BD12" i="4"/>
  <c r="BE5" i="4"/>
  <c r="BE6" i="4"/>
  <c r="BE7" i="4"/>
  <c r="BE14" i="4"/>
  <c r="BE15" i="4"/>
  <c r="BE17" i="4"/>
  <c r="BE10" i="4"/>
  <c r="BE12" i="4"/>
  <c r="BF5" i="4"/>
  <c r="BF6" i="4"/>
  <c r="BF7" i="4"/>
  <c r="BF14" i="4"/>
  <c r="BF15" i="4"/>
  <c r="BF17" i="4"/>
  <c r="BF10" i="4"/>
  <c r="BF12" i="4"/>
  <c r="BG5" i="4"/>
  <c r="BG6" i="4"/>
  <c r="BG7" i="4"/>
  <c r="BG14" i="4"/>
  <c r="BG15" i="4"/>
  <c r="BG17" i="4"/>
  <c r="BG10" i="4"/>
  <c r="BG12" i="4"/>
  <c r="BH5" i="4"/>
  <c r="BH6" i="4"/>
  <c r="BH7" i="4"/>
  <c r="BH14" i="4"/>
  <c r="BH15" i="4"/>
  <c r="BH17" i="4"/>
  <c r="BH10" i="4"/>
  <c r="BH12" i="4"/>
  <c r="BI5" i="4"/>
  <c r="BI6" i="4"/>
  <c r="BI7" i="4"/>
  <c r="BI14" i="4"/>
  <c r="BI15" i="4"/>
  <c r="BI17" i="4"/>
  <c r="BI10" i="4"/>
  <c r="BI12" i="4"/>
  <c r="BJ5" i="4"/>
  <c r="BJ6" i="4"/>
  <c r="BJ7" i="4"/>
  <c r="BJ14" i="4"/>
  <c r="BJ15" i="4"/>
  <c r="BJ17" i="4"/>
  <c r="BJ10" i="4"/>
  <c r="BJ12" i="4"/>
  <c r="BK5" i="4"/>
  <c r="BK6" i="4"/>
  <c r="BK7" i="4"/>
  <c r="BK14" i="4"/>
  <c r="BK15" i="4"/>
  <c r="BK17" i="4"/>
  <c r="BK10" i="4"/>
  <c r="BK12" i="4"/>
  <c r="BL5" i="4"/>
  <c r="BL6" i="4"/>
  <c r="BL7" i="4"/>
  <c r="BL14" i="4"/>
  <c r="BL15" i="4"/>
  <c r="BL17" i="4"/>
  <c r="BL10" i="4"/>
  <c r="BL12" i="4"/>
  <c r="BM5" i="4"/>
  <c r="BM6" i="4"/>
  <c r="BM7" i="4"/>
  <c r="BM14" i="4"/>
  <c r="BM15" i="4"/>
  <c r="BM17" i="4"/>
  <c r="BM10" i="4"/>
  <c r="BM12" i="4"/>
  <c r="BN5" i="4"/>
  <c r="BN6" i="4"/>
  <c r="BN7" i="4"/>
  <c r="BN14" i="4"/>
  <c r="BN15" i="4"/>
  <c r="BN17" i="4"/>
  <c r="BN10" i="4"/>
  <c r="BN12" i="4"/>
  <c r="BO5" i="4"/>
  <c r="BO6" i="4"/>
  <c r="BO7" i="4"/>
  <c r="BO14" i="4"/>
  <c r="BO15" i="4"/>
  <c r="BO17" i="4"/>
  <c r="BO10" i="4"/>
  <c r="BO12" i="4"/>
  <c r="BP5" i="4"/>
  <c r="BP6" i="4"/>
  <c r="BP7" i="4"/>
  <c r="BP14" i="4"/>
  <c r="BP15" i="4"/>
  <c r="BP17" i="4"/>
  <c r="BP10" i="4"/>
  <c r="BP12" i="4"/>
  <c r="BQ5" i="4"/>
  <c r="BQ6" i="4"/>
  <c r="BQ7" i="4"/>
  <c r="BQ14" i="4"/>
  <c r="BQ15" i="4"/>
  <c r="BQ17" i="4"/>
  <c r="BQ10" i="4"/>
  <c r="BQ12" i="4"/>
  <c r="BR5" i="4"/>
  <c r="BR6" i="4"/>
  <c r="BR7" i="4"/>
  <c r="BR14" i="4"/>
  <c r="BR15" i="4"/>
  <c r="BR17" i="4"/>
  <c r="BR10" i="4"/>
  <c r="BR12" i="4"/>
  <c r="BS5" i="4"/>
  <c r="BS6" i="4"/>
  <c r="BS7" i="4"/>
  <c r="BS14" i="4"/>
  <c r="BS15" i="4"/>
  <c r="BS17" i="4"/>
  <c r="BS10" i="4"/>
  <c r="BS12" i="4"/>
  <c r="BT5" i="4"/>
  <c r="BT6" i="4"/>
  <c r="BT7" i="4"/>
  <c r="BT14" i="4"/>
  <c r="BT15" i="4"/>
  <c r="BT17" i="4"/>
  <c r="BT10" i="4"/>
  <c r="BT12" i="4"/>
  <c r="M29" i="3" a="1"/>
  <c r="M29" i="3"/>
  <c r="M57" i="2"/>
  <c r="M5" i="2"/>
  <c r="M6" i="2"/>
  <c r="M10" i="2"/>
  <c r="M12" i="2"/>
  <c r="M14" i="2"/>
  <c r="M28" i="3"/>
  <c r="N57" i="2"/>
  <c r="N5" i="2"/>
  <c r="N6" i="2"/>
  <c r="N10" i="2"/>
  <c r="N12" i="2"/>
  <c r="N14" i="2"/>
  <c r="N28" i="3"/>
  <c r="O57" i="2"/>
  <c r="O5" i="2"/>
  <c r="O6" i="2"/>
  <c r="O10" i="2"/>
  <c r="O12" i="2"/>
  <c r="O14" i="2"/>
  <c r="O28" i="3"/>
  <c r="P57" i="2"/>
  <c r="P5" i="2"/>
  <c r="P6" i="2"/>
  <c r="P10" i="2"/>
  <c r="P12" i="2"/>
  <c r="P14" i="2"/>
  <c r="P28" i="3"/>
  <c r="Q38" i="2"/>
  <c r="Q57" i="2"/>
  <c r="Q5" i="2"/>
  <c r="Q6" i="2"/>
  <c r="Q10" i="2"/>
  <c r="Q12" i="2"/>
  <c r="Q14" i="2"/>
  <c r="Q28" i="3"/>
  <c r="R38" i="2"/>
  <c r="R57" i="2"/>
  <c r="R5" i="2"/>
  <c r="R6" i="2"/>
  <c r="R10" i="2"/>
  <c r="R12" i="2"/>
  <c r="R14" i="2"/>
  <c r="R28" i="3"/>
  <c r="S33" i="2"/>
  <c r="S38" i="2"/>
  <c r="S57" i="2"/>
  <c r="S5" i="2"/>
  <c r="S6" i="2"/>
  <c r="S10" i="2"/>
  <c r="S12" i="2"/>
  <c r="S14" i="2"/>
  <c r="S28" i="3"/>
  <c r="T33" i="2"/>
  <c r="T38" i="2"/>
  <c r="T57" i="2"/>
  <c r="T5" i="2"/>
  <c r="T6" i="2"/>
  <c r="T10" i="2"/>
  <c r="T12" i="2"/>
  <c r="T14" i="2"/>
  <c r="T28" i="3"/>
  <c r="U33" i="2"/>
  <c r="U38" i="2"/>
  <c r="U57" i="2"/>
  <c r="U5" i="2"/>
  <c r="U6" i="2"/>
  <c r="U10" i="2"/>
  <c r="U12" i="2"/>
  <c r="U14" i="2"/>
  <c r="U28" i="3"/>
  <c r="V33" i="2"/>
  <c r="V38" i="2"/>
  <c r="V57" i="2"/>
  <c r="V5" i="2"/>
  <c r="V6" i="2"/>
  <c r="V10" i="2"/>
  <c r="V12" i="2"/>
  <c r="V14" i="2"/>
  <c r="V28" i="3"/>
  <c r="W33" i="2"/>
  <c r="W38" i="2"/>
  <c r="W57" i="2"/>
  <c r="W5" i="2"/>
  <c r="W6" i="2"/>
  <c r="W10" i="2"/>
  <c r="W12" i="2"/>
  <c r="W14" i="2"/>
  <c r="W28" i="3"/>
  <c r="X33" i="2"/>
  <c r="X38" i="2"/>
  <c r="X57" i="2"/>
  <c r="X5" i="2"/>
  <c r="X6" i="2"/>
  <c r="X10" i="2"/>
  <c r="X12" i="2"/>
  <c r="X14" i="2"/>
  <c r="X28" i="3"/>
  <c r="Y33" i="2"/>
  <c r="Y38" i="2"/>
  <c r="Y57" i="2"/>
  <c r="Y5" i="2"/>
  <c r="Y6" i="2"/>
  <c r="Y10" i="2"/>
  <c r="Y12" i="2"/>
  <c r="Y14" i="2"/>
  <c r="Y28" i="3"/>
  <c r="Z33" i="2"/>
  <c r="Z38" i="2"/>
  <c r="Z41" i="2"/>
  <c r="Z57" i="2"/>
  <c r="Z5" i="2"/>
  <c r="Z6" i="2"/>
  <c r="Z10" i="2"/>
  <c r="Z12" i="2"/>
  <c r="Z14" i="2"/>
  <c r="Z28" i="3"/>
  <c r="AA33" i="2"/>
  <c r="AA38" i="2"/>
  <c r="AA57" i="2"/>
  <c r="AA5" i="2"/>
  <c r="AA6" i="2"/>
  <c r="AA10" i="2"/>
  <c r="AA12" i="2"/>
  <c r="AA14" i="2"/>
  <c r="AA28" i="3"/>
  <c r="AB33" i="2"/>
  <c r="AB38" i="2"/>
  <c r="AB41" i="2"/>
  <c r="AB57" i="2"/>
  <c r="AB5" i="2"/>
  <c r="AB6" i="2"/>
  <c r="AB10" i="2"/>
  <c r="AB12" i="2"/>
  <c r="AB14" i="2"/>
  <c r="AB28" i="3"/>
  <c r="AC33" i="2"/>
  <c r="AC38" i="2"/>
  <c r="AC41" i="2"/>
  <c r="AC45" i="2"/>
  <c r="AC57" i="2"/>
  <c r="AC5" i="2"/>
  <c r="AC6" i="2"/>
  <c r="AC10" i="2"/>
  <c r="AC12" i="2"/>
  <c r="AC14" i="2"/>
  <c r="AC28" i="3"/>
  <c r="AD33" i="2"/>
  <c r="AD38" i="2"/>
  <c r="AD41" i="2"/>
  <c r="AD45" i="2"/>
  <c r="AD57" i="2"/>
  <c r="AD5" i="2"/>
  <c r="AD6" i="2"/>
  <c r="AD10" i="2"/>
  <c r="AD12" i="2"/>
  <c r="AD14" i="2"/>
  <c r="AD28" i="3"/>
  <c r="AE33" i="2"/>
  <c r="AE38" i="2"/>
  <c r="AE39" i="2"/>
  <c r="AE41" i="2"/>
  <c r="AE45" i="2"/>
  <c r="AE57" i="2"/>
  <c r="AE5" i="2"/>
  <c r="AE6" i="2"/>
  <c r="AE10" i="2"/>
  <c r="AE12" i="2"/>
  <c r="AE14" i="2"/>
  <c r="AE28" i="3"/>
  <c r="AF33" i="2"/>
  <c r="AF38" i="2"/>
  <c r="AF39" i="2"/>
  <c r="AF41" i="2"/>
  <c r="AF45" i="2"/>
  <c r="AF47" i="2"/>
  <c r="AF48" i="2"/>
  <c r="AF57" i="2"/>
  <c r="AF5" i="2"/>
  <c r="AF6" i="2"/>
  <c r="AF10" i="2"/>
  <c r="AF12" i="2"/>
  <c r="AF14" i="2"/>
  <c r="AF28" i="3"/>
  <c r="AG33" i="2"/>
  <c r="AG38" i="2"/>
  <c r="AG39" i="2"/>
  <c r="AG41" i="2"/>
  <c r="AG45" i="2"/>
  <c r="AG47" i="2"/>
  <c r="AG48" i="2"/>
  <c r="AG57" i="2"/>
  <c r="AG5" i="2"/>
  <c r="AG6" i="2"/>
  <c r="AG10" i="2"/>
  <c r="AG12" i="2"/>
  <c r="AG14" i="2"/>
  <c r="AG28" i="3"/>
  <c r="AH33" i="2"/>
  <c r="AH38" i="2"/>
  <c r="AH39" i="2"/>
  <c r="AH41" i="2"/>
  <c r="AH45" i="2"/>
  <c r="AH47" i="2"/>
  <c r="AH48" i="2"/>
  <c r="AH57" i="2"/>
  <c r="AH5" i="2"/>
  <c r="AH6" i="2"/>
  <c r="AH10" i="2"/>
  <c r="AH12" i="2"/>
  <c r="AH14" i="2"/>
  <c r="AH28" i="3"/>
  <c r="AI33" i="2"/>
  <c r="AI38" i="2"/>
  <c r="AI39" i="2"/>
  <c r="AI41" i="2"/>
  <c r="AI45" i="2"/>
  <c r="AI47" i="2"/>
  <c r="AI48" i="2"/>
  <c r="AI57" i="2"/>
  <c r="AI5" i="2"/>
  <c r="AI6" i="2"/>
  <c r="AI10" i="2"/>
  <c r="AI12" i="2"/>
  <c r="AI14" i="2"/>
  <c r="AI28" i="3"/>
  <c r="AJ33" i="2"/>
  <c r="AJ38" i="2"/>
  <c r="AJ39" i="2"/>
  <c r="AJ41" i="2"/>
  <c r="AJ45" i="2"/>
  <c r="AJ47" i="2"/>
  <c r="AJ48" i="2"/>
  <c r="AJ57" i="2"/>
  <c r="AJ5" i="2"/>
  <c r="AJ6" i="2"/>
  <c r="AJ10" i="2"/>
  <c r="AJ12" i="2"/>
  <c r="AJ14" i="2"/>
  <c r="AJ28" i="3"/>
  <c r="AK33" i="2"/>
  <c r="AK38" i="2"/>
  <c r="AK39" i="2"/>
  <c r="AK41" i="2"/>
  <c r="AK45" i="2"/>
  <c r="AK47" i="2"/>
  <c r="AK48" i="2"/>
  <c r="AK57" i="2"/>
  <c r="AK5" i="2"/>
  <c r="AK6" i="2"/>
  <c r="AK10" i="2"/>
  <c r="AK12" i="2"/>
  <c r="AK14" i="2"/>
  <c r="AK28" i="3"/>
  <c r="AL33" i="2"/>
  <c r="AL38" i="2"/>
  <c r="AL39" i="2"/>
  <c r="AL41" i="2"/>
  <c r="AL45" i="2"/>
  <c r="AL47" i="2"/>
  <c r="AL48" i="2"/>
  <c r="AL53" i="2"/>
  <c r="AL57" i="2"/>
  <c r="AL5" i="2"/>
  <c r="AL6" i="2"/>
  <c r="AL10" i="2"/>
  <c r="AL12" i="2"/>
  <c r="AL14" i="2"/>
  <c r="AL28" i="3"/>
  <c r="AM33" i="2"/>
  <c r="AM38" i="2"/>
  <c r="AM39" i="2"/>
  <c r="AM41" i="2"/>
  <c r="AM45" i="2"/>
  <c r="AM47" i="2"/>
  <c r="AM48" i="2"/>
  <c r="AM43" i="2"/>
  <c r="AM53" i="2"/>
  <c r="AM57" i="2"/>
  <c r="AM5" i="2"/>
  <c r="AM6" i="2"/>
  <c r="AM10" i="2"/>
  <c r="AM12" i="2"/>
  <c r="AM14" i="2"/>
  <c r="AM28" i="3"/>
  <c r="AN33" i="2"/>
  <c r="AN38" i="2"/>
  <c r="AN39" i="2"/>
  <c r="AN41" i="2"/>
  <c r="AN45" i="2"/>
  <c r="AN47" i="2"/>
  <c r="AN48" i="2"/>
  <c r="AN35" i="2"/>
  <c r="AN43" i="2"/>
  <c r="AN53" i="2"/>
  <c r="AN57" i="2"/>
  <c r="AN5" i="2"/>
  <c r="AN6" i="2"/>
  <c r="AN10" i="2"/>
  <c r="AN12" i="2"/>
  <c r="AN14" i="2"/>
  <c r="AN28" i="3"/>
  <c r="AO33" i="2"/>
  <c r="AO38" i="2"/>
  <c r="AO39" i="2"/>
  <c r="AO41" i="2"/>
  <c r="AO45" i="2"/>
  <c r="AO47" i="2"/>
  <c r="AO48" i="2"/>
  <c r="AO35" i="2"/>
  <c r="AO43" i="2"/>
  <c r="AO53" i="2"/>
  <c r="AO57" i="2"/>
  <c r="AO5" i="2"/>
  <c r="AO6" i="2"/>
  <c r="AO10" i="2"/>
  <c r="AO12" i="2"/>
  <c r="AO14" i="2"/>
  <c r="AO28" i="3"/>
  <c r="AP33" i="2"/>
  <c r="AP38" i="2"/>
  <c r="AP39" i="2"/>
  <c r="AP41" i="2"/>
  <c r="AP45" i="2"/>
  <c r="AP47" i="2"/>
  <c r="AP48" i="2"/>
  <c r="AP35" i="2"/>
  <c r="AP43" i="2"/>
  <c r="AP44" i="2"/>
  <c r="AP53" i="2"/>
  <c r="AP57" i="2"/>
  <c r="AP5" i="2"/>
  <c r="AP6" i="2"/>
  <c r="AP10" i="2"/>
  <c r="AP12" i="2"/>
  <c r="AP14" i="2"/>
  <c r="AP28" i="3"/>
  <c r="AQ33" i="2"/>
  <c r="AQ38" i="2"/>
  <c r="AQ39" i="2"/>
  <c r="AQ41" i="2"/>
  <c r="AQ45" i="2"/>
  <c r="AQ47" i="2"/>
  <c r="AQ48" i="2"/>
  <c r="AQ49" i="2"/>
  <c r="AQ35" i="2"/>
  <c r="AQ43" i="2"/>
  <c r="AQ44" i="2"/>
  <c r="AQ52" i="2"/>
  <c r="AQ53" i="2"/>
  <c r="AQ57" i="2"/>
  <c r="AQ5" i="2"/>
  <c r="AQ6" i="2"/>
  <c r="AQ10" i="2"/>
  <c r="AQ12" i="2"/>
  <c r="AQ14" i="2"/>
  <c r="AQ28" i="3"/>
  <c r="AR33" i="2"/>
  <c r="AR38" i="2"/>
  <c r="AR39" i="2"/>
  <c r="AR41" i="2"/>
  <c r="AR45" i="2"/>
  <c r="AR47" i="2"/>
  <c r="AR48" i="2"/>
  <c r="AR49" i="2"/>
  <c r="AR35" i="2"/>
  <c r="AR43" i="2"/>
  <c r="AR44" i="2"/>
  <c r="AR52" i="2"/>
  <c r="AR53" i="2"/>
  <c r="AR57" i="2"/>
  <c r="AR5" i="2"/>
  <c r="AR6" i="2"/>
  <c r="AR10" i="2"/>
  <c r="AR12" i="2"/>
  <c r="AR14" i="2"/>
  <c r="AR28" i="3"/>
  <c r="AS33" i="2"/>
  <c r="AS38" i="2"/>
  <c r="AS39" i="2"/>
  <c r="AS41" i="2"/>
  <c r="AS45" i="2"/>
  <c r="AS47" i="2"/>
  <c r="AS48" i="2"/>
  <c r="AS49" i="2"/>
  <c r="AS35" i="2"/>
  <c r="AS36" i="2"/>
  <c r="AS43" i="2"/>
  <c r="AS44" i="2"/>
  <c r="AS52" i="2"/>
  <c r="AS57" i="2"/>
  <c r="AS5" i="2"/>
  <c r="AS6" i="2"/>
  <c r="AS10" i="2"/>
  <c r="AS12" i="2"/>
  <c r="AS14" i="2"/>
  <c r="AS28" i="3"/>
  <c r="AT33" i="2"/>
  <c r="AT38" i="2"/>
  <c r="AT39" i="2"/>
  <c r="AT41" i="2"/>
  <c r="AT45" i="2"/>
  <c r="AT47" i="2"/>
  <c r="AT48" i="2"/>
  <c r="AT35" i="2"/>
  <c r="AT36" i="2"/>
  <c r="AT43" i="2"/>
  <c r="AT44" i="2"/>
  <c r="AT52" i="2"/>
  <c r="AT51" i="2"/>
  <c r="AT57" i="2"/>
  <c r="AT5" i="2"/>
  <c r="AT6" i="2"/>
  <c r="AT10" i="2"/>
  <c r="AT12" i="2"/>
  <c r="AT14" i="2"/>
  <c r="AT28" i="3"/>
  <c r="AU33" i="2"/>
  <c r="AU38" i="2"/>
  <c r="AU39" i="2"/>
  <c r="AU41" i="2"/>
  <c r="AU45" i="2"/>
  <c r="AU47" i="2"/>
  <c r="AU48" i="2"/>
  <c r="AU49" i="2"/>
  <c r="AU35" i="2"/>
  <c r="AU36" i="2"/>
  <c r="AU43" i="2"/>
  <c r="AU44" i="2"/>
  <c r="AU52" i="2"/>
  <c r="AU51" i="2"/>
  <c r="AU53" i="2"/>
  <c r="AU57" i="2"/>
  <c r="AU5" i="2"/>
  <c r="AU6" i="2"/>
  <c r="AU10" i="2"/>
  <c r="AU12" i="2"/>
  <c r="AU14" i="2"/>
  <c r="AU28" i="3"/>
  <c r="AV33" i="2"/>
  <c r="AV38" i="2"/>
  <c r="AV39" i="2"/>
  <c r="AV41" i="2"/>
  <c r="AV45" i="2"/>
  <c r="AV47" i="2"/>
  <c r="AV48" i="2"/>
  <c r="AV49" i="2"/>
  <c r="AV35" i="2"/>
  <c r="AV36" i="2"/>
  <c r="AV43" i="2"/>
  <c r="AV44" i="2"/>
  <c r="AV52" i="2"/>
  <c r="AV51" i="2"/>
  <c r="AV53" i="2"/>
  <c r="AV57" i="2"/>
  <c r="AV5" i="2"/>
  <c r="AV6" i="2"/>
  <c r="AV10" i="2"/>
  <c r="AV12" i="2"/>
  <c r="AV14" i="2"/>
  <c r="AV28" i="3"/>
  <c r="AW33" i="2"/>
  <c r="AW38" i="2"/>
  <c r="AW39" i="2"/>
  <c r="AW41" i="2"/>
  <c r="AW45" i="2"/>
  <c r="AW47" i="2"/>
  <c r="AW48" i="2"/>
  <c r="AW35" i="2"/>
  <c r="AW36" i="2"/>
  <c r="AW43" i="2"/>
  <c r="AW44" i="2"/>
  <c r="AW52" i="2"/>
  <c r="AW51" i="2"/>
  <c r="AW53" i="2"/>
  <c r="AW57" i="2"/>
  <c r="AW5" i="2"/>
  <c r="AW6" i="2"/>
  <c r="AW10" i="2"/>
  <c r="AW12" i="2"/>
  <c r="AW14" i="2"/>
  <c r="AW28" i="3"/>
  <c r="AX33" i="2"/>
  <c r="AX38" i="2"/>
  <c r="AX39" i="2"/>
  <c r="AX41" i="2"/>
  <c r="AX45" i="2"/>
  <c r="AX47" i="2"/>
  <c r="AX48" i="2"/>
  <c r="AX35" i="2"/>
  <c r="AX36" i="2"/>
  <c r="AX43" i="2"/>
  <c r="AX44" i="2"/>
  <c r="AX52" i="2"/>
  <c r="AX51" i="2"/>
  <c r="AX53" i="2"/>
  <c r="AX50" i="2"/>
  <c r="AX42" i="2"/>
  <c r="AX54" i="2"/>
  <c r="AX40" i="2"/>
  <c r="AX37" i="2"/>
  <c r="AX57" i="2"/>
  <c r="AX5" i="2"/>
  <c r="AX6" i="2"/>
  <c r="AX10" i="2"/>
  <c r="AX12" i="2"/>
  <c r="AX14" i="2"/>
  <c r="AX28" i="3"/>
  <c r="AY33" i="2"/>
  <c r="AY38" i="2"/>
  <c r="AY39" i="2"/>
  <c r="AY41" i="2"/>
  <c r="AY45" i="2"/>
  <c r="AY47" i="2"/>
  <c r="AY48" i="2"/>
  <c r="AY35" i="2"/>
  <c r="AY36" i="2"/>
  <c r="AY43" i="2"/>
  <c r="AY44" i="2"/>
  <c r="AY52" i="2"/>
  <c r="AY51" i="2"/>
  <c r="AY53" i="2"/>
  <c r="AY50" i="2"/>
  <c r="AY42" i="2"/>
  <c r="AY54" i="2"/>
  <c r="AY40" i="2"/>
  <c r="AY37" i="2"/>
  <c r="AY57" i="2"/>
  <c r="AY5" i="2"/>
  <c r="AY6" i="2"/>
  <c r="AY10" i="2"/>
  <c r="AY12" i="2"/>
  <c r="AY14" i="2"/>
  <c r="AY28" i="3"/>
  <c r="AZ33" i="2"/>
  <c r="AZ38" i="2"/>
  <c r="AZ39" i="2"/>
  <c r="AZ41" i="2"/>
  <c r="AZ45" i="2"/>
  <c r="AZ47" i="2"/>
  <c r="AZ48" i="2"/>
  <c r="AZ35" i="2"/>
  <c r="AZ36" i="2"/>
  <c r="AZ43" i="2"/>
  <c r="AZ44" i="2"/>
  <c r="AZ52" i="2"/>
  <c r="AZ51" i="2"/>
  <c r="AZ53" i="2"/>
  <c r="AZ50" i="2"/>
  <c r="AZ42" i="2"/>
  <c r="AZ54" i="2"/>
  <c r="AZ40" i="2"/>
  <c r="AZ37" i="2"/>
  <c r="AZ57" i="2"/>
  <c r="AZ5" i="2"/>
  <c r="AZ6" i="2"/>
  <c r="AZ10" i="2"/>
  <c r="AZ12" i="2"/>
  <c r="AZ14" i="2"/>
  <c r="AZ28" i="3"/>
  <c r="BA33" i="2"/>
  <c r="BA38" i="2"/>
  <c r="BA39" i="2"/>
  <c r="BA41" i="2"/>
  <c r="BA45" i="2"/>
  <c r="BA47" i="2"/>
  <c r="BA48" i="2"/>
  <c r="BA35" i="2"/>
  <c r="BA36" i="2"/>
  <c r="BA43" i="2"/>
  <c r="BA44" i="2"/>
  <c r="BA52" i="2"/>
  <c r="BA51" i="2"/>
  <c r="BA53" i="2"/>
  <c r="BA42" i="2"/>
  <c r="BA54" i="2"/>
  <c r="BA40" i="2"/>
  <c r="BA37" i="2"/>
  <c r="BA57" i="2"/>
  <c r="BA5" i="2"/>
  <c r="BA6" i="2"/>
  <c r="BA10" i="2"/>
  <c r="BA12" i="2"/>
  <c r="BA14" i="2"/>
  <c r="BA28" i="3"/>
  <c r="BB33" i="2"/>
  <c r="BB38" i="2"/>
  <c r="BB39" i="2"/>
  <c r="BB41" i="2"/>
  <c r="BB45" i="2"/>
  <c r="BB47" i="2"/>
  <c r="BB48" i="2"/>
  <c r="BB35" i="2"/>
  <c r="BB36" i="2"/>
  <c r="BB43" i="2"/>
  <c r="BB44" i="2"/>
  <c r="BB52" i="2"/>
  <c r="BB51" i="2"/>
  <c r="BB53" i="2"/>
  <c r="BB50" i="2"/>
  <c r="BB42" i="2"/>
  <c r="BB54" i="2"/>
  <c r="BB40" i="2"/>
  <c r="BB37" i="2"/>
  <c r="BB57" i="2"/>
  <c r="BB5" i="2"/>
  <c r="BB6" i="2"/>
  <c r="BB10" i="2"/>
  <c r="BB12" i="2"/>
  <c r="BB14" i="2"/>
  <c r="BB28" i="3"/>
  <c r="BC33" i="2"/>
  <c r="BC38" i="2"/>
  <c r="BC39" i="2"/>
  <c r="BC41" i="2"/>
  <c r="BC45" i="2"/>
  <c r="BC47" i="2"/>
  <c r="BC48" i="2"/>
  <c r="BC35" i="2"/>
  <c r="BC36" i="2"/>
  <c r="BC43" i="2"/>
  <c r="BC44" i="2"/>
  <c r="BC52" i="2"/>
  <c r="BC51" i="2"/>
  <c r="BC53" i="2"/>
  <c r="BC50" i="2"/>
  <c r="BC54" i="2"/>
  <c r="BC40" i="2"/>
  <c r="BC37" i="2"/>
  <c r="BC57" i="2"/>
  <c r="BC5" i="2"/>
  <c r="BC6" i="2"/>
  <c r="BC10" i="2"/>
  <c r="BC12" i="2"/>
  <c r="BC14" i="2"/>
  <c r="BC28" i="3"/>
  <c r="BD33" i="2"/>
  <c r="BD38" i="2"/>
  <c r="BD39" i="2"/>
  <c r="BD41" i="2"/>
  <c r="BD45" i="2"/>
  <c r="BD47" i="2"/>
  <c r="BD48" i="2"/>
  <c r="BD35" i="2"/>
  <c r="BD36" i="2"/>
  <c r="BD43" i="2"/>
  <c r="BD44" i="2"/>
  <c r="BD52" i="2"/>
  <c r="BD51" i="2"/>
  <c r="BD53" i="2"/>
  <c r="BD50" i="2"/>
  <c r="BD42" i="2"/>
  <c r="BD40" i="2"/>
  <c r="BD37" i="2"/>
  <c r="BD57" i="2"/>
  <c r="BD5" i="2"/>
  <c r="BD6" i="2"/>
  <c r="BD10" i="2"/>
  <c r="BD12" i="2"/>
  <c r="BD14" i="2"/>
  <c r="BD28" i="3"/>
  <c r="BE33" i="2"/>
  <c r="BE38" i="2"/>
  <c r="BE39" i="2"/>
  <c r="BE41" i="2"/>
  <c r="BE45" i="2"/>
  <c r="BE47" i="2"/>
  <c r="BE48" i="2"/>
  <c r="BE35" i="2"/>
  <c r="BE36" i="2"/>
  <c r="BE43" i="2"/>
  <c r="BE44" i="2"/>
  <c r="BE52" i="2"/>
  <c r="BE51" i="2"/>
  <c r="BE53" i="2"/>
  <c r="BE50" i="2"/>
  <c r="BE42" i="2"/>
  <c r="BE54" i="2"/>
  <c r="BE37" i="2"/>
  <c r="BE57" i="2"/>
  <c r="BE5" i="2"/>
  <c r="BE6" i="2"/>
  <c r="BE10" i="2"/>
  <c r="BE12" i="2"/>
  <c r="BE14" i="2"/>
  <c r="BE28" i="3"/>
  <c r="BF33" i="2"/>
  <c r="BF38" i="2"/>
  <c r="BF39" i="2"/>
  <c r="BF41" i="2"/>
  <c r="BF45" i="2"/>
  <c r="BF47" i="2"/>
  <c r="BF48" i="2"/>
  <c r="BF35" i="2"/>
  <c r="BF36" i="2"/>
  <c r="BF43" i="2"/>
  <c r="BF44" i="2"/>
  <c r="BF52" i="2"/>
  <c r="BF51" i="2"/>
  <c r="BF53" i="2"/>
  <c r="BF50" i="2"/>
  <c r="BF42" i="2"/>
  <c r="BF54" i="2"/>
  <c r="BF40" i="2"/>
  <c r="BF37" i="2"/>
  <c r="BF57" i="2"/>
  <c r="BF5" i="2"/>
  <c r="BF6" i="2"/>
  <c r="BF10" i="2"/>
  <c r="BF12" i="2"/>
  <c r="BF14" i="2"/>
  <c r="BF28" i="3"/>
  <c r="BG33" i="2"/>
  <c r="BG38" i="2"/>
  <c r="BG39" i="2"/>
  <c r="BG41" i="2"/>
  <c r="BG45" i="2"/>
  <c r="BG47" i="2"/>
  <c r="BG48" i="2"/>
  <c r="BG35" i="2"/>
  <c r="BG36" i="2"/>
  <c r="BG43" i="2"/>
  <c r="BG44" i="2"/>
  <c r="BG52" i="2"/>
  <c r="BG51" i="2"/>
  <c r="BG53" i="2"/>
  <c r="BG50" i="2"/>
  <c r="BG42" i="2"/>
  <c r="BG54" i="2"/>
  <c r="BG40" i="2"/>
  <c r="BG57" i="2"/>
  <c r="BG5" i="2"/>
  <c r="BG6" i="2"/>
  <c r="BG10" i="2"/>
  <c r="BG12" i="2"/>
  <c r="BG14" i="2"/>
  <c r="BG28" i="3"/>
  <c r="BH33" i="2"/>
  <c r="BH38" i="2"/>
  <c r="BH39" i="2"/>
  <c r="BH41" i="2"/>
  <c r="BH45" i="2"/>
  <c r="BH47" i="2"/>
  <c r="BH48" i="2"/>
  <c r="BH35" i="2"/>
  <c r="BH36" i="2"/>
  <c r="BH43" i="2"/>
  <c r="BH44" i="2"/>
  <c r="BH52" i="2"/>
  <c r="BH51" i="2"/>
  <c r="BH53" i="2"/>
  <c r="BH50" i="2"/>
  <c r="BH42" i="2"/>
  <c r="BH54" i="2"/>
  <c r="BH40" i="2"/>
  <c r="BH37" i="2"/>
  <c r="BH57" i="2"/>
  <c r="BH5" i="2"/>
  <c r="BH6" i="2"/>
  <c r="BH10" i="2"/>
  <c r="BH12" i="2"/>
  <c r="BH14" i="2"/>
  <c r="BH28" i="3"/>
  <c r="BI33" i="2"/>
  <c r="BI38" i="2"/>
  <c r="BI39" i="2"/>
  <c r="BI41" i="2"/>
  <c r="BI45" i="2"/>
  <c r="BI47" i="2"/>
  <c r="BI48" i="2"/>
  <c r="BI35" i="2"/>
  <c r="BI36" i="2"/>
  <c r="BI43" i="2"/>
  <c r="BI44" i="2"/>
  <c r="BI52" i="2"/>
  <c r="BI51" i="2"/>
  <c r="BI53" i="2"/>
  <c r="BI50" i="2"/>
  <c r="BI42" i="2"/>
  <c r="BI54" i="2"/>
  <c r="BI40" i="2"/>
  <c r="BI37" i="2"/>
  <c r="BI57" i="2"/>
  <c r="BI5" i="2"/>
  <c r="BI6" i="2"/>
  <c r="BI10" i="2"/>
  <c r="BI12" i="2"/>
  <c r="BI14" i="2"/>
  <c r="BI28" i="3"/>
  <c r="BJ33" i="2"/>
  <c r="BJ38" i="2"/>
  <c r="BJ39" i="2"/>
  <c r="BJ41" i="2"/>
  <c r="BJ45" i="2"/>
  <c r="BJ47" i="2"/>
  <c r="BJ48" i="2"/>
  <c r="BJ35" i="2"/>
  <c r="BJ36" i="2"/>
  <c r="BJ43" i="2"/>
  <c r="BJ44" i="2"/>
  <c r="BJ52" i="2"/>
  <c r="BJ51" i="2"/>
  <c r="BJ53" i="2"/>
  <c r="BJ50" i="2"/>
  <c r="BJ42" i="2"/>
  <c r="BJ54" i="2"/>
  <c r="BJ40" i="2"/>
  <c r="BJ37" i="2"/>
  <c r="BJ57" i="2"/>
  <c r="BJ5" i="2"/>
  <c r="BJ6" i="2"/>
  <c r="BJ10" i="2"/>
  <c r="BJ12" i="2"/>
  <c r="BJ14" i="2"/>
  <c r="BJ28" i="3"/>
  <c r="BK33" i="2"/>
  <c r="BK38" i="2"/>
  <c r="BK39" i="2"/>
  <c r="BK41" i="2"/>
  <c r="BK45" i="2"/>
  <c r="BK47" i="2"/>
  <c r="BK48" i="2"/>
  <c r="BK35" i="2"/>
  <c r="BK36" i="2"/>
  <c r="BK43" i="2"/>
  <c r="BK44" i="2"/>
  <c r="BK52" i="2"/>
  <c r="BK51" i="2"/>
  <c r="BK53" i="2"/>
  <c r="BK50" i="2"/>
  <c r="BK42" i="2"/>
  <c r="BK54" i="2"/>
  <c r="BK40" i="2"/>
  <c r="BK37" i="2"/>
  <c r="BK57" i="2"/>
  <c r="BK5" i="2"/>
  <c r="BK6" i="2"/>
  <c r="BK10" i="2"/>
  <c r="BK12" i="2"/>
  <c r="BK14" i="2"/>
  <c r="BK28" i="3"/>
  <c r="BL33" i="2"/>
  <c r="BL38" i="2"/>
  <c r="BL39" i="2"/>
  <c r="BL41" i="2"/>
  <c r="BL45" i="2"/>
  <c r="BL47" i="2"/>
  <c r="BL48" i="2"/>
  <c r="BL35" i="2"/>
  <c r="BL36" i="2"/>
  <c r="BL43" i="2"/>
  <c r="BL44" i="2"/>
  <c r="BL52" i="2"/>
  <c r="BL51" i="2"/>
  <c r="BL53" i="2"/>
  <c r="BL50" i="2"/>
  <c r="BL42" i="2"/>
  <c r="BL54" i="2"/>
  <c r="BL40" i="2"/>
  <c r="BL37" i="2"/>
  <c r="BL57" i="2"/>
  <c r="BL5" i="2"/>
  <c r="BL6" i="2"/>
  <c r="BL10" i="2"/>
  <c r="BL12" i="2"/>
  <c r="BL14" i="2"/>
  <c r="BL28" i="3"/>
  <c r="BM33" i="2"/>
  <c r="BM38" i="2"/>
  <c r="BM39" i="2"/>
  <c r="BM41" i="2"/>
  <c r="BM45" i="2"/>
  <c r="BM47" i="2"/>
  <c r="BM48" i="2"/>
  <c r="BM35" i="2"/>
  <c r="BM36" i="2"/>
  <c r="BM43" i="2"/>
  <c r="BM44" i="2"/>
  <c r="BM52" i="2"/>
  <c r="BM51" i="2"/>
  <c r="BM53" i="2"/>
  <c r="BM50" i="2"/>
  <c r="BM42" i="2"/>
  <c r="BM54" i="2"/>
  <c r="BM40" i="2"/>
  <c r="BM37" i="2"/>
  <c r="BM57" i="2"/>
  <c r="BM5" i="2"/>
  <c r="BM6" i="2"/>
  <c r="BM10" i="2"/>
  <c r="BM12" i="2"/>
  <c r="BM14" i="2"/>
  <c r="BM28" i="3"/>
  <c r="BN33" i="2"/>
  <c r="BN38" i="2"/>
  <c r="BN39" i="2"/>
  <c r="BN41" i="2"/>
  <c r="BN45" i="2"/>
  <c r="BN47" i="2"/>
  <c r="BN48" i="2"/>
  <c r="BN35" i="2"/>
  <c r="BN36" i="2"/>
  <c r="BN43" i="2"/>
  <c r="BN44" i="2"/>
  <c r="BN52" i="2"/>
  <c r="BN51" i="2"/>
  <c r="BN53" i="2"/>
  <c r="BN50" i="2"/>
  <c r="BN42" i="2"/>
  <c r="BN54" i="2"/>
  <c r="BN40" i="2"/>
  <c r="BN37" i="2"/>
  <c r="BN57" i="2"/>
  <c r="BN5" i="2"/>
  <c r="BN6" i="2"/>
  <c r="BN10" i="2"/>
  <c r="BN12" i="2"/>
  <c r="BN14" i="2"/>
  <c r="BN28" i="3"/>
  <c r="BO33" i="2"/>
  <c r="BO38" i="2"/>
  <c r="BO39" i="2"/>
  <c r="BO41" i="2"/>
  <c r="BO45" i="2"/>
  <c r="BO47" i="2"/>
  <c r="BO48" i="2"/>
  <c r="BO35" i="2"/>
  <c r="BO36" i="2"/>
  <c r="BO43" i="2"/>
  <c r="BO44" i="2"/>
  <c r="BO52" i="2"/>
  <c r="BO51" i="2"/>
  <c r="BO53" i="2"/>
  <c r="BO50" i="2"/>
  <c r="BO42" i="2"/>
  <c r="BO54" i="2"/>
  <c r="BO40" i="2"/>
  <c r="BO37" i="2"/>
  <c r="BO57" i="2"/>
  <c r="BO5" i="2"/>
  <c r="BO6" i="2"/>
  <c r="BO10" i="2"/>
  <c r="BO12" i="2"/>
  <c r="BO14" i="2"/>
  <c r="BO28" i="3"/>
  <c r="BP33" i="2"/>
  <c r="BP38" i="2"/>
  <c r="BP39" i="2"/>
  <c r="BP41" i="2"/>
  <c r="BP45" i="2"/>
  <c r="BP47" i="2"/>
  <c r="BP48" i="2"/>
  <c r="BP35" i="2"/>
  <c r="BP36" i="2"/>
  <c r="BP43" i="2"/>
  <c r="BP44" i="2"/>
  <c r="BP52" i="2"/>
  <c r="BP51" i="2"/>
  <c r="BP53" i="2"/>
  <c r="BP50" i="2"/>
  <c r="BP42" i="2"/>
  <c r="BP54" i="2"/>
  <c r="BP40" i="2"/>
  <c r="BP37" i="2"/>
  <c r="BP57" i="2"/>
  <c r="BP5" i="2"/>
  <c r="BP6" i="2"/>
  <c r="BP10" i="2"/>
  <c r="BP12" i="2"/>
  <c r="BP14" i="2"/>
  <c r="BP28" i="3"/>
  <c r="BQ33" i="2"/>
  <c r="BQ38" i="2"/>
  <c r="BQ39" i="2"/>
  <c r="BQ41" i="2"/>
  <c r="BQ45" i="2"/>
  <c r="BQ47" i="2"/>
  <c r="BQ48" i="2"/>
  <c r="BQ35" i="2"/>
  <c r="BQ36" i="2"/>
  <c r="BQ43" i="2"/>
  <c r="BQ44" i="2"/>
  <c r="BQ52" i="2"/>
  <c r="BQ51" i="2"/>
  <c r="BQ53" i="2"/>
  <c r="BQ50" i="2"/>
  <c r="BQ42" i="2"/>
  <c r="BQ54" i="2"/>
  <c r="BQ40" i="2"/>
  <c r="BQ37" i="2"/>
  <c r="BQ57" i="2"/>
  <c r="BQ5" i="2"/>
  <c r="BQ6" i="2"/>
  <c r="BQ10" i="2"/>
  <c r="BQ12" i="2"/>
  <c r="BQ14" i="2"/>
  <c r="BQ28" i="3"/>
  <c r="BR33" i="2"/>
  <c r="BR38" i="2"/>
  <c r="BR39" i="2"/>
  <c r="BR41" i="2"/>
  <c r="BR45" i="2"/>
  <c r="BR47" i="2"/>
  <c r="BR48" i="2"/>
  <c r="BR35" i="2"/>
  <c r="BR36" i="2"/>
  <c r="BR43" i="2"/>
  <c r="BR44" i="2"/>
  <c r="BR52" i="2"/>
  <c r="BR51" i="2"/>
  <c r="BR53" i="2"/>
  <c r="BR50" i="2"/>
  <c r="BR42" i="2"/>
  <c r="BR54" i="2"/>
  <c r="BR40" i="2"/>
  <c r="BR37" i="2"/>
  <c r="BR57" i="2"/>
  <c r="BR5" i="2"/>
  <c r="BR6" i="2"/>
  <c r="BR10" i="2"/>
  <c r="BR12" i="2"/>
  <c r="BR14" i="2"/>
  <c r="BR28" i="3"/>
  <c r="BS33" i="2"/>
  <c r="BS38" i="2"/>
  <c r="BS39" i="2"/>
  <c r="BS41" i="2"/>
  <c r="BS45" i="2"/>
  <c r="BS47" i="2"/>
  <c r="BS48" i="2"/>
  <c r="BS35" i="2"/>
  <c r="BS36" i="2"/>
  <c r="BS43" i="2"/>
  <c r="BS44" i="2"/>
  <c r="BS52" i="2"/>
  <c r="BS51" i="2"/>
  <c r="BS53" i="2"/>
  <c r="BS50" i="2"/>
  <c r="BS42" i="2"/>
  <c r="BS54" i="2"/>
  <c r="BS40" i="2"/>
  <c r="BS37" i="2"/>
  <c r="BS57" i="2"/>
  <c r="BS5" i="2"/>
  <c r="BS6" i="2"/>
  <c r="BS10" i="2"/>
  <c r="BS12" i="2"/>
  <c r="BS14" i="2"/>
  <c r="BS28" i="3"/>
  <c r="BT33" i="2"/>
  <c r="BT38" i="2"/>
  <c r="BT39" i="2"/>
  <c r="BT41" i="2"/>
  <c r="BT45" i="2"/>
  <c r="BT47" i="2"/>
  <c r="BT48" i="2"/>
  <c r="BT35" i="2"/>
  <c r="BT36" i="2"/>
  <c r="BT43" i="2"/>
  <c r="BT44" i="2"/>
  <c r="BT52" i="2"/>
  <c r="BT51" i="2"/>
  <c r="BT53" i="2"/>
  <c r="BT50" i="2"/>
  <c r="BT42" i="2"/>
  <c r="BT54" i="2"/>
  <c r="BT40" i="2"/>
  <c r="BT37" i="2"/>
  <c r="BT57" i="2"/>
  <c r="BT5" i="2"/>
  <c r="BT6" i="2"/>
  <c r="BT10" i="2"/>
  <c r="BT12" i="2"/>
  <c r="BT14" i="2"/>
  <c r="BT28" i="3"/>
  <c r="M69" i="3"/>
  <c r="M68" i="3"/>
  <c r="M67" i="3" a="1"/>
  <c r="M67" i="3"/>
  <c r="M66" i="1"/>
  <c r="M67" i="1"/>
  <c r="M70" i="1"/>
  <c r="M71" i="1"/>
  <c r="N22" i="1"/>
  <c r="N13" i="1"/>
  <c r="N23" i="1"/>
  <c r="N14" i="1"/>
  <c r="N26" i="1"/>
  <c r="N17" i="1"/>
  <c r="N27" i="1"/>
  <c r="N18" i="1"/>
  <c r="O22" i="1"/>
  <c r="O13" i="1"/>
  <c r="O23" i="1"/>
  <c r="O14" i="1"/>
  <c r="O26" i="1"/>
  <c r="O17" i="1"/>
  <c r="O27" i="1"/>
  <c r="O18" i="1"/>
  <c r="P22" i="1"/>
  <c r="P13" i="1"/>
  <c r="P23" i="1"/>
  <c r="P14" i="1"/>
  <c r="P26" i="1"/>
  <c r="P17" i="1"/>
  <c r="P27" i="1"/>
  <c r="P18" i="1"/>
  <c r="Q22" i="1"/>
  <c r="Q13" i="1"/>
  <c r="Q23" i="1"/>
  <c r="Q14" i="1"/>
  <c r="Q26" i="1"/>
  <c r="Q17" i="1"/>
  <c r="Q27" i="1"/>
  <c r="Q18" i="1"/>
  <c r="R22" i="1"/>
  <c r="R13" i="1"/>
  <c r="R23" i="1"/>
  <c r="R14" i="1"/>
  <c r="R26" i="1"/>
  <c r="R17" i="1"/>
  <c r="R27" i="1"/>
  <c r="R18" i="1"/>
  <c r="S22" i="1"/>
  <c r="S13" i="1"/>
  <c r="S23" i="1"/>
  <c r="S14" i="1"/>
  <c r="S25" i="1"/>
  <c r="S16" i="1"/>
  <c r="S26" i="1"/>
  <c r="S17" i="1"/>
  <c r="S27" i="1"/>
  <c r="S18" i="1"/>
  <c r="T21" i="1"/>
  <c r="T12" i="1"/>
  <c r="T22" i="1"/>
  <c r="T13" i="1"/>
  <c r="T23" i="1"/>
  <c r="T14" i="1"/>
  <c r="T25" i="1"/>
  <c r="T16" i="1"/>
  <c r="T26" i="1"/>
  <c r="T17" i="1"/>
  <c r="T27" i="1"/>
  <c r="T18" i="1"/>
  <c r="T7" i="1"/>
  <c r="T8" i="1"/>
  <c r="U21" i="1"/>
  <c r="U12" i="1"/>
  <c r="U22" i="1"/>
  <c r="U13" i="1"/>
  <c r="U23" i="1"/>
  <c r="U14" i="1"/>
  <c r="U25" i="1"/>
  <c r="U16" i="1"/>
  <c r="U26" i="1"/>
  <c r="U17" i="1"/>
  <c r="U27" i="1"/>
  <c r="U18" i="1"/>
  <c r="U7" i="1"/>
  <c r="U8" i="1"/>
  <c r="V21" i="1"/>
  <c r="V12" i="1"/>
  <c r="V22" i="1"/>
  <c r="V13" i="1"/>
  <c r="V23" i="1"/>
  <c r="V14" i="1"/>
  <c r="V25" i="1"/>
  <c r="V16" i="1"/>
  <c r="V26" i="1"/>
  <c r="V17" i="1"/>
  <c r="V27" i="1"/>
  <c r="V18" i="1"/>
  <c r="V7" i="1"/>
  <c r="V8" i="1"/>
  <c r="W21" i="1"/>
  <c r="W12" i="1"/>
  <c r="W22" i="1"/>
  <c r="W13" i="1"/>
  <c r="W23" i="1"/>
  <c r="W14" i="1"/>
  <c r="W25" i="1"/>
  <c r="W16" i="1"/>
  <c r="W26" i="1"/>
  <c r="W17" i="1"/>
  <c r="W27" i="1"/>
  <c r="W18" i="1"/>
  <c r="W7" i="1"/>
  <c r="W8" i="1"/>
  <c r="X21" i="1"/>
  <c r="X12" i="1"/>
  <c r="X22" i="1"/>
  <c r="X13" i="1"/>
  <c r="X23" i="1"/>
  <c r="X14" i="1"/>
  <c r="X25" i="1"/>
  <c r="X16" i="1"/>
  <c r="X26" i="1"/>
  <c r="X17" i="1"/>
  <c r="X27" i="1"/>
  <c r="X18" i="1"/>
  <c r="X7" i="1"/>
  <c r="X8" i="1"/>
  <c r="Y21" i="1"/>
  <c r="Y12" i="1"/>
  <c r="Y22" i="1"/>
  <c r="Y13" i="1"/>
  <c r="Y23" i="1"/>
  <c r="Y14" i="1"/>
  <c r="Y25" i="1"/>
  <c r="Y16" i="1"/>
  <c r="Y26" i="1"/>
  <c r="Y17" i="1"/>
  <c r="Y27" i="1"/>
  <c r="Y18" i="1"/>
  <c r="Y7" i="1"/>
  <c r="Y8" i="1"/>
  <c r="Z21" i="1"/>
  <c r="Z12" i="1"/>
  <c r="Z22" i="1"/>
  <c r="Z13" i="1"/>
  <c r="Z23" i="1"/>
  <c r="Z14" i="1"/>
  <c r="Z25" i="1"/>
  <c r="Z16" i="1"/>
  <c r="Z26" i="1"/>
  <c r="Z17" i="1"/>
  <c r="Z27" i="1"/>
  <c r="Z18" i="1"/>
  <c r="Z7" i="1"/>
  <c r="Z8" i="1"/>
  <c r="AA21" i="1"/>
  <c r="AA12" i="1"/>
  <c r="AA22" i="1"/>
  <c r="AA13" i="1"/>
  <c r="AA23" i="1"/>
  <c r="AA14" i="1"/>
  <c r="AA25" i="1"/>
  <c r="AA16" i="1"/>
  <c r="AA26" i="1"/>
  <c r="AA17" i="1"/>
  <c r="AA27" i="1"/>
  <c r="AA18" i="1"/>
  <c r="AA7" i="1"/>
  <c r="AA8" i="1"/>
  <c r="AB21" i="1"/>
  <c r="AB12" i="1"/>
  <c r="AB22" i="1"/>
  <c r="AB13" i="1"/>
  <c r="AB23" i="1"/>
  <c r="AB14" i="1"/>
  <c r="AB25" i="1"/>
  <c r="AB16" i="1"/>
  <c r="AB26" i="1"/>
  <c r="AB17" i="1"/>
  <c r="AB27" i="1"/>
  <c r="AB18" i="1"/>
  <c r="AB7" i="1"/>
  <c r="AB8" i="1"/>
  <c r="AC21" i="1"/>
  <c r="AC12" i="1"/>
  <c r="AC22" i="1"/>
  <c r="AC13" i="1"/>
  <c r="AC23" i="1"/>
  <c r="AC14" i="1"/>
  <c r="AC25" i="1"/>
  <c r="AC16" i="1"/>
  <c r="AC26" i="1"/>
  <c r="AC17" i="1"/>
  <c r="AC27" i="1"/>
  <c r="AC18" i="1"/>
  <c r="AC7" i="1"/>
  <c r="AC8" i="1"/>
  <c r="AD21" i="1"/>
  <c r="AD12" i="1"/>
  <c r="AD22" i="1"/>
  <c r="AD13" i="1"/>
  <c r="AD23" i="1"/>
  <c r="AD14" i="1"/>
  <c r="AD25" i="1"/>
  <c r="AD16" i="1"/>
  <c r="AD26" i="1"/>
  <c r="AD17" i="1"/>
  <c r="AD27" i="1"/>
  <c r="AD18" i="1"/>
  <c r="AD7" i="1"/>
  <c r="AD8" i="1"/>
  <c r="AE21" i="1"/>
  <c r="AE12" i="1"/>
  <c r="AE22" i="1"/>
  <c r="AE13" i="1"/>
  <c r="AE23" i="1"/>
  <c r="AE14" i="1"/>
  <c r="AE25" i="1"/>
  <c r="AE16" i="1"/>
  <c r="AE26" i="1"/>
  <c r="AE17" i="1"/>
  <c r="AE27" i="1"/>
  <c r="AE18" i="1"/>
  <c r="AE7" i="1"/>
  <c r="AE8" i="1"/>
  <c r="AF21" i="1"/>
  <c r="AF12" i="1"/>
  <c r="AF22" i="1"/>
  <c r="AF13" i="1"/>
  <c r="AF23" i="1"/>
  <c r="AF14" i="1"/>
  <c r="AF25" i="1"/>
  <c r="AF16" i="1"/>
  <c r="AF26" i="1"/>
  <c r="AF17" i="1"/>
  <c r="AF27" i="1"/>
  <c r="AF18" i="1"/>
  <c r="AF7" i="1"/>
  <c r="AF8" i="1"/>
  <c r="AG21" i="1"/>
  <c r="AG12" i="1"/>
  <c r="AG22" i="1"/>
  <c r="AG13" i="1"/>
  <c r="AG23" i="1"/>
  <c r="AG14" i="1"/>
  <c r="AG25" i="1"/>
  <c r="AG16" i="1"/>
  <c r="AG26" i="1"/>
  <c r="AG17" i="1"/>
  <c r="AG27" i="1"/>
  <c r="AG18" i="1"/>
  <c r="AG7" i="1"/>
  <c r="AG8" i="1"/>
  <c r="AH21" i="1"/>
  <c r="AH12" i="1"/>
  <c r="AH22" i="1"/>
  <c r="AH13" i="1"/>
  <c r="AH23" i="1"/>
  <c r="AH14" i="1"/>
  <c r="AH25" i="1"/>
  <c r="AH16" i="1"/>
  <c r="AH26" i="1"/>
  <c r="AH17" i="1"/>
  <c r="AH27" i="1"/>
  <c r="AH18" i="1"/>
  <c r="AH7" i="1"/>
  <c r="AH8" i="1"/>
  <c r="AI21" i="1"/>
  <c r="AI12" i="1"/>
  <c r="AI22" i="1"/>
  <c r="AI13" i="1"/>
  <c r="AI23" i="1"/>
  <c r="AI14" i="1"/>
  <c r="AI25" i="1"/>
  <c r="AI16" i="1"/>
  <c r="AI26" i="1"/>
  <c r="AI17" i="1"/>
  <c r="AI27" i="1"/>
  <c r="AI18" i="1"/>
  <c r="AI7" i="1"/>
  <c r="AI8" i="1"/>
  <c r="AJ21" i="1"/>
  <c r="AJ12" i="1"/>
  <c r="AJ22" i="1"/>
  <c r="AJ13" i="1"/>
  <c r="AJ23" i="1"/>
  <c r="AJ14" i="1"/>
  <c r="AJ25" i="1"/>
  <c r="AJ16" i="1"/>
  <c r="AJ26" i="1"/>
  <c r="AJ17" i="1"/>
  <c r="AJ27" i="1"/>
  <c r="AJ18" i="1"/>
  <c r="AJ7" i="1"/>
  <c r="AJ8" i="1"/>
  <c r="AK21" i="1"/>
  <c r="AK12" i="1"/>
  <c r="AK22" i="1"/>
  <c r="AK13" i="1"/>
  <c r="AK23" i="1"/>
  <c r="AK14" i="1"/>
  <c r="AK25" i="1"/>
  <c r="AK16" i="1"/>
  <c r="AK26" i="1"/>
  <c r="AK17" i="1"/>
  <c r="AK27" i="1"/>
  <c r="AK18" i="1"/>
  <c r="AK7" i="1"/>
  <c r="AK8" i="1"/>
  <c r="AL21" i="1"/>
  <c r="AL12" i="1"/>
  <c r="AL22" i="1"/>
  <c r="AL13" i="1"/>
  <c r="AL23" i="1"/>
  <c r="AL14" i="1"/>
  <c r="AL25" i="1"/>
  <c r="AL16" i="1"/>
  <c r="AL26" i="1"/>
  <c r="AL17" i="1"/>
  <c r="AL27" i="1"/>
  <c r="AL18" i="1"/>
  <c r="AL7" i="1"/>
  <c r="AL8" i="1"/>
  <c r="AM21" i="1"/>
  <c r="AM12" i="1"/>
  <c r="AM22" i="1"/>
  <c r="AM13" i="1"/>
  <c r="AM23" i="1"/>
  <c r="AM14" i="1"/>
  <c r="AM25" i="1"/>
  <c r="AM16" i="1"/>
  <c r="AM26" i="1"/>
  <c r="AM17" i="1"/>
  <c r="AM27" i="1"/>
  <c r="AM18" i="1"/>
  <c r="AM7" i="1"/>
  <c r="AM8" i="1"/>
  <c r="AN21" i="1"/>
  <c r="AN12" i="1"/>
  <c r="AN22" i="1"/>
  <c r="AN13" i="1"/>
  <c r="AN23" i="1"/>
  <c r="AN14" i="1"/>
  <c r="AN25" i="1"/>
  <c r="AN16" i="1"/>
  <c r="AN26" i="1"/>
  <c r="AN17" i="1"/>
  <c r="AN27" i="1"/>
  <c r="AN18" i="1"/>
  <c r="AN7" i="1"/>
  <c r="AN8" i="1"/>
  <c r="AO21" i="1"/>
  <c r="AO12" i="1"/>
  <c r="AO22" i="1"/>
  <c r="AO13" i="1"/>
  <c r="AO23" i="1"/>
  <c r="AO14" i="1"/>
  <c r="AO25" i="1"/>
  <c r="AO16" i="1"/>
  <c r="AO26" i="1"/>
  <c r="AO17" i="1"/>
  <c r="AO27" i="1"/>
  <c r="AO18" i="1"/>
  <c r="AO7" i="1"/>
  <c r="AO8" i="1"/>
  <c r="AP21" i="1"/>
  <c r="AP12" i="1"/>
  <c r="AP22" i="1"/>
  <c r="AP13" i="1"/>
  <c r="AP23" i="1"/>
  <c r="AP14" i="1"/>
  <c r="AP25" i="1"/>
  <c r="AP16" i="1"/>
  <c r="AP26" i="1"/>
  <c r="AP17" i="1"/>
  <c r="AP27" i="1"/>
  <c r="AP18" i="1"/>
  <c r="AP7" i="1"/>
  <c r="AP8" i="1"/>
  <c r="AQ21" i="1"/>
  <c r="AQ12" i="1"/>
  <c r="AQ22" i="1"/>
  <c r="AQ13" i="1"/>
  <c r="AQ23" i="1"/>
  <c r="AQ14" i="1"/>
  <c r="AQ25" i="1"/>
  <c r="AQ16" i="1"/>
  <c r="AQ26" i="1"/>
  <c r="AQ17" i="1"/>
  <c r="AQ27" i="1"/>
  <c r="AQ18" i="1"/>
  <c r="AQ7" i="1"/>
  <c r="AQ8" i="1"/>
  <c r="AR21" i="1"/>
  <c r="AR12" i="1"/>
  <c r="AR22" i="1"/>
  <c r="AR13" i="1"/>
  <c r="AR23" i="1"/>
  <c r="AR14" i="1"/>
  <c r="AR25" i="1"/>
  <c r="AR16" i="1"/>
  <c r="AR26" i="1"/>
  <c r="AR17" i="1"/>
  <c r="AR27" i="1"/>
  <c r="AR18" i="1"/>
  <c r="AR7" i="1"/>
  <c r="AR8" i="1"/>
  <c r="AS21" i="1"/>
  <c r="AS12" i="1"/>
  <c r="AS22" i="1"/>
  <c r="AS13" i="1"/>
  <c r="AS23" i="1"/>
  <c r="AS14" i="1"/>
  <c r="AS25" i="1"/>
  <c r="AS16" i="1"/>
  <c r="AS26" i="1"/>
  <c r="AS17" i="1"/>
  <c r="AS27" i="1"/>
  <c r="AS18" i="1"/>
  <c r="AS7" i="1"/>
  <c r="AS8" i="1"/>
  <c r="AT21" i="1"/>
  <c r="AT12" i="1"/>
  <c r="AT22" i="1"/>
  <c r="AT13" i="1"/>
  <c r="AT23" i="1"/>
  <c r="AT14" i="1"/>
  <c r="AT25" i="1"/>
  <c r="AT16" i="1"/>
  <c r="AT26" i="1"/>
  <c r="AT17" i="1"/>
  <c r="AT27" i="1"/>
  <c r="AT18" i="1"/>
  <c r="AT7" i="1"/>
  <c r="AT8" i="1"/>
  <c r="AU21" i="1"/>
  <c r="AU12" i="1"/>
  <c r="AU22" i="1"/>
  <c r="AU13" i="1"/>
  <c r="AU23" i="1"/>
  <c r="AU14" i="1"/>
  <c r="AU25" i="1"/>
  <c r="AU16" i="1"/>
  <c r="AU26" i="1"/>
  <c r="AU17" i="1"/>
  <c r="AU27" i="1"/>
  <c r="AU18" i="1"/>
  <c r="AU7" i="1"/>
  <c r="AU8" i="1"/>
  <c r="AV21" i="1"/>
  <c r="AV12" i="1"/>
  <c r="AV22" i="1"/>
  <c r="AV13" i="1"/>
  <c r="AV23" i="1"/>
  <c r="AV14" i="1"/>
  <c r="AV25" i="1"/>
  <c r="AV16" i="1"/>
  <c r="AV26" i="1"/>
  <c r="AV17" i="1"/>
  <c r="AV27" i="1"/>
  <c r="AV18" i="1"/>
  <c r="AV7" i="1"/>
  <c r="AV8" i="1"/>
  <c r="AW21" i="1"/>
  <c r="AW12" i="1"/>
  <c r="AW22" i="1"/>
  <c r="AW13" i="1"/>
  <c r="AW23" i="1"/>
  <c r="AW14" i="1"/>
  <c r="AW25" i="1"/>
  <c r="AW16" i="1"/>
  <c r="AW26" i="1"/>
  <c r="AW17" i="1"/>
  <c r="AW27" i="1"/>
  <c r="AW18" i="1"/>
  <c r="AW7" i="1"/>
  <c r="AW8" i="1"/>
  <c r="AX21" i="1"/>
  <c r="AX12" i="1"/>
  <c r="AX22" i="1"/>
  <c r="AX13" i="1"/>
  <c r="AX23" i="1"/>
  <c r="AX14" i="1"/>
  <c r="AX25" i="1"/>
  <c r="AX16" i="1"/>
  <c r="AX26" i="1"/>
  <c r="AX17" i="1"/>
  <c r="AX27" i="1"/>
  <c r="AX18" i="1"/>
  <c r="AX7" i="1"/>
  <c r="AX8" i="1"/>
  <c r="AY21" i="1"/>
  <c r="AY12" i="1"/>
  <c r="AY22" i="1"/>
  <c r="AY13" i="1"/>
  <c r="AY23" i="1"/>
  <c r="AY14" i="1"/>
  <c r="AY25" i="1"/>
  <c r="AY16" i="1"/>
  <c r="AY26" i="1"/>
  <c r="AY17" i="1"/>
  <c r="AY27" i="1"/>
  <c r="AY18" i="1"/>
  <c r="AY7" i="1"/>
  <c r="AY8" i="1"/>
  <c r="AZ21" i="1"/>
  <c r="AZ12" i="1"/>
  <c r="AZ22" i="1"/>
  <c r="AZ13" i="1"/>
  <c r="AZ23" i="1"/>
  <c r="AZ14" i="1"/>
  <c r="AZ25" i="1"/>
  <c r="AZ16" i="1"/>
  <c r="AZ26" i="1"/>
  <c r="AZ17" i="1"/>
  <c r="AZ27" i="1"/>
  <c r="AZ18" i="1"/>
  <c r="AZ7" i="1"/>
  <c r="AZ8" i="1"/>
  <c r="BA21" i="1"/>
  <c r="BA12" i="1"/>
  <c r="BA22" i="1"/>
  <c r="BA13" i="1"/>
  <c r="BA23" i="1"/>
  <c r="BA14" i="1"/>
  <c r="BA25" i="1"/>
  <c r="BA16" i="1"/>
  <c r="BA26" i="1"/>
  <c r="BA17" i="1"/>
  <c r="BA27" i="1"/>
  <c r="BA18" i="1"/>
  <c r="BA7" i="1"/>
  <c r="BA8" i="1"/>
  <c r="BB21" i="1"/>
  <c r="BB12" i="1"/>
  <c r="BB22" i="1"/>
  <c r="BB13" i="1"/>
  <c r="BB23" i="1"/>
  <c r="BB14" i="1"/>
  <c r="BB25" i="1"/>
  <c r="BB16" i="1"/>
  <c r="BB26" i="1"/>
  <c r="BB17" i="1"/>
  <c r="BB27" i="1"/>
  <c r="BB18" i="1"/>
  <c r="BB7" i="1"/>
  <c r="BB8" i="1"/>
  <c r="BC21" i="1"/>
  <c r="BC12" i="1"/>
  <c r="BC22" i="1"/>
  <c r="BC13" i="1"/>
  <c r="BC23" i="1"/>
  <c r="BC14" i="1"/>
  <c r="BC25" i="1"/>
  <c r="BC16" i="1"/>
  <c r="BC26" i="1"/>
  <c r="BC17" i="1"/>
  <c r="BC27" i="1"/>
  <c r="BC18" i="1"/>
  <c r="BC7" i="1"/>
  <c r="BC8" i="1"/>
  <c r="BD21" i="1"/>
  <c r="BD12" i="1"/>
  <c r="BD22" i="1"/>
  <c r="BD13" i="1"/>
  <c r="BD23" i="1"/>
  <c r="BD14" i="1"/>
  <c r="BD25" i="1"/>
  <c r="BD16" i="1"/>
  <c r="BD26" i="1"/>
  <c r="BD17" i="1"/>
  <c r="BD27" i="1"/>
  <c r="BD18" i="1"/>
  <c r="BD7" i="1"/>
  <c r="BD8" i="1"/>
  <c r="BE21" i="1"/>
  <c r="BE12" i="1"/>
  <c r="BE22" i="1"/>
  <c r="BE13" i="1"/>
  <c r="BE23" i="1"/>
  <c r="BE14" i="1"/>
  <c r="BE25" i="1"/>
  <c r="BE16" i="1"/>
  <c r="BE26" i="1"/>
  <c r="BE17" i="1"/>
  <c r="BE27" i="1"/>
  <c r="BE18" i="1"/>
  <c r="BE7" i="1"/>
  <c r="BE8" i="1"/>
  <c r="BF21" i="1"/>
  <c r="BF12" i="1"/>
  <c r="BF22" i="1"/>
  <c r="BF13" i="1"/>
  <c r="BF23" i="1"/>
  <c r="BF14" i="1"/>
  <c r="BF25" i="1"/>
  <c r="BF16" i="1"/>
  <c r="BF26" i="1"/>
  <c r="BF17" i="1"/>
  <c r="BF27" i="1"/>
  <c r="BF18" i="1"/>
  <c r="BF7" i="1"/>
  <c r="BF8" i="1"/>
  <c r="BG21" i="1"/>
  <c r="BG12" i="1"/>
  <c r="BG22" i="1"/>
  <c r="BG13" i="1"/>
  <c r="BG23" i="1"/>
  <c r="BG14" i="1"/>
  <c r="BG25" i="1"/>
  <c r="BG16" i="1"/>
  <c r="BG26" i="1"/>
  <c r="BG17" i="1"/>
  <c r="BG27" i="1"/>
  <c r="BG18" i="1"/>
  <c r="BG7" i="1"/>
  <c r="BG8" i="1"/>
  <c r="BH21" i="1"/>
  <c r="BH12" i="1"/>
  <c r="BH22" i="1"/>
  <c r="BH13" i="1"/>
  <c r="BH23" i="1"/>
  <c r="BH14" i="1"/>
  <c r="BH25" i="1"/>
  <c r="BH16" i="1"/>
  <c r="BH26" i="1"/>
  <c r="BH17" i="1"/>
  <c r="BH27" i="1"/>
  <c r="BH18" i="1"/>
  <c r="BH7" i="1"/>
  <c r="BH8" i="1"/>
  <c r="BI21" i="1"/>
  <c r="BI12" i="1"/>
  <c r="BI22" i="1"/>
  <c r="BI13" i="1"/>
  <c r="BI23" i="1"/>
  <c r="BI14" i="1"/>
  <c r="BI25" i="1"/>
  <c r="BI16" i="1"/>
  <c r="BI26" i="1"/>
  <c r="BI17" i="1"/>
  <c r="BI27" i="1"/>
  <c r="BI18" i="1"/>
  <c r="BI7" i="1"/>
  <c r="BI8" i="1"/>
  <c r="BJ21" i="1"/>
  <c r="BJ12" i="1"/>
  <c r="BJ22" i="1"/>
  <c r="BJ13" i="1"/>
  <c r="BJ23" i="1"/>
  <c r="BJ14" i="1"/>
  <c r="BJ25" i="1"/>
  <c r="BJ16" i="1"/>
  <c r="BJ26" i="1"/>
  <c r="BJ17" i="1"/>
  <c r="BJ27" i="1"/>
  <c r="BJ18" i="1"/>
  <c r="BJ7" i="1"/>
  <c r="BJ8" i="1"/>
  <c r="BK21" i="1"/>
  <c r="BK12" i="1"/>
  <c r="BK22" i="1"/>
  <c r="BK13" i="1"/>
  <c r="BK23" i="1"/>
  <c r="BK14" i="1"/>
  <c r="BK25" i="1"/>
  <c r="BK16" i="1"/>
  <c r="BK26" i="1"/>
  <c r="BK17" i="1"/>
  <c r="BK27" i="1"/>
  <c r="BK18" i="1"/>
  <c r="BK7" i="1"/>
  <c r="BK8" i="1"/>
  <c r="BL21" i="1"/>
  <c r="BL12" i="1"/>
  <c r="BL22" i="1"/>
  <c r="BL13" i="1"/>
  <c r="BL23" i="1"/>
  <c r="BL14" i="1"/>
  <c r="BL25" i="1"/>
  <c r="BL16" i="1"/>
  <c r="BL26" i="1"/>
  <c r="BL17" i="1"/>
  <c r="BL27" i="1"/>
  <c r="BL18" i="1"/>
  <c r="BL7" i="1"/>
  <c r="BL8" i="1"/>
  <c r="BM21" i="1"/>
  <c r="BM12" i="1"/>
  <c r="BM22" i="1"/>
  <c r="BM13" i="1"/>
  <c r="BM23" i="1"/>
  <c r="BM14" i="1"/>
  <c r="BM25" i="1"/>
  <c r="BM16" i="1"/>
  <c r="BM26" i="1"/>
  <c r="BM17" i="1"/>
  <c r="BM27" i="1"/>
  <c r="BM18" i="1"/>
  <c r="BM7" i="1"/>
  <c r="BM8" i="1"/>
  <c r="BN21" i="1"/>
  <c r="BN12" i="1"/>
  <c r="BN22" i="1"/>
  <c r="BN13" i="1"/>
  <c r="BN23" i="1"/>
  <c r="BN14" i="1"/>
  <c r="BN25" i="1"/>
  <c r="BN16" i="1"/>
  <c r="BN26" i="1"/>
  <c r="BN17" i="1"/>
  <c r="BN27" i="1"/>
  <c r="BN18" i="1"/>
  <c r="BN7" i="1"/>
  <c r="BN8" i="1"/>
  <c r="BO21" i="1"/>
  <c r="BO12" i="1"/>
  <c r="BO22" i="1"/>
  <c r="BO13" i="1"/>
  <c r="BO23" i="1"/>
  <c r="BO14" i="1"/>
  <c r="BO25" i="1"/>
  <c r="BO16" i="1"/>
  <c r="BO26" i="1"/>
  <c r="BO17" i="1"/>
  <c r="BO27" i="1"/>
  <c r="BO18" i="1"/>
  <c r="BO7" i="1"/>
  <c r="BO8" i="1"/>
  <c r="BP21" i="1"/>
  <c r="BP12" i="1"/>
  <c r="BP22" i="1"/>
  <c r="BP13" i="1"/>
  <c r="BP23" i="1"/>
  <c r="BP14" i="1"/>
  <c r="BP25" i="1"/>
  <c r="BP16" i="1"/>
  <c r="BP26" i="1"/>
  <c r="BP17" i="1"/>
  <c r="BP27" i="1"/>
  <c r="BP18" i="1"/>
  <c r="BP7" i="1"/>
  <c r="BP8" i="1"/>
  <c r="BQ21" i="1"/>
  <c r="BQ12" i="1"/>
  <c r="BQ22" i="1"/>
  <c r="BQ13" i="1"/>
  <c r="BQ23" i="1"/>
  <c r="BQ14" i="1"/>
  <c r="BQ25" i="1"/>
  <c r="BQ16" i="1"/>
  <c r="BQ26" i="1"/>
  <c r="BQ17" i="1"/>
  <c r="BQ27" i="1"/>
  <c r="BQ18" i="1"/>
  <c r="BQ7" i="1"/>
  <c r="BQ8" i="1"/>
  <c r="BR21" i="1"/>
  <c r="BR12" i="1"/>
  <c r="BR22" i="1"/>
  <c r="BR13" i="1"/>
  <c r="BR23" i="1"/>
  <c r="BR14" i="1"/>
  <c r="BR25" i="1"/>
  <c r="BR16" i="1"/>
  <c r="BR26" i="1"/>
  <c r="BR17" i="1"/>
  <c r="BR27" i="1"/>
  <c r="BR18" i="1"/>
  <c r="BR7" i="1"/>
  <c r="BR8" i="1"/>
  <c r="BS21" i="1"/>
  <c r="BS12" i="1"/>
  <c r="BS22" i="1"/>
  <c r="BS13" i="1"/>
  <c r="BS23" i="1"/>
  <c r="BS14" i="1"/>
  <c r="BS25" i="1"/>
  <c r="BS16" i="1"/>
  <c r="BS26" i="1"/>
  <c r="BS17" i="1"/>
  <c r="BS27" i="1"/>
  <c r="BS18" i="1"/>
  <c r="BS7" i="1"/>
  <c r="BS8" i="1"/>
  <c r="BT21" i="1"/>
  <c r="BT12" i="1"/>
  <c r="BT22" i="1"/>
  <c r="BT13" i="1"/>
  <c r="BT23" i="1"/>
  <c r="BT14" i="1"/>
  <c r="BT25" i="1"/>
  <c r="BT16" i="1"/>
  <c r="BT26" i="1"/>
  <c r="BT17" i="1"/>
  <c r="BT27" i="1"/>
  <c r="BT18" i="1"/>
  <c r="BT7" i="1"/>
  <c r="BT8" i="1"/>
  <c r="A12" i="10" a="1"/>
  <c r="A12" i="10"/>
  <c r="O40" i="1"/>
  <c r="O48" i="1"/>
  <c r="O30" i="1"/>
  <c r="O57" i="1"/>
  <c r="P40" i="1"/>
  <c r="P48" i="1"/>
  <c r="P30" i="1"/>
  <c r="P57" i="1"/>
  <c r="Q40" i="1"/>
  <c r="Q48" i="1"/>
  <c r="Q30" i="1"/>
  <c r="Q57" i="1"/>
  <c r="R40" i="1"/>
  <c r="R48" i="1"/>
  <c r="R30" i="1"/>
  <c r="R57" i="1"/>
  <c r="S40" i="1"/>
  <c r="S48" i="1"/>
  <c r="S30" i="1"/>
  <c r="S57" i="1"/>
  <c r="T40" i="1"/>
  <c r="T48" i="1"/>
  <c r="T30" i="1"/>
  <c r="T57" i="1"/>
  <c r="U40" i="1"/>
  <c r="U48" i="1"/>
  <c r="U30" i="1"/>
  <c r="U57" i="1"/>
  <c r="V40" i="1"/>
  <c r="V48" i="1"/>
  <c r="V30" i="1"/>
  <c r="V57" i="1"/>
  <c r="W40" i="1"/>
  <c r="W48" i="1"/>
  <c r="W30" i="1"/>
  <c r="W57" i="1"/>
  <c r="X40" i="1"/>
  <c r="X48" i="1"/>
  <c r="X30" i="1"/>
  <c r="X57" i="1"/>
  <c r="Y40" i="1"/>
  <c r="Y48" i="1"/>
  <c r="Y30" i="1"/>
  <c r="Y57" i="1"/>
  <c r="Z40" i="1"/>
  <c r="Z48" i="1"/>
  <c r="Z30" i="1"/>
  <c r="Z57" i="1"/>
  <c r="AA40" i="1"/>
  <c r="AA48" i="1"/>
  <c r="AA30" i="1"/>
  <c r="AA57" i="1"/>
  <c r="AB40" i="1"/>
  <c r="AB48" i="1"/>
  <c r="AB30" i="1"/>
  <c r="AB57" i="1"/>
  <c r="AC40" i="1"/>
  <c r="AC48" i="1"/>
  <c r="AC30" i="1"/>
  <c r="AC57" i="1"/>
  <c r="AD40" i="1"/>
  <c r="AD48" i="1"/>
  <c r="AD30" i="1"/>
  <c r="AD57" i="1"/>
  <c r="AE40" i="1"/>
  <c r="AE48" i="1"/>
  <c r="AE30" i="1"/>
  <c r="AE57" i="1"/>
  <c r="AF40" i="1"/>
  <c r="AF48" i="1"/>
  <c r="AF30" i="1"/>
  <c r="AF57" i="1"/>
  <c r="AG40" i="1"/>
  <c r="AG48" i="1"/>
  <c r="AG30" i="1"/>
  <c r="AG57" i="1"/>
  <c r="AH40" i="1"/>
  <c r="AH48" i="1"/>
  <c r="AH30" i="1"/>
  <c r="AH57" i="1"/>
  <c r="AI40" i="1"/>
  <c r="AI48" i="1"/>
  <c r="AI30" i="1"/>
  <c r="AI57" i="1"/>
  <c r="AJ40" i="1"/>
  <c r="AJ48" i="1"/>
  <c r="AJ30" i="1"/>
  <c r="AJ57" i="1"/>
  <c r="AK40" i="1"/>
  <c r="AK48" i="1"/>
  <c r="AK30" i="1"/>
  <c r="AK57" i="1"/>
  <c r="AL40" i="1"/>
  <c r="AL48" i="1"/>
  <c r="AL30" i="1"/>
  <c r="AL57" i="1"/>
  <c r="AM40" i="1"/>
  <c r="AM48" i="1"/>
  <c r="AM30" i="1"/>
  <c r="AM57" i="1"/>
  <c r="AN40" i="1"/>
  <c r="AN48" i="1"/>
  <c r="AN30" i="1"/>
  <c r="AN57" i="1"/>
  <c r="AO40" i="1"/>
  <c r="AO48" i="1"/>
  <c r="AO30" i="1"/>
  <c r="AO57" i="1"/>
  <c r="AP40" i="1"/>
  <c r="AP48" i="1"/>
  <c r="AP30" i="1"/>
  <c r="AP57" i="1"/>
  <c r="AQ40" i="1"/>
  <c r="AQ48" i="1"/>
  <c r="AQ30" i="1"/>
  <c r="AQ57" i="1"/>
  <c r="AR40" i="1"/>
  <c r="AR48" i="1"/>
  <c r="AR30" i="1"/>
  <c r="AR57" i="1"/>
  <c r="AS40" i="1"/>
  <c r="AS48" i="1"/>
  <c r="AS30" i="1"/>
  <c r="AS57" i="1"/>
  <c r="AT40" i="1"/>
  <c r="AT48" i="1"/>
  <c r="AT30" i="1"/>
  <c r="AT57" i="1"/>
  <c r="AU40" i="1"/>
  <c r="AU48" i="1"/>
  <c r="AU30" i="1"/>
  <c r="AU57" i="1"/>
  <c r="AV40" i="1"/>
  <c r="AV48" i="1"/>
  <c r="AV30" i="1"/>
  <c r="AV57" i="1"/>
  <c r="AW40" i="1"/>
  <c r="AW48" i="1"/>
  <c r="AW30" i="1"/>
  <c r="AW57" i="1"/>
  <c r="AX40" i="1"/>
  <c r="AX48" i="1"/>
  <c r="AX30" i="1"/>
  <c r="AX57" i="1"/>
  <c r="AY40" i="1"/>
  <c r="AY48" i="1"/>
  <c r="AY30" i="1"/>
  <c r="AY57" i="1"/>
  <c r="AZ40" i="1"/>
  <c r="AZ48" i="1"/>
  <c r="AZ30" i="1"/>
  <c r="AZ57" i="1"/>
  <c r="BA40" i="1"/>
  <c r="BA48" i="1"/>
  <c r="BA30" i="1"/>
  <c r="BA57" i="1"/>
  <c r="BB40" i="1"/>
  <c r="BB48" i="1"/>
  <c r="BB30" i="1"/>
  <c r="BB57" i="1"/>
  <c r="BC40" i="1"/>
  <c r="BC48" i="1"/>
  <c r="BC30" i="1"/>
  <c r="BC57" i="1"/>
  <c r="BD40" i="1"/>
  <c r="BD48" i="1"/>
  <c r="BD30" i="1"/>
  <c r="BD57" i="1"/>
  <c r="BE40" i="1"/>
  <c r="BE48" i="1"/>
  <c r="BE30" i="1"/>
  <c r="BE57" i="1"/>
  <c r="BF40" i="1"/>
  <c r="BF48" i="1"/>
  <c r="BF30" i="1"/>
  <c r="BF57" i="1"/>
  <c r="BG40" i="1"/>
  <c r="BG48" i="1"/>
  <c r="BG30" i="1"/>
  <c r="BG57" i="1"/>
  <c r="BH40" i="1"/>
  <c r="BH48" i="1"/>
  <c r="BH30" i="1"/>
  <c r="BH57" i="1"/>
  <c r="BI40" i="1"/>
  <c r="BI48" i="1"/>
  <c r="BI30" i="1"/>
  <c r="BI57" i="1"/>
  <c r="BJ40" i="1"/>
  <c r="BJ48" i="1"/>
  <c r="BJ30" i="1"/>
  <c r="BJ57" i="1"/>
  <c r="BK40" i="1"/>
  <c r="BK48" i="1"/>
  <c r="BK30" i="1"/>
  <c r="BK57" i="1"/>
  <c r="BL40" i="1"/>
  <c r="BL48" i="1"/>
  <c r="BL30" i="1"/>
  <c r="BL57" i="1"/>
  <c r="BM40" i="1"/>
  <c r="BM48" i="1"/>
  <c r="BM30" i="1"/>
  <c r="BM57" i="1"/>
  <c r="BN40" i="1"/>
  <c r="BN48" i="1"/>
  <c r="BN30" i="1"/>
  <c r="BN57" i="1"/>
  <c r="BO40" i="1"/>
  <c r="BO48" i="1"/>
  <c r="BO30" i="1"/>
  <c r="BO57" i="1"/>
  <c r="BP40" i="1"/>
  <c r="BP48" i="1"/>
  <c r="BP30" i="1"/>
  <c r="BP57" i="1"/>
  <c r="BQ40" i="1"/>
  <c r="BQ48" i="1"/>
  <c r="BQ30" i="1"/>
  <c r="BQ57" i="1"/>
  <c r="BR40" i="1"/>
  <c r="BR48" i="1"/>
  <c r="BR30" i="1"/>
  <c r="BR57" i="1"/>
  <c r="BS40" i="1"/>
  <c r="BS48" i="1"/>
  <c r="BS30" i="1"/>
  <c r="BS57" i="1"/>
  <c r="BT40" i="1"/>
  <c r="BT48" i="1"/>
  <c r="BT30" i="1"/>
  <c r="BT57" i="1"/>
  <c r="N41" i="1"/>
  <c r="N49" i="1"/>
  <c r="O41" i="1"/>
  <c r="O49" i="1"/>
  <c r="O31" i="1"/>
  <c r="O58" i="1"/>
  <c r="P41" i="1"/>
  <c r="P49" i="1"/>
  <c r="P31" i="1"/>
  <c r="P58" i="1"/>
  <c r="Q41" i="1"/>
  <c r="Q49" i="1"/>
  <c r="Q31" i="1"/>
  <c r="Q58" i="1"/>
  <c r="R41" i="1"/>
  <c r="R49" i="1"/>
  <c r="R31" i="1"/>
  <c r="R58" i="1"/>
  <c r="S41" i="1"/>
  <c r="S49" i="1"/>
  <c r="S31" i="1"/>
  <c r="S58" i="1"/>
  <c r="T41" i="1"/>
  <c r="T49" i="1"/>
  <c r="T31" i="1"/>
  <c r="T58" i="1"/>
  <c r="U41" i="1"/>
  <c r="U49" i="1"/>
  <c r="U31" i="1"/>
  <c r="U58" i="1"/>
  <c r="V41" i="1"/>
  <c r="V49" i="1"/>
  <c r="V31" i="1"/>
  <c r="V58" i="1"/>
  <c r="W41" i="1"/>
  <c r="W49" i="1"/>
  <c r="W31" i="1"/>
  <c r="W58" i="1"/>
  <c r="X41" i="1"/>
  <c r="X49" i="1"/>
  <c r="X31" i="1"/>
  <c r="X58" i="1"/>
  <c r="Y41" i="1"/>
  <c r="Y49" i="1"/>
  <c r="Y31" i="1"/>
  <c r="Y58" i="1"/>
  <c r="Z41" i="1"/>
  <c r="Z49" i="1"/>
  <c r="Z31" i="1"/>
  <c r="Z58" i="1"/>
  <c r="AA41" i="1"/>
  <c r="AA49" i="1"/>
  <c r="AA31" i="1"/>
  <c r="AA58" i="1"/>
  <c r="AB41" i="1"/>
  <c r="AB49" i="1"/>
  <c r="AB31" i="1"/>
  <c r="AB58" i="1"/>
  <c r="AC41" i="1"/>
  <c r="AC49" i="1"/>
  <c r="AC31" i="1"/>
  <c r="AC58" i="1"/>
  <c r="AD41" i="1"/>
  <c r="AD49" i="1"/>
  <c r="AD31" i="1"/>
  <c r="AD58" i="1"/>
  <c r="AE41" i="1"/>
  <c r="AE49" i="1"/>
  <c r="AE31" i="1"/>
  <c r="AE58" i="1"/>
  <c r="AF41" i="1"/>
  <c r="AF49" i="1"/>
  <c r="AF31" i="1"/>
  <c r="AF58" i="1"/>
  <c r="AG41" i="1"/>
  <c r="AG49" i="1"/>
  <c r="AG31" i="1"/>
  <c r="AG58" i="1"/>
  <c r="AH41" i="1"/>
  <c r="AH49" i="1"/>
  <c r="AH31" i="1"/>
  <c r="AH58" i="1"/>
  <c r="AI41" i="1"/>
  <c r="AI49" i="1"/>
  <c r="AI31" i="1"/>
  <c r="AI58" i="1"/>
  <c r="AJ41" i="1"/>
  <c r="AJ49" i="1"/>
  <c r="AJ31" i="1"/>
  <c r="AJ58" i="1"/>
  <c r="AK41" i="1"/>
  <c r="AK49" i="1"/>
  <c r="AK31" i="1"/>
  <c r="AK58" i="1"/>
  <c r="AL41" i="1"/>
  <c r="AL49" i="1"/>
  <c r="AL31" i="1"/>
  <c r="AL58" i="1"/>
  <c r="AM41" i="1"/>
  <c r="AM49" i="1"/>
  <c r="AM31" i="1"/>
  <c r="AM58" i="1"/>
  <c r="AN41" i="1"/>
  <c r="AN49" i="1"/>
  <c r="AN31" i="1"/>
  <c r="AN58" i="1"/>
  <c r="AO41" i="1"/>
  <c r="AO49" i="1"/>
  <c r="AO31" i="1"/>
  <c r="AO58" i="1"/>
  <c r="AP41" i="1"/>
  <c r="AP49" i="1"/>
  <c r="AP31" i="1"/>
  <c r="AP58" i="1"/>
  <c r="AQ41" i="1"/>
  <c r="AQ49" i="1"/>
  <c r="AQ31" i="1"/>
  <c r="AQ58" i="1"/>
  <c r="AR41" i="1"/>
  <c r="AR49" i="1"/>
  <c r="AR31" i="1"/>
  <c r="AR58" i="1"/>
  <c r="AS41" i="1"/>
  <c r="AS49" i="1"/>
  <c r="AS31" i="1"/>
  <c r="AS58" i="1"/>
  <c r="AT41" i="1"/>
  <c r="AT49" i="1"/>
  <c r="AT31" i="1"/>
  <c r="AT58" i="1"/>
  <c r="AU41" i="1"/>
  <c r="AU49" i="1"/>
  <c r="AU31" i="1"/>
  <c r="AU58" i="1"/>
  <c r="AV41" i="1"/>
  <c r="AV49" i="1"/>
  <c r="AV31" i="1"/>
  <c r="AV58" i="1"/>
  <c r="AW41" i="1"/>
  <c r="AW49" i="1"/>
  <c r="AW31" i="1"/>
  <c r="AW58" i="1"/>
  <c r="AX41" i="1"/>
  <c r="AX49" i="1"/>
  <c r="AX31" i="1"/>
  <c r="AX58" i="1"/>
  <c r="AY41" i="1"/>
  <c r="AY49" i="1"/>
  <c r="AY31" i="1"/>
  <c r="AY58" i="1"/>
  <c r="AZ41" i="1"/>
  <c r="AZ49" i="1"/>
  <c r="AZ31" i="1"/>
  <c r="AZ58" i="1"/>
  <c r="BA41" i="1"/>
  <c r="BA49" i="1"/>
  <c r="BA31" i="1"/>
  <c r="BA58" i="1"/>
  <c r="BB41" i="1"/>
  <c r="BB49" i="1"/>
  <c r="BB31" i="1"/>
  <c r="BB58" i="1"/>
  <c r="BC41" i="1"/>
  <c r="BC49" i="1"/>
  <c r="BC31" i="1"/>
  <c r="BC58" i="1"/>
  <c r="BD41" i="1"/>
  <c r="BD49" i="1"/>
  <c r="BD31" i="1"/>
  <c r="BD58" i="1"/>
  <c r="BE41" i="1"/>
  <c r="BE49" i="1"/>
  <c r="BE31" i="1"/>
  <c r="BE58" i="1"/>
  <c r="BF41" i="1"/>
  <c r="BF49" i="1"/>
  <c r="BF31" i="1"/>
  <c r="BF58" i="1"/>
  <c r="BG41" i="1"/>
  <c r="BG49" i="1"/>
  <c r="BG31" i="1"/>
  <c r="BG58" i="1"/>
  <c r="BH41" i="1"/>
  <c r="BH49" i="1"/>
  <c r="BH31" i="1"/>
  <c r="BH58" i="1"/>
  <c r="BI41" i="1"/>
  <c r="BI49" i="1"/>
  <c r="BI31" i="1"/>
  <c r="BI58" i="1"/>
  <c r="BJ41" i="1"/>
  <c r="BJ49" i="1"/>
  <c r="BJ31" i="1"/>
  <c r="BJ58" i="1"/>
  <c r="BK41" i="1"/>
  <c r="BK49" i="1"/>
  <c r="BK31" i="1"/>
  <c r="BK58" i="1"/>
  <c r="BL41" i="1"/>
  <c r="BL49" i="1"/>
  <c r="BL31" i="1"/>
  <c r="BL58" i="1"/>
  <c r="BM41" i="1"/>
  <c r="BM49" i="1"/>
  <c r="BM31" i="1"/>
  <c r="BM58" i="1"/>
  <c r="BN41" i="1"/>
  <c r="BN49" i="1"/>
  <c r="BN31" i="1"/>
  <c r="BN58" i="1"/>
  <c r="BO41" i="1"/>
  <c r="BO49" i="1"/>
  <c r="BO31" i="1"/>
  <c r="BO58" i="1"/>
  <c r="BP41" i="1"/>
  <c r="BP49" i="1"/>
  <c r="BP31" i="1"/>
  <c r="BP58" i="1"/>
  <c r="BQ41" i="1"/>
  <c r="BQ49" i="1"/>
  <c r="BQ31" i="1"/>
  <c r="BQ58" i="1"/>
  <c r="BR41" i="1"/>
  <c r="BR49" i="1"/>
  <c r="BR31" i="1"/>
  <c r="BR58" i="1"/>
  <c r="BS41" i="1"/>
  <c r="BS49" i="1"/>
  <c r="BS31" i="1"/>
  <c r="BS58" i="1"/>
  <c r="BT41" i="1"/>
  <c r="BT49" i="1"/>
  <c r="BT31" i="1"/>
  <c r="BT58" i="1"/>
  <c r="N42" i="1"/>
  <c r="N50" i="1"/>
  <c r="O42" i="1"/>
  <c r="O50" i="1"/>
  <c r="O32" i="1"/>
  <c r="O59" i="1"/>
  <c r="P42" i="1"/>
  <c r="P50" i="1"/>
  <c r="P32" i="1"/>
  <c r="P59" i="1"/>
  <c r="Q42" i="1"/>
  <c r="Q50" i="1"/>
  <c r="Q32" i="1"/>
  <c r="Q59" i="1"/>
  <c r="R42" i="1"/>
  <c r="R50" i="1"/>
  <c r="R32" i="1"/>
  <c r="R59" i="1"/>
  <c r="S42" i="1"/>
  <c r="S50" i="1"/>
  <c r="S32" i="1"/>
  <c r="S59" i="1"/>
  <c r="T42" i="1"/>
  <c r="T50" i="1"/>
  <c r="T32" i="1"/>
  <c r="T59" i="1"/>
  <c r="U42" i="1"/>
  <c r="U50" i="1"/>
  <c r="U32" i="1"/>
  <c r="U59" i="1"/>
  <c r="V42" i="1"/>
  <c r="V50" i="1"/>
  <c r="V32" i="1"/>
  <c r="V59" i="1"/>
  <c r="W42" i="1"/>
  <c r="W50" i="1"/>
  <c r="W32" i="1"/>
  <c r="W59" i="1"/>
  <c r="X42" i="1"/>
  <c r="X50" i="1"/>
  <c r="X32" i="1"/>
  <c r="X59" i="1"/>
  <c r="Y42" i="1"/>
  <c r="Y50" i="1"/>
  <c r="Y32" i="1"/>
  <c r="Y59" i="1"/>
  <c r="Z42" i="1"/>
  <c r="Z50" i="1"/>
  <c r="Z32" i="1"/>
  <c r="Z59" i="1"/>
  <c r="AA42" i="1"/>
  <c r="AA50" i="1"/>
  <c r="AA32" i="1"/>
  <c r="AA59" i="1"/>
  <c r="AB42" i="1"/>
  <c r="AB50" i="1"/>
  <c r="AB32" i="1"/>
  <c r="AB59" i="1"/>
  <c r="AC42" i="1"/>
  <c r="AC50" i="1"/>
  <c r="AC32" i="1"/>
  <c r="AC59" i="1"/>
  <c r="AD42" i="1"/>
  <c r="AD50" i="1"/>
  <c r="AD32" i="1"/>
  <c r="AD59" i="1"/>
  <c r="AE42" i="1"/>
  <c r="AE50" i="1"/>
  <c r="AE32" i="1"/>
  <c r="AE59" i="1"/>
  <c r="AF42" i="1"/>
  <c r="AF50" i="1"/>
  <c r="AF32" i="1"/>
  <c r="AF59" i="1"/>
  <c r="AG42" i="1"/>
  <c r="AG50" i="1"/>
  <c r="AG32" i="1"/>
  <c r="AG59" i="1"/>
  <c r="AH42" i="1"/>
  <c r="AH50" i="1"/>
  <c r="AH32" i="1"/>
  <c r="AH59" i="1"/>
  <c r="AI42" i="1"/>
  <c r="AI50" i="1"/>
  <c r="AI32" i="1"/>
  <c r="AI59" i="1"/>
  <c r="AJ42" i="1"/>
  <c r="AJ50" i="1"/>
  <c r="AJ32" i="1"/>
  <c r="AJ59" i="1"/>
  <c r="AK42" i="1"/>
  <c r="AK50" i="1"/>
  <c r="AK32" i="1"/>
  <c r="AK59" i="1"/>
  <c r="AL42" i="1"/>
  <c r="AL50" i="1"/>
  <c r="AL32" i="1"/>
  <c r="AL59" i="1"/>
  <c r="AM42" i="1"/>
  <c r="AM50" i="1"/>
  <c r="AM32" i="1"/>
  <c r="AM59" i="1"/>
  <c r="AN42" i="1"/>
  <c r="AN50" i="1"/>
  <c r="AN32" i="1"/>
  <c r="AN59" i="1"/>
  <c r="AO42" i="1"/>
  <c r="AO50" i="1"/>
  <c r="AO32" i="1"/>
  <c r="AO59" i="1"/>
  <c r="AP42" i="1"/>
  <c r="AP50" i="1"/>
  <c r="AP32" i="1"/>
  <c r="AP59" i="1"/>
  <c r="AQ42" i="1"/>
  <c r="AQ50" i="1"/>
  <c r="AQ32" i="1"/>
  <c r="AQ59" i="1"/>
  <c r="AR42" i="1"/>
  <c r="AR50" i="1"/>
  <c r="AR32" i="1"/>
  <c r="AR59" i="1"/>
  <c r="AS42" i="1"/>
  <c r="AS50" i="1"/>
  <c r="AS32" i="1"/>
  <c r="AS59" i="1"/>
  <c r="AT42" i="1"/>
  <c r="AT50" i="1"/>
  <c r="AT32" i="1"/>
  <c r="AT59" i="1"/>
  <c r="AU42" i="1"/>
  <c r="AU50" i="1"/>
  <c r="AU32" i="1"/>
  <c r="AU59" i="1"/>
  <c r="AV42" i="1"/>
  <c r="AV50" i="1"/>
  <c r="AV32" i="1"/>
  <c r="AV59" i="1"/>
  <c r="AW42" i="1"/>
  <c r="AW50" i="1"/>
  <c r="AW32" i="1"/>
  <c r="AW59" i="1"/>
  <c r="AX42" i="1"/>
  <c r="AX50" i="1"/>
  <c r="AX32" i="1"/>
  <c r="AX59" i="1"/>
  <c r="AY42" i="1"/>
  <c r="AY50" i="1"/>
  <c r="AY32" i="1"/>
  <c r="AY59" i="1"/>
  <c r="AZ42" i="1"/>
  <c r="AZ50" i="1"/>
  <c r="AZ32" i="1"/>
  <c r="AZ59" i="1"/>
  <c r="BA42" i="1"/>
  <c r="BA50" i="1"/>
  <c r="BA32" i="1"/>
  <c r="BA59" i="1"/>
  <c r="BB42" i="1"/>
  <c r="BB50" i="1"/>
  <c r="BB32" i="1"/>
  <c r="BB59" i="1"/>
  <c r="BC42" i="1"/>
  <c r="BC50" i="1"/>
  <c r="BC32" i="1"/>
  <c r="BC59" i="1"/>
  <c r="BD42" i="1"/>
  <c r="BD50" i="1"/>
  <c r="BD32" i="1"/>
  <c r="BD59" i="1"/>
  <c r="BE42" i="1"/>
  <c r="BE50" i="1"/>
  <c r="BE32" i="1"/>
  <c r="BE59" i="1"/>
  <c r="BF42" i="1"/>
  <c r="BF50" i="1"/>
  <c r="BF32" i="1"/>
  <c r="BF59" i="1"/>
  <c r="BG42" i="1"/>
  <c r="BG50" i="1"/>
  <c r="BG32" i="1"/>
  <c r="BG59" i="1"/>
  <c r="BH42" i="1"/>
  <c r="BH50" i="1"/>
  <c r="BH32" i="1"/>
  <c r="BH59" i="1"/>
  <c r="BI42" i="1"/>
  <c r="BI50" i="1"/>
  <c r="BI32" i="1"/>
  <c r="BI59" i="1"/>
  <c r="BJ42" i="1"/>
  <c r="BJ50" i="1"/>
  <c r="BJ32" i="1"/>
  <c r="BJ59" i="1"/>
  <c r="BK42" i="1"/>
  <c r="BK50" i="1"/>
  <c r="BK32" i="1"/>
  <c r="BK59" i="1"/>
  <c r="BL42" i="1"/>
  <c r="BL50" i="1"/>
  <c r="BL32" i="1"/>
  <c r="BL59" i="1"/>
  <c r="BM42" i="1"/>
  <c r="BM50" i="1"/>
  <c r="BM32" i="1"/>
  <c r="BM59" i="1"/>
  <c r="BN42" i="1"/>
  <c r="BN50" i="1"/>
  <c r="BN32" i="1"/>
  <c r="BN59" i="1"/>
  <c r="BO42" i="1"/>
  <c r="BO50" i="1"/>
  <c r="BO32" i="1"/>
  <c r="BO59" i="1"/>
  <c r="BP42" i="1"/>
  <c r="BP50" i="1"/>
  <c r="BP32" i="1"/>
  <c r="BP59" i="1"/>
  <c r="BQ42" i="1"/>
  <c r="BQ50" i="1"/>
  <c r="BQ32" i="1"/>
  <c r="BQ59" i="1"/>
  <c r="BR42" i="1"/>
  <c r="BR50" i="1"/>
  <c r="BR32" i="1"/>
  <c r="BR59" i="1"/>
  <c r="BS42" i="1"/>
  <c r="BS50" i="1"/>
  <c r="BS32" i="1"/>
  <c r="BS59" i="1"/>
  <c r="BT42" i="1"/>
  <c r="BT50" i="1"/>
  <c r="BT32" i="1"/>
  <c r="BT59" i="1"/>
  <c r="O44" i="1"/>
  <c r="O52" i="1"/>
  <c r="O34" i="1"/>
  <c r="O61" i="1"/>
  <c r="P44" i="1"/>
  <c r="P52" i="1"/>
  <c r="P34" i="1"/>
  <c r="P61" i="1"/>
  <c r="Q44" i="1"/>
  <c r="Q52" i="1"/>
  <c r="Q34" i="1"/>
  <c r="Q61" i="1"/>
  <c r="R44" i="1"/>
  <c r="R52" i="1"/>
  <c r="R34" i="1"/>
  <c r="R61" i="1"/>
  <c r="S44" i="1"/>
  <c r="S52" i="1"/>
  <c r="S34" i="1"/>
  <c r="S61" i="1"/>
  <c r="T44" i="1"/>
  <c r="T52" i="1"/>
  <c r="T34" i="1"/>
  <c r="T61" i="1"/>
  <c r="U44" i="1"/>
  <c r="U52" i="1"/>
  <c r="U34" i="1"/>
  <c r="U61" i="1"/>
  <c r="V44" i="1"/>
  <c r="V52" i="1"/>
  <c r="V34" i="1"/>
  <c r="V61" i="1"/>
  <c r="W44" i="1"/>
  <c r="W52" i="1"/>
  <c r="W34" i="1"/>
  <c r="W61" i="1"/>
  <c r="X44" i="1"/>
  <c r="X52" i="1"/>
  <c r="X34" i="1"/>
  <c r="X61" i="1"/>
  <c r="Y44" i="1"/>
  <c r="Y52" i="1"/>
  <c r="Y34" i="1"/>
  <c r="Y61" i="1"/>
  <c r="Z44" i="1"/>
  <c r="Z52" i="1"/>
  <c r="Z34" i="1"/>
  <c r="Z61" i="1"/>
  <c r="AA44" i="1"/>
  <c r="AA52" i="1"/>
  <c r="AA34" i="1"/>
  <c r="AA61" i="1"/>
  <c r="AB44" i="1"/>
  <c r="AB52" i="1"/>
  <c r="AB34" i="1"/>
  <c r="AB61" i="1"/>
  <c r="AC44" i="1"/>
  <c r="AC52" i="1"/>
  <c r="AC34" i="1"/>
  <c r="AC61" i="1"/>
  <c r="AD44" i="1"/>
  <c r="AD52" i="1"/>
  <c r="AD34" i="1"/>
  <c r="AD61" i="1"/>
  <c r="AE44" i="1"/>
  <c r="AE52" i="1"/>
  <c r="AE34" i="1"/>
  <c r="AE61" i="1"/>
  <c r="AF44" i="1"/>
  <c r="AF52" i="1"/>
  <c r="AF34" i="1"/>
  <c r="AF61" i="1"/>
  <c r="AG44" i="1"/>
  <c r="AG52" i="1"/>
  <c r="AG34" i="1"/>
  <c r="AG61" i="1"/>
  <c r="AH44" i="1"/>
  <c r="AH52" i="1"/>
  <c r="AH34" i="1"/>
  <c r="AH61" i="1"/>
  <c r="AI44" i="1"/>
  <c r="AI52" i="1"/>
  <c r="AI34" i="1"/>
  <c r="AI61" i="1"/>
  <c r="AJ44" i="1"/>
  <c r="AJ52" i="1"/>
  <c r="AJ34" i="1"/>
  <c r="AJ61" i="1"/>
  <c r="AK44" i="1"/>
  <c r="AK52" i="1"/>
  <c r="AK34" i="1"/>
  <c r="AK61" i="1"/>
  <c r="AL44" i="1"/>
  <c r="AL52" i="1"/>
  <c r="AL34" i="1"/>
  <c r="AL61" i="1"/>
  <c r="AM44" i="1"/>
  <c r="AM52" i="1"/>
  <c r="AM34" i="1"/>
  <c r="AM61" i="1"/>
  <c r="AN44" i="1"/>
  <c r="AN52" i="1"/>
  <c r="AN34" i="1"/>
  <c r="AN61" i="1"/>
  <c r="AO44" i="1"/>
  <c r="AO52" i="1"/>
  <c r="AO34" i="1"/>
  <c r="AO61" i="1"/>
  <c r="AP44" i="1"/>
  <c r="AP52" i="1"/>
  <c r="AP34" i="1"/>
  <c r="AP61" i="1"/>
  <c r="AQ44" i="1"/>
  <c r="AQ52" i="1"/>
  <c r="AQ34" i="1"/>
  <c r="AQ61" i="1"/>
  <c r="AR44" i="1"/>
  <c r="AR52" i="1"/>
  <c r="AR34" i="1"/>
  <c r="AR61" i="1"/>
  <c r="AS44" i="1"/>
  <c r="AS52" i="1"/>
  <c r="AS34" i="1"/>
  <c r="AS61" i="1"/>
  <c r="AT44" i="1"/>
  <c r="AT52" i="1"/>
  <c r="AT34" i="1"/>
  <c r="AT61" i="1"/>
  <c r="AU44" i="1"/>
  <c r="AU52" i="1"/>
  <c r="AU34" i="1"/>
  <c r="AU61" i="1"/>
  <c r="AV44" i="1"/>
  <c r="AV52" i="1"/>
  <c r="AV34" i="1"/>
  <c r="AV61" i="1"/>
  <c r="AW44" i="1"/>
  <c r="AW52" i="1"/>
  <c r="AW34" i="1"/>
  <c r="AW61" i="1"/>
  <c r="AX44" i="1"/>
  <c r="AX52" i="1"/>
  <c r="AX34" i="1"/>
  <c r="AX61" i="1"/>
  <c r="AY44" i="1"/>
  <c r="AY52" i="1"/>
  <c r="AY34" i="1"/>
  <c r="AY61" i="1"/>
  <c r="AZ44" i="1"/>
  <c r="AZ52" i="1"/>
  <c r="AZ34" i="1"/>
  <c r="AZ61" i="1"/>
  <c r="BA44" i="1"/>
  <c r="BA52" i="1"/>
  <c r="BA34" i="1"/>
  <c r="BA61" i="1"/>
  <c r="BB44" i="1"/>
  <c r="BB52" i="1"/>
  <c r="BB34" i="1"/>
  <c r="BB61" i="1"/>
  <c r="BC44" i="1"/>
  <c r="BC52" i="1"/>
  <c r="BC34" i="1"/>
  <c r="BC61" i="1"/>
  <c r="BD44" i="1"/>
  <c r="BD52" i="1"/>
  <c r="BD34" i="1"/>
  <c r="BD61" i="1"/>
  <c r="BE44" i="1"/>
  <c r="BE52" i="1"/>
  <c r="BE34" i="1"/>
  <c r="BE61" i="1"/>
  <c r="BF44" i="1"/>
  <c r="BF52" i="1"/>
  <c r="BF34" i="1"/>
  <c r="BF61" i="1"/>
  <c r="BG44" i="1"/>
  <c r="BG52" i="1"/>
  <c r="BG34" i="1"/>
  <c r="BG61" i="1"/>
  <c r="BH44" i="1"/>
  <c r="BH52" i="1"/>
  <c r="BH34" i="1"/>
  <c r="BH61" i="1"/>
  <c r="BI44" i="1"/>
  <c r="BI52" i="1"/>
  <c r="BI34" i="1"/>
  <c r="BI61" i="1"/>
  <c r="BJ44" i="1"/>
  <c r="BJ52" i="1"/>
  <c r="BJ34" i="1"/>
  <c r="BJ61" i="1"/>
  <c r="BK44" i="1"/>
  <c r="BK52" i="1"/>
  <c r="BK34" i="1"/>
  <c r="BK61" i="1"/>
  <c r="BL44" i="1"/>
  <c r="BL52" i="1"/>
  <c r="BL34" i="1"/>
  <c r="BL61" i="1"/>
  <c r="BM44" i="1"/>
  <c r="BM52" i="1"/>
  <c r="BM34" i="1"/>
  <c r="BM61" i="1"/>
  <c r="BN44" i="1"/>
  <c r="BN52" i="1"/>
  <c r="BN34" i="1"/>
  <c r="BN61" i="1"/>
  <c r="BO44" i="1"/>
  <c r="BO52" i="1"/>
  <c r="BO34" i="1"/>
  <c r="BO61" i="1"/>
  <c r="BP44" i="1"/>
  <c r="BP52" i="1"/>
  <c r="BP34" i="1"/>
  <c r="BP61" i="1"/>
  <c r="BQ44" i="1"/>
  <c r="BQ52" i="1"/>
  <c r="BQ34" i="1"/>
  <c r="BQ61" i="1"/>
  <c r="BR44" i="1"/>
  <c r="BR52" i="1"/>
  <c r="BR34" i="1"/>
  <c r="BR61" i="1"/>
  <c r="BS44" i="1"/>
  <c r="BS52" i="1"/>
  <c r="BS34" i="1"/>
  <c r="BS61" i="1"/>
  <c r="BT44" i="1"/>
  <c r="BT52" i="1"/>
  <c r="BT34" i="1"/>
  <c r="BT61" i="1"/>
  <c r="N45" i="1"/>
  <c r="N53" i="1"/>
  <c r="O45" i="1"/>
  <c r="O53" i="1"/>
  <c r="O35" i="1"/>
  <c r="O62" i="1"/>
  <c r="P45" i="1"/>
  <c r="P53" i="1"/>
  <c r="P35" i="1"/>
  <c r="P62" i="1"/>
  <c r="Q45" i="1"/>
  <c r="Q53" i="1"/>
  <c r="Q35" i="1"/>
  <c r="Q62" i="1"/>
  <c r="R45" i="1"/>
  <c r="R53" i="1"/>
  <c r="R35" i="1"/>
  <c r="R62" i="1"/>
  <c r="S45" i="1"/>
  <c r="S53" i="1"/>
  <c r="S35" i="1"/>
  <c r="S62" i="1"/>
  <c r="T45" i="1"/>
  <c r="T53" i="1"/>
  <c r="T35" i="1"/>
  <c r="T62" i="1"/>
  <c r="U45" i="1"/>
  <c r="U53" i="1"/>
  <c r="U35" i="1"/>
  <c r="U62" i="1"/>
  <c r="V45" i="1"/>
  <c r="V53" i="1"/>
  <c r="V35" i="1"/>
  <c r="V62" i="1"/>
  <c r="W45" i="1"/>
  <c r="W53" i="1"/>
  <c r="W35" i="1"/>
  <c r="W62" i="1"/>
  <c r="X45" i="1"/>
  <c r="X53" i="1"/>
  <c r="X35" i="1"/>
  <c r="X62" i="1"/>
  <c r="Y45" i="1"/>
  <c r="Y53" i="1"/>
  <c r="Y35" i="1"/>
  <c r="Y62" i="1"/>
  <c r="Z45" i="1"/>
  <c r="Z53" i="1"/>
  <c r="Z35" i="1"/>
  <c r="Z62" i="1"/>
  <c r="AA45" i="1"/>
  <c r="AA53" i="1"/>
  <c r="AA35" i="1"/>
  <c r="AA62" i="1"/>
  <c r="AB45" i="1"/>
  <c r="AB53" i="1"/>
  <c r="AB35" i="1"/>
  <c r="AB62" i="1"/>
  <c r="AC45" i="1"/>
  <c r="AC53" i="1"/>
  <c r="AC35" i="1"/>
  <c r="AC62" i="1"/>
  <c r="AD45" i="1"/>
  <c r="AD53" i="1"/>
  <c r="AD35" i="1"/>
  <c r="AD62" i="1"/>
  <c r="AE45" i="1"/>
  <c r="AE53" i="1"/>
  <c r="AE35" i="1"/>
  <c r="AE62" i="1"/>
  <c r="AF45" i="1"/>
  <c r="AF53" i="1"/>
  <c r="AF35" i="1"/>
  <c r="AF62" i="1"/>
  <c r="AG45" i="1"/>
  <c r="AG53" i="1"/>
  <c r="AG35" i="1"/>
  <c r="AG62" i="1"/>
  <c r="AH45" i="1"/>
  <c r="AH53" i="1"/>
  <c r="AH35" i="1"/>
  <c r="AH62" i="1"/>
  <c r="AI45" i="1"/>
  <c r="AI53" i="1"/>
  <c r="AI35" i="1"/>
  <c r="AI62" i="1"/>
  <c r="AJ45" i="1"/>
  <c r="AJ53" i="1"/>
  <c r="AJ35" i="1"/>
  <c r="AJ62" i="1"/>
  <c r="AK45" i="1"/>
  <c r="AK53" i="1"/>
  <c r="AK35" i="1"/>
  <c r="AK62" i="1"/>
  <c r="AL45" i="1"/>
  <c r="AL53" i="1"/>
  <c r="AL35" i="1"/>
  <c r="AL62" i="1"/>
  <c r="AM45" i="1"/>
  <c r="AM53" i="1"/>
  <c r="AM35" i="1"/>
  <c r="AM62" i="1"/>
  <c r="AN45" i="1"/>
  <c r="AN53" i="1"/>
  <c r="AN35" i="1"/>
  <c r="AN62" i="1"/>
  <c r="AO45" i="1"/>
  <c r="AO53" i="1"/>
  <c r="AO35" i="1"/>
  <c r="AO62" i="1"/>
  <c r="AP45" i="1"/>
  <c r="AP53" i="1"/>
  <c r="AP35" i="1"/>
  <c r="AP62" i="1"/>
  <c r="AQ45" i="1"/>
  <c r="AQ53" i="1"/>
  <c r="AQ35" i="1"/>
  <c r="AQ62" i="1"/>
  <c r="AR45" i="1"/>
  <c r="AR53" i="1"/>
  <c r="AR35" i="1"/>
  <c r="AR62" i="1"/>
  <c r="AS45" i="1"/>
  <c r="AS53" i="1"/>
  <c r="AS35" i="1"/>
  <c r="AS62" i="1"/>
  <c r="AT45" i="1"/>
  <c r="AT53" i="1"/>
  <c r="AT35" i="1"/>
  <c r="AT62" i="1"/>
  <c r="AU45" i="1"/>
  <c r="AU53" i="1"/>
  <c r="AU35" i="1"/>
  <c r="AU62" i="1"/>
  <c r="AV45" i="1"/>
  <c r="AV53" i="1"/>
  <c r="AV35" i="1"/>
  <c r="AV62" i="1"/>
  <c r="AW45" i="1"/>
  <c r="AW53" i="1"/>
  <c r="AW35" i="1"/>
  <c r="AW62" i="1"/>
  <c r="AX45" i="1"/>
  <c r="AX53" i="1"/>
  <c r="AX35" i="1"/>
  <c r="AX62" i="1"/>
  <c r="AY45" i="1"/>
  <c r="AY53" i="1"/>
  <c r="AY35" i="1"/>
  <c r="AY62" i="1"/>
  <c r="AZ45" i="1"/>
  <c r="AZ53" i="1"/>
  <c r="AZ35" i="1"/>
  <c r="AZ62" i="1"/>
  <c r="BA45" i="1"/>
  <c r="BA53" i="1"/>
  <c r="BA35" i="1"/>
  <c r="BA62" i="1"/>
  <c r="BB45" i="1"/>
  <c r="BB53" i="1"/>
  <c r="BB35" i="1"/>
  <c r="BB62" i="1"/>
  <c r="BC45" i="1"/>
  <c r="BC53" i="1"/>
  <c r="BC35" i="1"/>
  <c r="BC62" i="1"/>
  <c r="BD45" i="1"/>
  <c r="BD53" i="1"/>
  <c r="BD35" i="1"/>
  <c r="BD62" i="1"/>
  <c r="BE45" i="1"/>
  <c r="BE53" i="1"/>
  <c r="BE35" i="1"/>
  <c r="BE62" i="1"/>
  <c r="BF45" i="1"/>
  <c r="BF53" i="1"/>
  <c r="BF35" i="1"/>
  <c r="BF62" i="1"/>
  <c r="BG45" i="1"/>
  <c r="BG53" i="1"/>
  <c r="BG35" i="1"/>
  <c r="BG62" i="1"/>
  <c r="BH45" i="1"/>
  <c r="BH53" i="1"/>
  <c r="BH35" i="1"/>
  <c r="BH62" i="1"/>
  <c r="BI45" i="1"/>
  <c r="BI53" i="1"/>
  <c r="BI35" i="1"/>
  <c r="BI62" i="1"/>
  <c r="BJ45" i="1"/>
  <c r="BJ53" i="1"/>
  <c r="BJ35" i="1"/>
  <c r="BJ62" i="1"/>
  <c r="BK45" i="1"/>
  <c r="BK53" i="1"/>
  <c r="BK35" i="1"/>
  <c r="BK62" i="1"/>
  <c r="BL45" i="1"/>
  <c r="BL53" i="1"/>
  <c r="BL35" i="1"/>
  <c r="BL62" i="1"/>
  <c r="BM45" i="1"/>
  <c r="BM53" i="1"/>
  <c r="BM35" i="1"/>
  <c r="BM62" i="1"/>
  <c r="BN45" i="1"/>
  <c r="BN53" i="1"/>
  <c r="BN35" i="1"/>
  <c r="BN62" i="1"/>
  <c r="BO45" i="1"/>
  <c r="BO53" i="1"/>
  <c r="BO35" i="1"/>
  <c r="BO62" i="1"/>
  <c r="BP45" i="1"/>
  <c r="BP53" i="1"/>
  <c r="BP35" i="1"/>
  <c r="BP62" i="1"/>
  <c r="BQ45" i="1"/>
  <c r="BQ53" i="1"/>
  <c r="BQ35" i="1"/>
  <c r="BQ62" i="1"/>
  <c r="BR45" i="1"/>
  <c r="BR53" i="1"/>
  <c r="BR35" i="1"/>
  <c r="BR62" i="1"/>
  <c r="BS45" i="1"/>
  <c r="BS53" i="1"/>
  <c r="BS35" i="1"/>
  <c r="BS62" i="1"/>
  <c r="BT45" i="1"/>
  <c r="BT53" i="1"/>
  <c r="BT35" i="1"/>
  <c r="BT62" i="1"/>
  <c r="N46" i="1"/>
  <c r="N54" i="1"/>
  <c r="O46" i="1"/>
  <c r="O54" i="1"/>
  <c r="O36" i="1"/>
  <c r="O63" i="1"/>
  <c r="P46" i="1"/>
  <c r="P54" i="1"/>
  <c r="P36" i="1"/>
  <c r="P63" i="1"/>
  <c r="Q46" i="1"/>
  <c r="Q54" i="1"/>
  <c r="Q36" i="1"/>
  <c r="Q63" i="1"/>
  <c r="R46" i="1"/>
  <c r="R54" i="1"/>
  <c r="R36" i="1"/>
  <c r="R63" i="1"/>
  <c r="S46" i="1"/>
  <c r="S54" i="1"/>
  <c r="S36" i="1"/>
  <c r="S63" i="1"/>
  <c r="T46" i="1"/>
  <c r="T54" i="1"/>
  <c r="T36" i="1"/>
  <c r="T63" i="1"/>
  <c r="U46" i="1"/>
  <c r="U54" i="1"/>
  <c r="U36" i="1"/>
  <c r="U63" i="1"/>
  <c r="V46" i="1"/>
  <c r="V54" i="1"/>
  <c r="V36" i="1"/>
  <c r="V63" i="1"/>
  <c r="W46" i="1"/>
  <c r="W54" i="1"/>
  <c r="W36" i="1"/>
  <c r="W63" i="1"/>
  <c r="X46" i="1"/>
  <c r="X54" i="1"/>
  <c r="X36" i="1"/>
  <c r="X63" i="1"/>
  <c r="Y46" i="1"/>
  <c r="Y54" i="1"/>
  <c r="Y36" i="1"/>
  <c r="Y63" i="1"/>
  <c r="Z46" i="1"/>
  <c r="Z54" i="1"/>
  <c r="Z36" i="1"/>
  <c r="Z63" i="1"/>
  <c r="AA46" i="1"/>
  <c r="AA54" i="1"/>
  <c r="AA36" i="1"/>
  <c r="AA63" i="1"/>
  <c r="AB46" i="1"/>
  <c r="AB54" i="1"/>
  <c r="AB36" i="1"/>
  <c r="AB63" i="1"/>
  <c r="AC46" i="1"/>
  <c r="AC54" i="1"/>
  <c r="AC36" i="1"/>
  <c r="AC63" i="1"/>
  <c r="AD46" i="1"/>
  <c r="AD54" i="1"/>
  <c r="AD36" i="1"/>
  <c r="AD63" i="1"/>
  <c r="AE46" i="1"/>
  <c r="AE54" i="1"/>
  <c r="AE36" i="1"/>
  <c r="AE63" i="1"/>
  <c r="AF46" i="1"/>
  <c r="AF54" i="1"/>
  <c r="AF36" i="1"/>
  <c r="AF63" i="1"/>
  <c r="AG46" i="1"/>
  <c r="AG54" i="1"/>
  <c r="AG36" i="1"/>
  <c r="AG63" i="1"/>
  <c r="AH46" i="1"/>
  <c r="AH54" i="1"/>
  <c r="AH36" i="1"/>
  <c r="AH63" i="1"/>
  <c r="AI46" i="1"/>
  <c r="AI54" i="1"/>
  <c r="AI36" i="1"/>
  <c r="AI63" i="1"/>
  <c r="AJ46" i="1"/>
  <c r="AJ54" i="1"/>
  <c r="AJ36" i="1"/>
  <c r="AJ63" i="1"/>
  <c r="AK46" i="1"/>
  <c r="AK54" i="1"/>
  <c r="AK36" i="1"/>
  <c r="AK63" i="1"/>
  <c r="AL46" i="1"/>
  <c r="AL54" i="1"/>
  <c r="AL36" i="1"/>
  <c r="AL63" i="1"/>
  <c r="AM46" i="1"/>
  <c r="AM54" i="1"/>
  <c r="AM36" i="1"/>
  <c r="AM63" i="1"/>
  <c r="AN46" i="1"/>
  <c r="AN54" i="1"/>
  <c r="AN36" i="1"/>
  <c r="AN63" i="1"/>
  <c r="AO46" i="1"/>
  <c r="AO54" i="1"/>
  <c r="AO36" i="1"/>
  <c r="AO63" i="1"/>
  <c r="AP46" i="1"/>
  <c r="AP54" i="1"/>
  <c r="AP36" i="1"/>
  <c r="AP63" i="1"/>
  <c r="AQ46" i="1"/>
  <c r="AQ54" i="1"/>
  <c r="AQ36" i="1"/>
  <c r="AQ63" i="1"/>
  <c r="AR46" i="1"/>
  <c r="AR54" i="1"/>
  <c r="AR36" i="1"/>
  <c r="AR63" i="1"/>
  <c r="AS46" i="1"/>
  <c r="AS54" i="1"/>
  <c r="AS36" i="1"/>
  <c r="AS63" i="1"/>
  <c r="AT46" i="1"/>
  <c r="AT54" i="1"/>
  <c r="AT36" i="1"/>
  <c r="AT63" i="1"/>
  <c r="AU46" i="1"/>
  <c r="AU54" i="1"/>
  <c r="AU36" i="1"/>
  <c r="AU63" i="1"/>
  <c r="AV46" i="1"/>
  <c r="AV54" i="1"/>
  <c r="AV36" i="1"/>
  <c r="AV63" i="1"/>
  <c r="AW46" i="1"/>
  <c r="AW54" i="1"/>
  <c r="AW36" i="1"/>
  <c r="AW63" i="1"/>
  <c r="AX46" i="1"/>
  <c r="AX54" i="1"/>
  <c r="AX36" i="1"/>
  <c r="AX63" i="1"/>
  <c r="AY46" i="1"/>
  <c r="AY54" i="1"/>
  <c r="AY36" i="1"/>
  <c r="AY63" i="1"/>
  <c r="AZ46" i="1"/>
  <c r="AZ54" i="1"/>
  <c r="AZ36" i="1"/>
  <c r="AZ63" i="1"/>
  <c r="BA46" i="1"/>
  <c r="BA54" i="1"/>
  <c r="BA36" i="1"/>
  <c r="BA63" i="1"/>
  <c r="BB46" i="1"/>
  <c r="BB54" i="1"/>
  <c r="BB36" i="1"/>
  <c r="BB63" i="1"/>
  <c r="BC46" i="1"/>
  <c r="BC54" i="1"/>
  <c r="BC36" i="1"/>
  <c r="BC63" i="1"/>
  <c r="BD46" i="1"/>
  <c r="BD54" i="1"/>
  <c r="BD36" i="1"/>
  <c r="BD63" i="1"/>
  <c r="BE46" i="1"/>
  <c r="BE54" i="1"/>
  <c r="BE36" i="1"/>
  <c r="BE63" i="1"/>
  <c r="BF46" i="1"/>
  <c r="BF54" i="1"/>
  <c r="BF36" i="1"/>
  <c r="BF63" i="1"/>
  <c r="BG46" i="1"/>
  <c r="BG54" i="1"/>
  <c r="BG36" i="1"/>
  <c r="BG63" i="1"/>
  <c r="BH46" i="1"/>
  <c r="BH54" i="1"/>
  <c r="BH36" i="1"/>
  <c r="BH63" i="1"/>
  <c r="BI46" i="1"/>
  <c r="BI54" i="1"/>
  <c r="BI36" i="1"/>
  <c r="BI63" i="1"/>
  <c r="BJ46" i="1"/>
  <c r="BJ54" i="1"/>
  <c r="BJ36" i="1"/>
  <c r="BJ63" i="1"/>
  <c r="BK46" i="1"/>
  <c r="BK54" i="1"/>
  <c r="BK36" i="1"/>
  <c r="BK63" i="1"/>
  <c r="BL46" i="1"/>
  <c r="BL54" i="1"/>
  <c r="BL36" i="1"/>
  <c r="BL63" i="1"/>
  <c r="BM46" i="1"/>
  <c r="BM54" i="1"/>
  <c r="BM36" i="1"/>
  <c r="BM63" i="1"/>
  <c r="BN46" i="1"/>
  <c r="BN54" i="1"/>
  <c r="BN36" i="1"/>
  <c r="BN63" i="1"/>
  <c r="BO46" i="1"/>
  <c r="BO54" i="1"/>
  <c r="BO36" i="1"/>
  <c r="BO63" i="1"/>
  <c r="BP46" i="1"/>
  <c r="BP54" i="1"/>
  <c r="BP36" i="1"/>
  <c r="BP63" i="1"/>
  <c r="BQ46" i="1"/>
  <c r="BQ54" i="1"/>
  <c r="BQ36" i="1"/>
  <c r="BQ63" i="1"/>
  <c r="BR46" i="1"/>
  <c r="BR54" i="1"/>
  <c r="BR36" i="1"/>
  <c r="BR63" i="1"/>
  <c r="BS46" i="1"/>
  <c r="BS54" i="1"/>
  <c r="BS36" i="1"/>
  <c r="BS63" i="1"/>
  <c r="BT46" i="1"/>
  <c r="BT54" i="1"/>
  <c r="BT36" i="1"/>
  <c r="BT63" i="1"/>
  <c r="C24" i="1" a="1"/>
  <c r="C24" i="1"/>
  <c r="K27" i="4"/>
  <c r="BU19" i="4"/>
  <c r="BV19" i="4"/>
  <c r="BW19" i="4"/>
  <c r="C13" i="17"/>
  <c r="C15" i="17"/>
  <c r="C19" i="17"/>
  <c r="C20" i="17"/>
  <c r="C18" i="17"/>
  <c r="M83" i="3"/>
  <c r="N83" i="3"/>
  <c r="O83" i="3"/>
  <c r="P83" i="3"/>
  <c r="Q83" i="3"/>
  <c r="R83" i="3"/>
  <c r="S83" i="3"/>
  <c r="T83" i="3"/>
  <c r="U83" i="3"/>
  <c r="V83" i="3"/>
  <c r="V68" i="3"/>
  <c r="V53" i="3"/>
  <c r="D7" i="3"/>
  <c r="D8" i="3"/>
  <c r="D11" i="3"/>
  <c r="D12" i="3"/>
  <c r="C37" i="11" a="1"/>
  <c r="C37" i="11"/>
  <c r="C13" i="11"/>
  <c r="C28" i="11"/>
  <c r="M4" i="11"/>
  <c r="C29" i="11"/>
  <c r="M5" i="11"/>
  <c r="M6" i="11"/>
  <c r="M7" i="11"/>
  <c r="L16" i="12"/>
  <c r="M7" i="12"/>
  <c r="M39" i="3"/>
  <c r="M53" i="3"/>
  <c r="M79" i="1"/>
  <c r="M83" i="1"/>
  <c r="M85" i="1"/>
  <c r="M87" i="1"/>
  <c r="M54" i="3"/>
  <c r="M56" i="3"/>
  <c r="L21" i="12"/>
  <c r="M6" i="12"/>
  <c r="M8" i="12"/>
  <c r="M59" i="3"/>
  <c r="M55" i="3"/>
  <c r="N4" i="11"/>
  <c r="N5" i="11"/>
  <c r="N6" i="11"/>
  <c r="N7" i="11"/>
  <c r="M11" i="12"/>
  <c r="N7" i="12"/>
  <c r="N39" i="3"/>
  <c r="N53" i="3"/>
  <c r="N79" i="1"/>
  <c r="N81" i="1"/>
  <c r="N83" i="1"/>
  <c r="N85" i="1"/>
  <c r="N87" i="1"/>
  <c r="N54" i="3"/>
  <c r="N20" i="11"/>
  <c r="N55" i="3"/>
  <c r="N56" i="3"/>
  <c r="N6" i="12"/>
  <c r="N8" i="12"/>
  <c r="N59" i="3"/>
  <c r="O65" i="1"/>
  <c r="O66" i="1"/>
  <c r="O67" i="1"/>
  <c r="O69" i="1"/>
  <c r="O70" i="1"/>
  <c r="O71" i="1"/>
  <c r="O77" i="1"/>
  <c r="O9" i="3"/>
  <c r="O15" i="3"/>
  <c r="O16" i="3"/>
  <c r="O17" i="3"/>
  <c r="O19" i="3"/>
  <c r="O20" i="3"/>
  <c r="O21" i="3"/>
  <c r="O23" i="3"/>
  <c r="O25" i="3"/>
  <c r="O4" i="11"/>
  <c r="O5" i="11"/>
  <c r="O6" i="11"/>
  <c r="O7" i="11"/>
  <c r="N11" i="12"/>
  <c r="O7" i="12"/>
  <c r="O39" i="3"/>
  <c r="O53" i="3"/>
  <c r="O79" i="1"/>
  <c r="O81" i="1"/>
  <c r="O83" i="1"/>
  <c r="O85" i="1"/>
  <c r="O87" i="1"/>
  <c r="O54" i="3"/>
  <c r="O20" i="11"/>
  <c r="O55" i="3"/>
  <c r="O56" i="3"/>
  <c r="O6" i="12"/>
  <c r="O8" i="12"/>
  <c r="O59" i="3"/>
  <c r="P65" i="1"/>
  <c r="P69" i="1"/>
  <c r="P66" i="1"/>
  <c r="P67" i="1"/>
  <c r="P70" i="1"/>
  <c r="P71" i="1"/>
  <c r="P77" i="1"/>
  <c r="P9" i="3"/>
  <c r="P15" i="3"/>
  <c r="P16" i="3"/>
  <c r="P17" i="3"/>
  <c r="P19" i="3"/>
  <c r="P20" i="3"/>
  <c r="P21" i="3"/>
  <c r="P23" i="3"/>
  <c r="P25" i="3"/>
  <c r="P4" i="11"/>
  <c r="P5" i="11"/>
  <c r="P6" i="11"/>
  <c r="P7" i="11"/>
  <c r="O11" i="12"/>
  <c r="P7" i="12"/>
  <c r="P39" i="3"/>
  <c r="P53" i="3"/>
  <c r="P79" i="1"/>
  <c r="P81" i="1"/>
  <c r="P83" i="1"/>
  <c r="P85" i="1"/>
  <c r="P87" i="1"/>
  <c r="P54" i="3"/>
  <c r="P20" i="11"/>
  <c r="P55" i="3"/>
  <c r="P56" i="3"/>
  <c r="P6" i="12"/>
  <c r="P8" i="12"/>
  <c r="P59" i="3"/>
  <c r="Q65" i="1"/>
  <c r="Q69" i="1"/>
  <c r="Q66" i="1"/>
  <c r="Q67" i="1"/>
  <c r="Q70" i="1"/>
  <c r="Q71" i="1"/>
  <c r="Q77" i="1"/>
  <c r="Q9" i="3"/>
  <c r="Q15" i="3"/>
  <c r="Q16" i="3"/>
  <c r="Q17" i="3"/>
  <c r="Q19" i="3"/>
  <c r="Q20" i="3"/>
  <c r="Q21" i="3"/>
  <c r="Q23" i="3"/>
  <c r="Q25" i="3"/>
  <c r="Q4" i="11"/>
  <c r="Q5" i="11"/>
  <c r="Q6" i="11"/>
  <c r="Q7" i="11"/>
  <c r="P11" i="12"/>
  <c r="Q7" i="12"/>
  <c r="Q39" i="3"/>
  <c r="Q53" i="3"/>
  <c r="Q79" i="1"/>
  <c r="Q81" i="1"/>
  <c r="Q83" i="1"/>
  <c r="Q85" i="1"/>
  <c r="Q87" i="1"/>
  <c r="Q54" i="3"/>
  <c r="Q20" i="11"/>
  <c r="Q55" i="3"/>
  <c r="Q56" i="3"/>
  <c r="Q6" i="12"/>
  <c r="Q8" i="12"/>
  <c r="Q59" i="3"/>
  <c r="R65" i="1"/>
  <c r="R69" i="1"/>
  <c r="R66" i="1"/>
  <c r="R67" i="1"/>
  <c r="R70" i="1"/>
  <c r="R71" i="1"/>
  <c r="R77" i="1"/>
  <c r="R9" i="3"/>
  <c r="R14" i="3"/>
  <c r="R15" i="3"/>
  <c r="R16" i="3"/>
  <c r="R17" i="3"/>
  <c r="R19" i="3"/>
  <c r="R20" i="3"/>
  <c r="R21" i="3"/>
  <c r="R23" i="3"/>
  <c r="R25" i="3"/>
  <c r="R4" i="11"/>
  <c r="R5" i="11"/>
  <c r="R6" i="11"/>
  <c r="R7" i="11"/>
  <c r="Q11" i="12"/>
  <c r="R7" i="12"/>
  <c r="R39" i="3"/>
  <c r="R53" i="3"/>
  <c r="R79" i="1"/>
  <c r="R81" i="1"/>
  <c r="R83" i="1"/>
  <c r="R85" i="1"/>
  <c r="R87" i="1"/>
  <c r="R54" i="3"/>
  <c r="R20" i="11"/>
  <c r="R55" i="3"/>
  <c r="R56" i="3"/>
  <c r="R6" i="12"/>
  <c r="R8" i="12"/>
  <c r="R59" i="3"/>
  <c r="S65" i="1"/>
  <c r="S69" i="1"/>
  <c r="S66" i="1"/>
  <c r="S67" i="1"/>
  <c r="S70" i="1"/>
  <c r="S71" i="1"/>
  <c r="S77" i="1"/>
  <c r="S9" i="3"/>
  <c r="S14" i="3"/>
  <c r="S15" i="3"/>
  <c r="S16" i="3"/>
  <c r="S17" i="3"/>
  <c r="S19" i="3"/>
  <c r="S20" i="3"/>
  <c r="S21" i="3"/>
  <c r="S23" i="3"/>
  <c r="S25" i="3"/>
  <c r="S4" i="11"/>
  <c r="S5" i="11"/>
  <c r="S6" i="11"/>
  <c r="S7" i="11"/>
  <c r="R11" i="12"/>
  <c r="S7" i="12"/>
  <c r="S39" i="3"/>
  <c r="S53" i="3"/>
  <c r="S79" i="1"/>
  <c r="S81" i="1"/>
  <c r="S83" i="1"/>
  <c r="S85" i="1"/>
  <c r="S87" i="1"/>
  <c r="S54" i="3"/>
  <c r="S20" i="11"/>
  <c r="S55" i="3"/>
  <c r="S56" i="3"/>
  <c r="S6" i="12"/>
  <c r="S8" i="12"/>
  <c r="S59" i="3"/>
  <c r="T65" i="1"/>
  <c r="T69" i="1"/>
  <c r="T66" i="1"/>
  <c r="T67" i="1"/>
  <c r="T70" i="1"/>
  <c r="T71" i="1"/>
  <c r="T77" i="1"/>
  <c r="T9" i="3"/>
  <c r="T14" i="3"/>
  <c r="T15" i="3"/>
  <c r="T16" i="3"/>
  <c r="T17" i="3"/>
  <c r="T19" i="3"/>
  <c r="T20" i="3"/>
  <c r="T21" i="3"/>
  <c r="T23" i="3"/>
  <c r="T25" i="3"/>
  <c r="T4" i="11"/>
  <c r="T5" i="11"/>
  <c r="T6" i="11"/>
  <c r="T7" i="11"/>
  <c r="S11" i="12"/>
  <c r="T7" i="12"/>
  <c r="T39" i="3"/>
  <c r="T53" i="3"/>
  <c r="T79" i="1"/>
  <c r="T81" i="1"/>
  <c r="T83" i="1"/>
  <c r="T85" i="1"/>
  <c r="T87" i="1"/>
  <c r="T54" i="3"/>
  <c r="T20" i="11"/>
  <c r="T55" i="3"/>
  <c r="T56" i="3"/>
  <c r="T6" i="12"/>
  <c r="T8" i="12"/>
  <c r="T59" i="3"/>
  <c r="C21" i="11"/>
  <c r="D13" i="11"/>
  <c r="D21" i="11"/>
  <c r="D14" i="11"/>
  <c r="D22" i="11"/>
  <c r="C15" i="11"/>
  <c r="C30" i="11"/>
  <c r="D15" i="11"/>
  <c r="D23" i="11"/>
  <c r="C31" i="11"/>
  <c r="D16" i="11"/>
  <c r="D24" i="11"/>
  <c r="Y65" i="1"/>
  <c r="Y69" i="1"/>
  <c r="Y66" i="1"/>
  <c r="Y67" i="1"/>
  <c r="Y70" i="1"/>
  <c r="Y71" i="1"/>
  <c r="Y77" i="1"/>
  <c r="Y9" i="3"/>
  <c r="Y14" i="3"/>
  <c r="Y15" i="3"/>
  <c r="E7" i="3"/>
  <c r="Y16" i="3"/>
  <c r="E8" i="3"/>
  <c r="Y17" i="3"/>
  <c r="Y19" i="3"/>
  <c r="E11" i="3"/>
  <c r="Y20" i="3"/>
  <c r="E12" i="3"/>
  <c r="Y21" i="3"/>
  <c r="Y23" i="3"/>
  <c r="Y25" i="3"/>
  <c r="T11" i="12"/>
  <c r="U6" i="12"/>
  <c r="U7" i="12"/>
  <c r="U8" i="12"/>
  <c r="U11" i="12"/>
  <c r="V6" i="12"/>
  <c r="V7" i="12"/>
  <c r="V8" i="12"/>
  <c r="V11" i="12"/>
  <c r="W6" i="12"/>
  <c r="W7" i="12"/>
  <c r="W8" i="12"/>
  <c r="W11" i="12"/>
  <c r="X6" i="12"/>
  <c r="X7" i="12"/>
  <c r="X8" i="12"/>
  <c r="X11" i="12"/>
  <c r="Y7" i="12"/>
  <c r="Y39" i="3"/>
  <c r="Z65" i="1"/>
  <c r="Z69" i="1"/>
  <c r="Z66" i="1"/>
  <c r="Z67" i="1"/>
  <c r="Z70" i="1"/>
  <c r="Z71" i="1"/>
  <c r="Z77" i="1"/>
  <c r="Z9" i="3"/>
  <c r="Z14" i="3"/>
  <c r="Z15" i="3"/>
  <c r="Z16" i="3"/>
  <c r="Z17" i="3"/>
  <c r="Z19" i="3"/>
  <c r="Z20" i="3"/>
  <c r="Z21" i="3"/>
  <c r="Z23" i="3"/>
  <c r="Z25" i="3"/>
  <c r="Y6" i="12"/>
  <c r="Y8" i="12"/>
  <c r="Y11" i="12"/>
  <c r="Z7" i="12"/>
  <c r="Z39" i="3"/>
  <c r="AA65" i="1"/>
  <c r="AA69" i="1"/>
  <c r="AA66" i="1"/>
  <c r="AA67" i="1"/>
  <c r="AA70" i="1"/>
  <c r="AA71" i="1"/>
  <c r="AA77" i="1"/>
  <c r="AA9" i="3"/>
  <c r="AA14" i="3"/>
  <c r="AA15" i="3"/>
  <c r="AA16" i="3"/>
  <c r="AA17" i="3"/>
  <c r="AA19" i="3"/>
  <c r="AA20" i="3"/>
  <c r="AA21" i="3"/>
  <c r="AA23" i="3"/>
  <c r="AA25" i="3"/>
  <c r="Z6" i="12"/>
  <c r="Z8" i="12"/>
  <c r="Z11" i="12"/>
  <c r="AA7" i="12"/>
  <c r="AA39" i="3"/>
  <c r="AB65" i="1"/>
  <c r="AB69" i="1"/>
  <c r="AB66" i="1"/>
  <c r="AB67" i="1"/>
  <c r="AB70" i="1"/>
  <c r="AB71" i="1"/>
  <c r="AB77" i="1"/>
  <c r="AB9" i="3"/>
  <c r="AB14" i="3"/>
  <c r="AB15" i="3"/>
  <c r="AB16" i="3"/>
  <c r="AB17" i="3"/>
  <c r="AB19" i="3"/>
  <c r="AB20" i="3"/>
  <c r="AB21" i="3"/>
  <c r="AB23" i="3"/>
  <c r="AB25" i="3"/>
  <c r="AA6" i="12"/>
  <c r="AA8" i="12"/>
  <c r="AA11" i="12"/>
  <c r="AB7" i="12"/>
  <c r="AB39" i="3"/>
  <c r="AC65" i="1"/>
  <c r="AC69" i="1"/>
  <c r="AC66" i="1"/>
  <c r="AC67" i="1"/>
  <c r="AC70" i="1"/>
  <c r="AC71" i="1"/>
  <c r="AC77" i="1"/>
  <c r="AC9" i="3"/>
  <c r="AC14" i="3"/>
  <c r="AC15" i="3"/>
  <c r="AC16" i="3"/>
  <c r="AC17" i="3"/>
  <c r="AC19" i="3"/>
  <c r="AC20" i="3"/>
  <c r="AC21" i="3"/>
  <c r="AC23" i="3"/>
  <c r="AC25" i="3"/>
  <c r="AB6" i="12"/>
  <c r="AB8" i="12"/>
  <c r="AB11" i="12"/>
  <c r="AC7" i="12"/>
  <c r="AC39" i="3"/>
  <c r="AD65" i="1"/>
  <c r="AD69" i="1"/>
  <c r="AD66" i="1"/>
  <c r="AD67" i="1"/>
  <c r="AD70" i="1"/>
  <c r="AD71" i="1"/>
  <c r="AD77" i="1"/>
  <c r="AD9" i="3"/>
  <c r="AD14" i="3"/>
  <c r="AD15" i="3"/>
  <c r="AD16" i="3"/>
  <c r="AD17" i="3"/>
  <c r="AD19" i="3"/>
  <c r="AD20" i="3"/>
  <c r="AD21" i="3"/>
  <c r="AD23" i="3"/>
  <c r="AD25" i="3"/>
  <c r="AC6" i="12"/>
  <c r="AC8" i="12"/>
  <c r="AC11" i="12"/>
  <c r="AD7" i="12"/>
  <c r="AD39" i="3"/>
  <c r="AE65" i="1"/>
  <c r="AE69" i="1"/>
  <c r="AE66" i="1"/>
  <c r="AE70" i="1"/>
  <c r="AE67" i="1"/>
  <c r="AE71" i="1"/>
  <c r="AE77" i="1"/>
  <c r="AE9" i="3"/>
  <c r="AE14" i="3"/>
  <c r="AE15" i="3"/>
  <c r="AE16" i="3"/>
  <c r="AE17" i="3"/>
  <c r="AE19" i="3"/>
  <c r="AE20" i="3"/>
  <c r="AE21" i="3"/>
  <c r="AE23" i="3"/>
  <c r="AE25" i="3"/>
  <c r="AD6" i="12"/>
  <c r="AD8" i="12"/>
  <c r="AD11" i="12"/>
  <c r="AE7" i="12"/>
  <c r="AE39" i="3"/>
  <c r="AF65" i="1"/>
  <c r="AF69" i="1"/>
  <c r="AF66" i="1"/>
  <c r="AF70" i="1"/>
  <c r="AF67" i="1"/>
  <c r="AF71" i="1"/>
  <c r="AF77" i="1"/>
  <c r="AF9" i="3"/>
  <c r="AF14" i="3"/>
  <c r="AF15" i="3"/>
  <c r="AF16" i="3"/>
  <c r="AF17" i="3"/>
  <c r="AF19" i="3"/>
  <c r="AF20" i="3"/>
  <c r="AF21" i="3"/>
  <c r="AF23" i="3"/>
  <c r="AF25" i="3"/>
  <c r="AE6" i="12"/>
  <c r="AE8" i="12"/>
  <c r="AE11" i="12"/>
  <c r="AF7" i="12"/>
  <c r="AF39" i="3"/>
  <c r="AG65" i="1"/>
  <c r="AG69" i="1"/>
  <c r="AG66" i="1"/>
  <c r="AG70" i="1"/>
  <c r="AG67" i="1"/>
  <c r="AG71" i="1"/>
  <c r="AG77" i="1"/>
  <c r="AG9" i="3"/>
  <c r="AG14" i="3"/>
  <c r="AG15" i="3"/>
  <c r="AG16" i="3"/>
  <c r="AG17" i="3"/>
  <c r="AG19" i="3"/>
  <c r="AG20" i="3"/>
  <c r="AG21" i="3"/>
  <c r="AG23" i="3"/>
  <c r="AG25" i="3"/>
  <c r="AF6" i="12"/>
  <c r="AF8" i="12"/>
  <c r="AF11" i="12"/>
  <c r="AG7" i="12"/>
  <c r="AG39" i="3"/>
  <c r="AH65" i="1"/>
  <c r="AH69" i="1"/>
  <c r="AH66" i="1"/>
  <c r="AH70" i="1"/>
  <c r="AH67" i="1"/>
  <c r="AH71" i="1"/>
  <c r="AH77" i="1"/>
  <c r="AH9" i="3"/>
  <c r="AH14" i="3"/>
  <c r="AH15" i="3"/>
  <c r="AH16" i="3"/>
  <c r="AH17" i="3"/>
  <c r="AH19" i="3"/>
  <c r="AH20" i="3"/>
  <c r="AH21" i="3"/>
  <c r="AH23" i="3"/>
  <c r="AH25" i="3"/>
  <c r="AG6" i="12"/>
  <c r="AG8" i="12"/>
  <c r="AG11" i="12"/>
  <c r="AH7" i="12"/>
  <c r="AH39" i="3"/>
  <c r="AI65" i="1"/>
  <c r="AI69" i="1"/>
  <c r="AI66" i="1"/>
  <c r="AI70" i="1"/>
  <c r="AI67" i="1"/>
  <c r="AI71" i="1"/>
  <c r="AI77" i="1"/>
  <c r="AI9" i="3"/>
  <c r="AI14" i="3"/>
  <c r="AI15" i="3"/>
  <c r="AI16" i="3"/>
  <c r="AI17" i="3"/>
  <c r="AI19" i="3"/>
  <c r="AI20" i="3"/>
  <c r="AI21" i="3"/>
  <c r="AI23" i="3"/>
  <c r="AI25" i="3"/>
  <c r="AH6" i="12"/>
  <c r="AH8" i="12"/>
  <c r="AH11" i="12"/>
  <c r="AI7" i="12"/>
  <c r="AI39" i="3"/>
  <c r="AJ65" i="1"/>
  <c r="AJ69" i="1"/>
  <c r="AJ66" i="1"/>
  <c r="AJ70" i="1"/>
  <c r="AJ67" i="1"/>
  <c r="AJ71" i="1"/>
  <c r="AJ77" i="1"/>
  <c r="AJ9" i="3"/>
  <c r="AJ14" i="3"/>
  <c r="AJ15" i="3"/>
  <c r="AJ16" i="3"/>
  <c r="AJ17" i="3"/>
  <c r="AJ19" i="3"/>
  <c r="AJ20" i="3"/>
  <c r="AJ21" i="3"/>
  <c r="AJ23" i="3"/>
  <c r="AJ25" i="3"/>
  <c r="AI6" i="12"/>
  <c r="AI8" i="12"/>
  <c r="AI11" i="12"/>
  <c r="AJ7" i="12"/>
  <c r="AJ39" i="3"/>
  <c r="E13" i="11"/>
  <c r="E21" i="11"/>
  <c r="E14" i="11"/>
  <c r="E22" i="11"/>
  <c r="E15" i="11"/>
  <c r="E23" i="11"/>
  <c r="E16" i="11"/>
  <c r="E24" i="11"/>
  <c r="AK65" i="1"/>
  <c r="AK69" i="1"/>
  <c r="AK66" i="1"/>
  <c r="AK70" i="1"/>
  <c r="AK67" i="1"/>
  <c r="AK71" i="1"/>
  <c r="AK77" i="1"/>
  <c r="AK9" i="3"/>
  <c r="AK14" i="3"/>
  <c r="AK15" i="3"/>
  <c r="F7" i="3"/>
  <c r="AK16" i="3"/>
  <c r="F8" i="3"/>
  <c r="AK17" i="3"/>
  <c r="AK19" i="3"/>
  <c r="F11" i="3"/>
  <c r="AK20" i="3"/>
  <c r="F12" i="3"/>
  <c r="AK21" i="3"/>
  <c r="AK23" i="3"/>
  <c r="AK25" i="3"/>
  <c r="AJ6" i="12"/>
  <c r="AJ8" i="12"/>
  <c r="AJ11" i="12"/>
  <c r="AK7" i="12"/>
  <c r="AK39" i="3"/>
  <c r="AL65" i="1"/>
  <c r="AL69" i="1"/>
  <c r="AL66" i="1"/>
  <c r="AL70" i="1"/>
  <c r="AL67" i="1"/>
  <c r="AL71" i="1"/>
  <c r="AL77" i="1"/>
  <c r="AL9" i="3"/>
  <c r="AL14" i="3"/>
  <c r="AL15" i="3"/>
  <c r="AL16" i="3"/>
  <c r="AL17" i="3"/>
  <c r="AL19" i="3"/>
  <c r="AL20" i="3"/>
  <c r="AL21" i="3"/>
  <c r="AL23" i="3"/>
  <c r="AL25" i="3"/>
  <c r="AK6" i="12"/>
  <c r="AK8" i="12"/>
  <c r="AK11" i="12"/>
  <c r="AL7" i="12"/>
  <c r="AL39" i="3"/>
  <c r="AM65" i="1"/>
  <c r="AM69" i="1"/>
  <c r="AM66" i="1"/>
  <c r="AM70" i="1"/>
  <c r="AM67" i="1"/>
  <c r="AM71" i="1"/>
  <c r="AM77" i="1"/>
  <c r="AM9" i="3"/>
  <c r="AM14" i="3"/>
  <c r="AM15" i="3"/>
  <c r="AM16" i="3"/>
  <c r="AM17" i="3"/>
  <c r="AM19" i="3"/>
  <c r="AM20" i="3"/>
  <c r="AM21" i="3"/>
  <c r="AM23" i="3"/>
  <c r="AM25" i="3"/>
  <c r="AL6" i="12"/>
  <c r="AL8" i="12"/>
  <c r="AL11" i="12"/>
  <c r="AM7" i="12"/>
  <c r="AM39" i="3"/>
  <c r="AN65" i="1"/>
  <c r="AN69" i="1"/>
  <c r="AN66" i="1"/>
  <c r="AN67" i="1"/>
  <c r="AN70" i="1"/>
  <c r="AN71" i="1"/>
  <c r="AN77" i="1"/>
  <c r="AN9" i="3"/>
  <c r="AN14" i="3"/>
  <c r="AN15" i="3"/>
  <c r="AN16" i="3"/>
  <c r="AN17" i="3"/>
  <c r="AN19" i="3"/>
  <c r="AN20" i="3"/>
  <c r="AN21" i="3"/>
  <c r="AN23" i="3"/>
  <c r="AN25" i="3"/>
  <c r="AM6" i="12"/>
  <c r="AM8" i="12"/>
  <c r="AM11" i="12"/>
  <c r="AN7" i="12"/>
  <c r="AN39" i="3"/>
  <c r="AO65" i="1"/>
  <c r="AO69" i="1"/>
  <c r="AO66" i="1"/>
  <c r="AO67" i="1"/>
  <c r="AO70" i="1"/>
  <c r="AO71" i="1"/>
  <c r="AO77" i="1"/>
  <c r="AO9" i="3"/>
  <c r="AO14" i="3"/>
  <c r="AO15" i="3"/>
  <c r="AO16" i="3"/>
  <c r="AO17" i="3"/>
  <c r="AO19" i="3"/>
  <c r="AO20" i="3"/>
  <c r="AO21" i="3"/>
  <c r="AO23" i="3"/>
  <c r="AO25" i="3"/>
  <c r="AN6" i="12"/>
  <c r="AN8" i="12"/>
  <c r="AN11" i="12"/>
  <c r="AO7" i="12"/>
  <c r="AO39" i="3"/>
  <c r="AP65" i="1"/>
  <c r="AP69" i="1"/>
  <c r="AP66" i="1"/>
  <c r="AP67" i="1"/>
  <c r="AP70" i="1"/>
  <c r="AP71" i="1"/>
  <c r="AP77" i="1"/>
  <c r="AP9" i="3"/>
  <c r="AP14" i="3"/>
  <c r="AP15" i="3"/>
  <c r="AP16" i="3"/>
  <c r="AP17" i="3"/>
  <c r="AP19" i="3"/>
  <c r="AP20" i="3"/>
  <c r="AP21" i="3"/>
  <c r="AP23" i="3"/>
  <c r="AP25" i="3"/>
  <c r="AO6" i="12"/>
  <c r="AO8" i="12"/>
  <c r="AO11" i="12"/>
  <c r="AP7" i="12"/>
  <c r="AP39" i="3"/>
  <c r="AQ65" i="1"/>
  <c r="AQ69" i="1"/>
  <c r="AQ66" i="1"/>
  <c r="AQ67" i="1"/>
  <c r="AQ70" i="1"/>
  <c r="AQ71" i="1"/>
  <c r="AQ77" i="1"/>
  <c r="AQ9" i="3"/>
  <c r="AQ14" i="3"/>
  <c r="AQ15" i="3"/>
  <c r="AQ16" i="3"/>
  <c r="AQ17" i="3"/>
  <c r="AQ19" i="3"/>
  <c r="AQ20" i="3"/>
  <c r="AQ21" i="3"/>
  <c r="AQ23" i="3"/>
  <c r="AQ25" i="3"/>
  <c r="AP6" i="12"/>
  <c r="AP8" i="12"/>
  <c r="AP11" i="12"/>
  <c r="AQ7" i="12"/>
  <c r="AQ39" i="3"/>
  <c r="AR65" i="1"/>
  <c r="AR69" i="1"/>
  <c r="AR66" i="1"/>
  <c r="AR67" i="1"/>
  <c r="AR70" i="1"/>
  <c r="AR71" i="1"/>
  <c r="AR77" i="1"/>
  <c r="AR9" i="3"/>
  <c r="AR14" i="3"/>
  <c r="AR15" i="3"/>
  <c r="AR16" i="3"/>
  <c r="AR17" i="3"/>
  <c r="AR19" i="3"/>
  <c r="AR20" i="3"/>
  <c r="AR21" i="3"/>
  <c r="AR23" i="3"/>
  <c r="AR25" i="3"/>
  <c r="AQ6" i="12"/>
  <c r="AQ8" i="12"/>
  <c r="AQ11" i="12"/>
  <c r="AR7" i="12"/>
  <c r="AR39" i="3"/>
  <c r="AS65" i="1"/>
  <c r="AS69" i="1"/>
  <c r="AS66" i="1"/>
  <c r="AS67" i="1"/>
  <c r="AS70" i="1"/>
  <c r="AS71" i="1"/>
  <c r="AS77" i="1"/>
  <c r="AS9" i="3"/>
  <c r="AS14" i="3"/>
  <c r="AS15" i="3"/>
  <c r="AS16" i="3"/>
  <c r="AS17" i="3"/>
  <c r="AS19" i="3"/>
  <c r="AS20" i="3"/>
  <c r="AS21" i="3"/>
  <c r="AS23" i="3"/>
  <c r="AS25" i="3"/>
  <c r="AR6" i="12"/>
  <c r="AR8" i="12"/>
  <c r="AR11" i="12"/>
  <c r="AS7" i="12"/>
  <c r="AS39" i="3"/>
  <c r="AT65" i="1"/>
  <c r="AT69" i="1"/>
  <c r="AT66" i="1"/>
  <c r="AT67" i="1"/>
  <c r="AT70" i="1"/>
  <c r="AT71" i="1"/>
  <c r="AT77" i="1"/>
  <c r="AT9" i="3"/>
  <c r="AT14" i="3"/>
  <c r="AT15" i="3"/>
  <c r="AT16" i="3"/>
  <c r="AT17" i="3"/>
  <c r="AT19" i="3"/>
  <c r="AT20" i="3"/>
  <c r="AT21" i="3"/>
  <c r="AT23" i="3"/>
  <c r="AT25" i="3"/>
  <c r="AS6" i="12"/>
  <c r="AS8" i="12"/>
  <c r="AS11" i="12"/>
  <c r="AT7" i="12"/>
  <c r="AT39" i="3"/>
  <c r="AU65" i="1"/>
  <c r="AU69" i="1"/>
  <c r="AU66" i="1"/>
  <c r="AU67" i="1"/>
  <c r="AU70" i="1"/>
  <c r="AU71" i="1"/>
  <c r="AU77" i="1"/>
  <c r="AU9" i="3"/>
  <c r="AU14" i="3"/>
  <c r="AU15" i="3"/>
  <c r="AU16" i="3"/>
  <c r="AU17" i="3"/>
  <c r="AU19" i="3"/>
  <c r="AU20" i="3"/>
  <c r="AU21" i="3"/>
  <c r="AU23" i="3"/>
  <c r="AU25" i="3"/>
  <c r="AT6" i="12"/>
  <c r="AT8" i="12"/>
  <c r="AT11" i="12"/>
  <c r="AU7" i="12"/>
  <c r="AU39" i="3"/>
  <c r="AV65" i="1"/>
  <c r="AV69" i="1"/>
  <c r="AV66" i="1"/>
  <c r="AV67" i="1"/>
  <c r="AV70" i="1"/>
  <c r="AV71" i="1"/>
  <c r="AV77" i="1"/>
  <c r="AV9" i="3"/>
  <c r="AV14" i="3"/>
  <c r="AV15" i="3"/>
  <c r="AV16" i="3"/>
  <c r="AV17" i="3"/>
  <c r="AV19" i="3"/>
  <c r="AV20" i="3"/>
  <c r="AV21" i="3"/>
  <c r="AV23" i="3"/>
  <c r="AV25" i="3"/>
  <c r="AU6" i="12"/>
  <c r="AU8" i="12"/>
  <c r="AU11" i="12"/>
  <c r="AV7" i="12"/>
  <c r="AV39" i="3"/>
  <c r="F13" i="11"/>
  <c r="F21" i="11"/>
  <c r="F14" i="11"/>
  <c r="F22" i="11"/>
  <c r="F15" i="11"/>
  <c r="F23" i="11"/>
  <c r="F16" i="11"/>
  <c r="F24" i="11"/>
  <c r="AW65" i="1"/>
  <c r="AW69" i="1"/>
  <c r="AW66" i="1"/>
  <c r="AW67" i="1"/>
  <c r="AW70" i="1"/>
  <c r="AW71" i="1"/>
  <c r="AW77" i="1"/>
  <c r="AW9" i="3"/>
  <c r="AW14" i="3"/>
  <c r="AW15" i="3"/>
  <c r="G7" i="3"/>
  <c r="AW16" i="3"/>
  <c r="G8" i="3"/>
  <c r="AW17" i="3"/>
  <c r="AW19" i="3"/>
  <c r="G11" i="3"/>
  <c r="AW20" i="3"/>
  <c r="G12" i="3"/>
  <c r="AW21" i="3"/>
  <c r="AW23" i="3"/>
  <c r="AW25" i="3"/>
  <c r="AV6" i="12"/>
  <c r="AV8" i="12"/>
  <c r="AV11" i="12"/>
  <c r="AW7" i="12"/>
  <c r="AW39" i="3"/>
  <c r="AX65" i="1"/>
  <c r="AX69" i="1"/>
  <c r="AX66" i="1"/>
  <c r="AX67" i="1"/>
  <c r="AX70" i="1"/>
  <c r="AX71" i="1"/>
  <c r="AX77" i="1"/>
  <c r="AX9" i="3"/>
  <c r="AX14" i="3"/>
  <c r="AX15" i="3"/>
  <c r="AX16" i="3"/>
  <c r="AX17" i="3"/>
  <c r="AX19" i="3"/>
  <c r="AX20" i="3"/>
  <c r="AX21" i="3"/>
  <c r="AX23" i="3"/>
  <c r="AX25" i="3"/>
  <c r="AW6" i="12"/>
  <c r="AW8" i="12"/>
  <c r="AW11" i="12"/>
  <c r="AX7" i="12"/>
  <c r="AX39" i="3"/>
  <c r="AY65" i="1"/>
  <c r="AY69" i="1"/>
  <c r="AY66" i="1"/>
  <c r="AY67" i="1"/>
  <c r="AY70" i="1"/>
  <c r="AY71" i="1"/>
  <c r="AY77" i="1"/>
  <c r="AY9" i="3"/>
  <c r="AY14" i="3"/>
  <c r="AY15" i="3"/>
  <c r="AY16" i="3"/>
  <c r="AY17" i="3"/>
  <c r="AY19" i="3"/>
  <c r="AY20" i="3"/>
  <c r="AY21" i="3"/>
  <c r="AY23" i="3"/>
  <c r="AY25" i="3"/>
  <c r="AX6" i="12"/>
  <c r="AX8" i="12"/>
  <c r="AX11" i="12"/>
  <c r="AY7" i="12"/>
  <c r="AY39" i="3"/>
  <c r="AZ65" i="1"/>
  <c r="AZ69" i="1"/>
  <c r="AZ66" i="1"/>
  <c r="AZ67" i="1"/>
  <c r="AZ70" i="1"/>
  <c r="AZ71" i="1"/>
  <c r="AZ77" i="1"/>
  <c r="AZ9" i="3"/>
  <c r="AZ14" i="3"/>
  <c r="AZ15" i="3"/>
  <c r="AZ16" i="3"/>
  <c r="AZ17" i="3"/>
  <c r="AZ19" i="3"/>
  <c r="AZ20" i="3"/>
  <c r="AZ21" i="3"/>
  <c r="AZ23" i="3"/>
  <c r="AZ25" i="3"/>
  <c r="AY6" i="12"/>
  <c r="AY8" i="12"/>
  <c r="AY11" i="12"/>
  <c r="AZ7" i="12"/>
  <c r="AZ39" i="3"/>
  <c r="BA65" i="1"/>
  <c r="BA69" i="1"/>
  <c r="BA66" i="1"/>
  <c r="BA67" i="1"/>
  <c r="BA70" i="1"/>
  <c r="BA71" i="1"/>
  <c r="BA77" i="1"/>
  <c r="BA9" i="3"/>
  <c r="BA14" i="3"/>
  <c r="BA15" i="3"/>
  <c r="BA16" i="3"/>
  <c r="BA17" i="3"/>
  <c r="BA19" i="3"/>
  <c r="BA20" i="3"/>
  <c r="BA21" i="3"/>
  <c r="BA23" i="3"/>
  <c r="BA25" i="3"/>
  <c r="AZ6" i="12"/>
  <c r="AZ8" i="12"/>
  <c r="AZ11" i="12"/>
  <c r="BA7" i="12"/>
  <c r="BA39" i="3"/>
  <c r="BB65" i="1"/>
  <c r="BB69" i="1"/>
  <c r="BB66" i="1"/>
  <c r="BB67" i="1"/>
  <c r="BB70" i="1"/>
  <c r="BB71" i="1"/>
  <c r="BB77" i="1"/>
  <c r="BB9" i="3"/>
  <c r="BB14" i="3"/>
  <c r="BB15" i="3"/>
  <c r="BB16" i="3"/>
  <c r="BB17" i="3"/>
  <c r="BB19" i="3"/>
  <c r="BB20" i="3"/>
  <c r="BB21" i="3"/>
  <c r="BB23" i="3"/>
  <c r="BB25" i="3"/>
  <c r="BA6" i="12"/>
  <c r="BA8" i="12"/>
  <c r="BA11" i="12"/>
  <c r="BB7" i="12"/>
  <c r="BB39" i="3"/>
  <c r="BC65" i="1"/>
  <c r="BC69" i="1"/>
  <c r="BC66" i="1"/>
  <c r="BC67" i="1"/>
  <c r="BC70" i="1"/>
  <c r="BC71" i="1"/>
  <c r="BC77" i="1"/>
  <c r="BC9" i="3"/>
  <c r="BC14" i="3"/>
  <c r="BC15" i="3"/>
  <c r="BC16" i="3"/>
  <c r="BC17" i="3"/>
  <c r="BC19" i="3"/>
  <c r="BC20" i="3"/>
  <c r="BC21" i="3"/>
  <c r="BC23" i="3"/>
  <c r="BC25" i="3"/>
  <c r="BB6" i="12"/>
  <c r="BB8" i="12"/>
  <c r="BB11" i="12"/>
  <c r="BC7" i="12"/>
  <c r="BC39" i="3"/>
  <c r="BD65" i="1"/>
  <c r="BD69" i="1"/>
  <c r="BD66" i="1"/>
  <c r="BD67" i="1"/>
  <c r="BD70" i="1"/>
  <c r="BD71" i="1"/>
  <c r="BD77" i="1"/>
  <c r="BD9" i="3"/>
  <c r="BD14" i="3"/>
  <c r="BD15" i="3"/>
  <c r="BD16" i="3"/>
  <c r="BD17" i="3"/>
  <c r="BD19" i="3"/>
  <c r="BD20" i="3"/>
  <c r="BD21" i="3"/>
  <c r="BD23" i="3"/>
  <c r="BD25" i="3"/>
  <c r="BC6" i="12"/>
  <c r="BC8" i="12"/>
  <c r="BC11" i="12"/>
  <c r="BD7" i="12"/>
  <c r="BD39" i="3"/>
  <c r="BE65" i="1"/>
  <c r="BE69" i="1"/>
  <c r="BE66" i="1"/>
  <c r="BE67" i="1"/>
  <c r="BE70" i="1"/>
  <c r="BE71" i="1"/>
  <c r="BE77" i="1"/>
  <c r="BE9" i="3"/>
  <c r="BE14" i="3"/>
  <c r="BE15" i="3"/>
  <c r="BE16" i="3"/>
  <c r="BE17" i="3"/>
  <c r="BE19" i="3"/>
  <c r="BE20" i="3"/>
  <c r="BE21" i="3"/>
  <c r="BE23" i="3"/>
  <c r="BE25" i="3"/>
  <c r="BD6" i="12"/>
  <c r="BD8" i="12"/>
  <c r="BD11" i="12"/>
  <c r="BE7" i="12"/>
  <c r="BE39" i="3"/>
  <c r="BF65" i="1"/>
  <c r="BF69" i="1"/>
  <c r="BF66" i="1"/>
  <c r="BF67" i="1"/>
  <c r="BF70" i="1"/>
  <c r="BF71" i="1"/>
  <c r="BF77" i="1"/>
  <c r="BF9" i="3"/>
  <c r="BF14" i="3"/>
  <c r="BF15" i="3"/>
  <c r="BF16" i="3"/>
  <c r="BF17" i="3"/>
  <c r="BF19" i="3"/>
  <c r="BF20" i="3"/>
  <c r="BF21" i="3"/>
  <c r="BF23" i="3"/>
  <c r="BF25" i="3"/>
  <c r="BE6" i="12"/>
  <c r="BE8" i="12"/>
  <c r="BE11" i="12"/>
  <c r="BF7" i="12"/>
  <c r="BF39" i="3"/>
  <c r="BG65" i="1"/>
  <c r="BG69" i="1"/>
  <c r="BG66" i="1"/>
  <c r="BG67" i="1"/>
  <c r="BG70" i="1"/>
  <c r="BG71" i="1"/>
  <c r="BG77" i="1"/>
  <c r="BG9" i="3"/>
  <c r="BG14" i="3"/>
  <c r="BG15" i="3"/>
  <c r="BG16" i="3"/>
  <c r="BG17" i="3"/>
  <c r="BG19" i="3"/>
  <c r="BG20" i="3"/>
  <c r="BG21" i="3"/>
  <c r="BG23" i="3"/>
  <c r="BG25" i="3"/>
  <c r="BF6" i="12"/>
  <c r="BF8" i="12"/>
  <c r="BF11" i="12"/>
  <c r="BG7" i="12"/>
  <c r="BG39" i="3"/>
  <c r="BH65" i="1"/>
  <c r="BH69" i="1"/>
  <c r="BH66" i="1"/>
  <c r="BH67" i="1"/>
  <c r="BH70" i="1"/>
  <c r="BH71" i="1"/>
  <c r="BH77" i="1"/>
  <c r="BH9" i="3"/>
  <c r="BH14" i="3"/>
  <c r="BH15" i="3"/>
  <c r="BH16" i="3"/>
  <c r="BH17" i="3"/>
  <c r="BH19" i="3"/>
  <c r="BH20" i="3"/>
  <c r="BH21" i="3"/>
  <c r="BH23" i="3"/>
  <c r="BH25" i="3"/>
  <c r="BG6" i="12"/>
  <c r="BG8" i="12"/>
  <c r="BG11" i="12"/>
  <c r="BH7" i="12"/>
  <c r="BH39" i="3"/>
  <c r="G13" i="11"/>
  <c r="G21" i="11"/>
  <c r="G14" i="11"/>
  <c r="G22" i="11"/>
  <c r="G15" i="11"/>
  <c r="G23" i="11"/>
  <c r="G16" i="11"/>
  <c r="G24" i="11"/>
  <c r="BI65" i="1"/>
  <c r="BI69" i="1"/>
  <c r="BI66" i="1"/>
  <c r="BI67" i="1"/>
  <c r="BI70" i="1"/>
  <c r="BI71" i="1"/>
  <c r="BI77" i="1"/>
  <c r="BI9" i="3"/>
  <c r="H14" i="3"/>
  <c r="BI14" i="3"/>
  <c r="BI15" i="3"/>
  <c r="H7" i="3"/>
  <c r="BI16" i="3"/>
  <c r="H8" i="3"/>
  <c r="BI17" i="3"/>
  <c r="BI19" i="3"/>
  <c r="H11" i="3"/>
  <c r="BI20" i="3"/>
  <c r="H12" i="3"/>
  <c r="BI21" i="3"/>
  <c r="BI23" i="3"/>
  <c r="BI25" i="3"/>
  <c r="BH6" i="12"/>
  <c r="BH8" i="12"/>
  <c r="BH11" i="12"/>
  <c r="BI7" i="12"/>
  <c r="BI39" i="3"/>
  <c r="BJ65" i="1"/>
  <c r="BJ69" i="1"/>
  <c r="BJ66" i="1"/>
  <c r="BJ67" i="1"/>
  <c r="BJ70" i="1"/>
  <c r="BJ71" i="1"/>
  <c r="BJ77" i="1"/>
  <c r="BJ9" i="3"/>
  <c r="BJ14" i="3"/>
  <c r="BJ15" i="3"/>
  <c r="BJ16" i="3"/>
  <c r="BJ17" i="3"/>
  <c r="BJ19" i="3"/>
  <c r="BJ20" i="3"/>
  <c r="BJ21" i="3"/>
  <c r="BJ23" i="3"/>
  <c r="BJ25" i="3"/>
  <c r="BI6" i="12"/>
  <c r="BI8" i="12"/>
  <c r="BI11" i="12"/>
  <c r="BJ7" i="12"/>
  <c r="BJ39" i="3"/>
  <c r="BK65" i="1"/>
  <c r="BK69" i="1"/>
  <c r="BK66" i="1"/>
  <c r="BK67" i="1"/>
  <c r="BK70" i="1"/>
  <c r="BK71" i="1"/>
  <c r="BK77" i="1"/>
  <c r="BK9" i="3"/>
  <c r="BK14" i="3"/>
  <c r="BK15" i="3"/>
  <c r="BK16" i="3"/>
  <c r="BK17" i="3"/>
  <c r="BK19" i="3"/>
  <c r="BK20" i="3"/>
  <c r="BK21" i="3"/>
  <c r="BK23" i="3"/>
  <c r="BK25" i="3"/>
  <c r="BJ6" i="12"/>
  <c r="BJ8" i="12"/>
  <c r="BJ11" i="12"/>
  <c r="BK7" i="12"/>
  <c r="BK39" i="3"/>
  <c r="BL65" i="1"/>
  <c r="BL69" i="1"/>
  <c r="BL66" i="1"/>
  <c r="BL67" i="1"/>
  <c r="BL70" i="1"/>
  <c r="BL71" i="1"/>
  <c r="BL77" i="1"/>
  <c r="BL9" i="3"/>
  <c r="BL14" i="3"/>
  <c r="BL15" i="3"/>
  <c r="BL16" i="3"/>
  <c r="BL17" i="3"/>
  <c r="BL19" i="3"/>
  <c r="BL20" i="3"/>
  <c r="BL21" i="3"/>
  <c r="BL23" i="3"/>
  <c r="BL25" i="3"/>
  <c r="BK6" i="12"/>
  <c r="BK8" i="12"/>
  <c r="BK11" i="12"/>
  <c r="BL7" i="12"/>
  <c r="BL39" i="3"/>
  <c r="BM65" i="1"/>
  <c r="BM69" i="1"/>
  <c r="BM66" i="1"/>
  <c r="BM67" i="1"/>
  <c r="BM70" i="1"/>
  <c r="BM71" i="1"/>
  <c r="BM77" i="1"/>
  <c r="BM9" i="3"/>
  <c r="BM14" i="3"/>
  <c r="BM15" i="3"/>
  <c r="BM16" i="3"/>
  <c r="BM17" i="3"/>
  <c r="BM19" i="3"/>
  <c r="BM20" i="3"/>
  <c r="BM21" i="3"/>
  <c r="BM23" i="3"/>
  <c r="BM25" i="3"/>
  <c r="BL6" i="12"/>
  <c r="BL8" i="12"/>
  <c r="BL11" i="12"/>
  <c r="BM7" i="12"/>
  <c r="BM39" i="3"/>
  <c r="BN65" i="1"/>
  <c r="BN69" i="1"/>
  <c r="BN66" i="1"/>
  <c r="BN67" i="1"/>
  <c r="BN70" i="1"/>
  <c r="BN71" i="1"/>
  <c r="BN77" i="1"/>
  <c r="BN9" i="3"/>
  <c r="BN14" i="3"/>
  <c r="BN15" i="3"/>
  <c r="BN16" i="3"/>
  <c r="BN17" i="3"/>
  <c r="BN19" i="3"/>
  <c r="BN20" i="3"/>
  <c r="BN21" i="3"/>
  <c r="BN23" i="3"/>
  <c r="BN25" i="3"/>
  <c r="BM6" i="12"/>
  <c r="BM8" i="12"/>
  <c r="BM11" i="12"/>
  <c r="BN7" i="12"/>
  <c r="BN39" i="3"/>
  <c r="BO65" i="1"/>
  <c r="BO69" i="1"/>
  <c r="BO66" i="1"/>
  <c r="BO67" i="1"/>
  <c r="BO70" i="1"/>
  <c r="BO71" i="1"/>
  <c r="BO77" i="1"/>
  <c r="BO9" i="3"/>
  <c r="BO14" i="3"/>
  <c r="BO15" i="3"/>
  <c r="BO16" i="3"/>
  <c r="BO17" i="3"/>
  <c r="BO19" i="3"/>
  <c r="BO20" i="3"/>
  <c r="BO21" i="3"/>
  <c r="BO23" i="3"/>
  <c r="BO25" i="3"/>
  <c r="BN6" i="12"/>
  <c r="BN8" i="12"/>
  <c r="BN11" i="12"/>
  <c r="BO7" i="12"/>
  <c r="BO39" i="3"/>
  <c r="BP65" i="1"/>
  <c r="BP69" i="1"/>
  <c r="BP66" i="1"/>
  <c r="BP67" i="1"/>
  <c r="BP70" i="1"/>
  <c r="BP71" i="1"/>
  <c r="BP77" i="1"/>
  <c r="BP9" i="3"/>
  <c r="BP14" i="3"/>
  <c r="BP15" i="3"/>
  <c r="BP16" i="3"/>
  <c r="BP17" i="3"/>
  <c r="BP19" i="3"/>
  <c r="BP20" i="3"/>
  <c r="BP21" i="3"/>
  <c r="BP23" i="3"/>
  <c r="BP25" i="3"/>
  <c r="BO6" i="12"/>
  <c r="BO8" i="12"/>
  <c r="BO11" i="12"/>
  <c r="BP7" i="12"/>
  <c r="BP39" i="3"/>
  <c r="BQ65" i="1"/>
  <c r="BQ69" i="1"/>
  <c r="BQ66" i="1"/>
  <c r="BQ67" i="1"/>
  <c r="BQ70" i="1"/>
  <c r="BQ71" i="1"/>
  <c r="BQ77" i="1"/>
  <c r="BQ9" i="3"/>
  <c r="BQ14" i="3"/>
  <c r="BQ15" i="3"/>
  <c r="BQ16" i="3"/>
  <c r="BQ17" i="3"/>
  <c r="BQ19" i="3"/>
  <c r="BQ20" i="3"/>
  <c r="BQ21" i="3"/>
  <c r="BQ23" i="3"/>
  <c r="BQ25" i="3"/>
  <c r="BP6" i="12"/>
  <c r="BP8" i="12"/>
  <c r="BP11" i="12"/>
  <c r="BQ7" i="12"/>
  <c r="BQ39" i="3"/>
  <c r="BR65" i="1"/>
  <c r="BR69" i="1"/>
  <c r="BR66" i="1"/>
  <c r="BR67" i="1"/>
  <c r="BR70" i="1"/>
  <c r="BR71" i="1"/>
  <c r="BR77" i="1"/>
  <c r="BR9" i="3"/>
  <c r="BR14" i="3"/>
  <c r="BR15" i="3"/>
  <c r="BR16" i="3"/>
  <c r="BR17" i="3"/>
  <c r="BR19" i="3"/>
  <c r="BR20" i="3"/>
  <c r="BR21" i="3"/>
  <c r="BR23" i="3"/>
  <c r="BR25" i="3"/>
  <c r="BQ6" i="12"/>
  <c r="BQ8" i="12"/>
  <c r="BQ11" i="12"/>
  <c r="BR7" i="12"/>
  <c r="BR39" i="3"/>
  <c r="BS65" i="1"/>
  <c r="BS69" i="1"/>
  <c r="BS66" i="1"/>
  <c r="BS67" i="1"/>
  <c r="BS70" i="1"/>
  <c r="BS71" i="1"/>
  <c r="BS77" i="1"/>
  <c r="BS9" i="3"/>
  <c r="BS14" i="3"/>
  <c r="BS15" i="3"/>
  <c r="BS16" i="3"/>
  <c r="BS17" i="3"/>
  <c r="BS19" i="3"/>
  <c r="BS20" i="3"/>
  <c r="BS21" i="3"/>
  <c r="BS23" i="3"/>
  <c r="BS25" i="3"/>
  <c r="BR6" i="12"/>
  <c r="BR8" i="12"/>
  <c r="BR11" i="12"/>
  <c r="BS7" i="12"/>
  <c r="BS39" i="3"/>
  <c r="BT65" i="1"/>
  <c r="BT69" i="1"/>
  <c r="BT66" i="1"/>
  <c r="BT67" i="1"/>
  <c r="BT70" i="1"/>
  <c r="BT71" i="1"/>
  <c r="BT77" i="1"/>
  <c r="BT9" i="3"/>
  <c r="BT14" i="3"/>
  <c r="BT15" i="3"/>
  <c r="BT16" i="3"/>
  <c r="BT17" i="3"/>
  <c r="BT19" i="3"/>
  <c r="BT20" i="3"/>
  <c r="BT21" i="3"/>
  <c r="BT23" i="3"/>
  <c r="BT25" i="3"/>
  <c r="BS6" i="12"/>
  <c r="BS8" i="12"/>
  <c r="BS11" i="12"/>
  <c r="BT7" i="12"/>
  <c r="BT39" i="3"/>
  <c r="U65" i="1"/>
  <c r="U69" i="1"/>
  <c r="U66" i="1"/>
  <c r="U67" i="1"/>
  <c r="U70" i="1"/>
  <c r="U71" i="1"/>
  <c r="U77" i="1"/>
  <c r="U9" i="3"/>
  <c r="U14" i="3"/>
  <c r="U15" i="3"/>
  <c r="U16" i="3"/>
  <c r="U17" i="3"/>
  <c r="U19" i="3"/>
  <c r="U20" i="3"/>
  <c r="U21" i="3"/>
  <c r="U23" i="3"/>
  <c r="U25" i="3"/>
  <c r="U4" i="11"/>
  <c r="U5" i="11"/>
  <c r="U6" i="11"/>
  <c r="U7" i="11"/>
  <c r="U39" i="3"/>
  <c r="V65" i="1"/>
  <c r="V69" i="1"/>
  <c r="V66" i="1"/>
  <c r="V67" i="1"/>
  <c r="V70" i="1"/>
  <c r="V71" i="1"/>
  <c r="V77" i="1"/>
  <c r="V9" i="3"/>
  <c r="V14" i="3"/>
  <c r="V15" i="3"/>
  <c r="V16" i="3"/>
  <c r="V17" i="3"/>
  <c r="V19" i="3"/>
  <c r="V20" i="3"/>
  <c r="V21" i="3"/>
  <c r="V23" i="3"/>
  <c r="V25" i="3"/>
  <c r="V4" i="11"/>
  <c r="V5" i="11"/>
  <c r="V6" i="11"/>
  <c r="V7" i="11"/>
  <c r="V39" i="3"/>
  <c r="W65" i="1"/>
  <c r="W69" i="1"/>
  <c r="W66" i="1"/>
  <c r="W67" i="1"/>
  <c r="W70" i="1"/>
  <c r="W71" i="1"/>
  <c r="W77" i="1"/>
  <c r="W9" i="3"/>
  <c r="W14" i="3"/>
  <c r="W15" i="3"/>
  <c r="W16" i="3"/>
  <c r="W17" i="3"/>
  <c r="W19" i="3"/>
  <c r="W20" i="3"/>
  <c r="W21" i="3"/>
  <c r="W23" i="3"/>
  <c r="W25" i="3"/>
  <c r="W4" i="11"/>
  <c r="W5" i="11"/>
  <c r="W6" i="11"/>
  <c r="W7" i="11"/>
  <c r="W39" i="3"/>
  <c r="X65" i="1"/>
  <c r="X69" i="1"/>
  <c r="X66" i="1"/>
  <c r="X67" i="1"/>
  <c r="X70" i="1"/>
  <c r="X71" i="1"/>
  <c r="X77" i="1"/>
  <c r="X9" i="3"/>
  <c r="X14" i="3"/>
  <c r="X15" i="3"/>
  <c r="X16" i="3"/>
  <c r="X17" i="3"/>
  <c r="X19" i="3"/>
  <c r="X20" i="3"/>
  <c r="X21" i="3"/>
  <c r="X23" i="3"/>
  <c r="X25" i="3"/>
  <c r="X4" i="11"/>
  <c r="X5" i="11"/>
  <c r="X6" i="11"/>
  <c r="X7" i="11"/>
  <c r="X39" i="3"/>
  <c r="U20" i="11"/>
  <c r="V20" i="11"/>
  <c r="W20" i="11"/>
  <c r="X20" i="11"/>
  <c r="D39" i="11"/>
  <c r="Y20" i="11"/>
  <c r="Z20" i="11"/>
  <c r="AA20" i="11"/>
  <c r="AB20" i="11"/>
  <c r="AC20" i="11"/>
  <c r="AD20" i="11"/>
  <c r="AE20" i="11"/>
  <c r="AF20" i="11"/>
  <c r="AG20" i="11"/>
  <c r="AH20" i="11"/>
  <c r="AI20" i="11"/>
  <c r="AJ20" i="11"/>
  <c r="E39" i="11"/>
  <c r="AK20" i="11"/>
  <c r="AL20" i="11"/>
  <c r="AM20" i="11"/>
  <c r="AN20" i="11"/>
  <c r="AO20" i="11"/>
  <c r="AP20" i="11"/>
  <c r="AQ20" i="11"/>
  <c r="AR20" i="11"/>
  <c r="AS20" i="11"/>
  <c r="AT20" i="11"/>
  <c r="AU20" i="11"/>
  <c r="AV20" i="11"/>
  <c r="F39" i="11"/>
  <c r="AW20" i="11"/>
  <c r="AX20" i="11"/>
  <c r="AY20" i="11"/>
  <c r="AZ20" i="11"/>
  <c r="BA20" i="11"/>
  <c r="BB20" i="11"/>
  <c r="BC20" i="11"/>
  <c r="BD20" i="11"/>
  <c r="BE20" i="11"/>
  <c r="BF20" i="11"/>
  <c r="BG20" i="11"/>
  <c r="BH20" i="11"/>
  <c r="G39" i="11"/>
  <c r="BI20" i="11"/>
  <c r="BJ20" i="11"/>
  <c r="BK20" i="11"/>
  <c r="BL20" i="11"/>
  <c r="BM20" i="11"/>
  <c r="BN20" i="11"/>
  <c r="BO20" i="11"/>
  <c r="BP20" i="11"/>
  <c r="BQ20" i="11"/>
  <c r="BR20" i="11"/>
  <c r="BS20" i="11"/>
  <c r="BT20" i="11"/>
  <c r="BT6" i="12"/>
  <c r="N66" i="3"/>
  <c r="N68" i="3"/>
  <c r="N71" i="3"/>
  <c r="O66" i="3"/>
  <c r="O68" i="3"/>
  <c r="O71" i="3"/>
  <c r="P66" i="3"/>
  <c r="P68" i="3"/>
  <c r="P71" i="3"/>
  <c r="Q66" i="3"/>
  <c r="Q68" i="3"/>
  <c r="Q71" i="3"/>
  <c r="R66" i="3"/>
  <c r="R68" i="3"/>
  <c r="R71" i="3"/>
  <c r="S66" i="3"/>
  <c r="S68" i="3"/>
  <c r="S71" i="3"/>
  <c r="T66" i="3"/>
  <c r="T68" i="3"/>
  <c r="T71" i="3"/>
  <c r="U56" i="3"/>
  <c r="U59" i="3"/>
  <c r="U53" i="3"/>
  <c r="U79" i="1"/>
  <c r="U81" i="1"/>
  <c r="U83" i="1"/>
  <c r="U85" i="1"/>
  <c r="U87" i="1"/>
  <c r="U54" i="3"/>
  <c r="U55" i="3"/>
  <c r="V56" i="3"/>
  <c r="V59" i="3"/>
  <c r="V79" i="1"/>
  <c r="V81" i="1"/>
  <c r="V83" i="1"/>
  <c r="V85" i="1"/>
  <c r="V87" i="1"/>
  <c r="V54" i="3"/>
  <c r="V55" i="3"/>
  <c r="W53" i="3"/>
  <c r="W56" i="3"/>
  <c r="W59" i="3"/>
  <c r="W79" i="1"/>
  <c r="W81" i="1"/>
  <c r="W83" i="1"/>
  <c r="W85" i="1"/>
  <c r="W87" i="1"/>
  <c r="W54" i="3"/>
  <c r="W55" i="3"/>
  <c r="X56" i="3"/>
  <c r="X59" i="3"/>
  <c r="X53" i="3"/>
  <c r="X79" i="1"/>
  <c r="X81" i="1"/>
  <c r="X83" i="1"/>
  <c r="X85" i="1"/>
  <c r="X87" i="1"/>
  <c r="X54" i="3"/>
  <c r="X55" i="3"/>
  <c r="Y56" i="3"/>
  <c r="Y59" i="3"/>
  <c r="Y53" i="3"/>
  <c r="Y79" i="1"/>
  <c r="Y81" i="1"/>
  <c r="Y83" i="1"/>
  <c r="Y85" i="1"/>
  <c r="Y87" i="1"/>
  <c r="Y54" i="3"/>
  <c r="Y55" i="3"/>
  <c r="Z56" i="3"/>
  <c r="Z59" i="3"/>
  <c r="Z53" i="3"/>
  <c r="Z79" i="1"/>
  <c r="Z81" i="1"/>
  <c r="Z83" i="1"/>
  <c r="Z85" i="1"/>
  <c r="Z87" i="1"/>
  <c r="Z54" i="3"/>
  <c r="Z55" i="3"/>
  <c r="AA56" i="3"/>
  <c r="AA59" i="3"/>
  <c r="AA53" i="3"/>
  <c r="AA79" i="1"/>
  <c r="AA81" i="1"/>
  <c r="AA83" i="1"/>
  <c r="AA85" i="1"/>
  <c r="AA87" i="1"/>
  <c r="AA54" i="3"/>
  <c r="AA55" i="3"/>
  <c r="AB56" i="3"/>
  <c r="AB59" i="3"/>
  <c r="AB53" i="3"/>
  <c r="AB79" i="1"/>
  <c r="AB81" i="1"/>
  <c r="AB83" i="1"/>
  <c r="AB85" i="1"/>
  <c r="AB87" i="1"/>
  <c r="AB54" i="3"/>
  <c r="AB55" i="3"/>
  <c r="AC56" i="3"/>
  <c r="AC59" i="3"/>
  <c r="AC53" i="3"/>
  <c r="AC79" i="1"/>
  <c r="AC81" i="1"/>
  <c r="AC83" i="1"/>
  <c r="AC85" i="1"/>
  <c r="AC87" i="1"/>
  <c r="AC54" i="3"/>
  <c r="AC55" i="3"/>
  <c r="AD56" i="3"/>
  <c r="AD59" i="3"/>
  <c r="AD53" i="3"/>
  <c r="AD79" i="1"/>
  <c r="AD81" i="1"/>
  <c r="AD83" i="1"/>
  <c r="AD85" i="1"/>
  <c r="AD87" i="1"/>
  <c r="AD54" i="3"/>
  <c r="AD55" i="3"/>
  <c r="U66" i="3"/>
  <c r="U68" i="3"/>
  <c r="U71" i="3"/>
  <c r="V66" i="3"/>
  <c r="V71" i="3"/>
  <c r="W68" i="3"/>
  <c r="W66" i="3"/>
  <c r="W71" i="3"/>
  <c r="X66" i="3"/>
  <c r="X68" i="3"/>
  <c r="X71" i="3"/>
  <c r="Y66" i="3"/>
  <c r="Y68" i="3"/>
  <c r="Y71" i="3"/>
  <c r="Z66" i="3"/>
  <c r="Z68" i="3"/>
  <c r="Z71" i="3"/>
  <c r="AA66" i="3"/>
  <c r="AA68" i="3"/>
  <c r="AA71" i="3"/>
  <c r="AB66" i="3"/>
  <c r="AB68" i="3"/>
  <c r="AB71" i="3"/>
  <c r="AC66" i="3"/>
  <c r="AC68" i="3"/>
  <c r="AC71" i="3"/>
  <c r="AD66" i="3"/>
  <c r="AD68" i="3"/>
  <c r="AD71" i="3"/>
  <c r="E28" i="14"/>
  <c r="F28" i="14"/>
  <c r="G28" i="14"/>
  <c r="H28" i="14"/>
  <c r="E83" i="14"/>
  <c r="E29" i="14"/>
  <c r="F29" i="14"/>
  <c r="G29" i="14"/>
  <c r="H29" i="14"/>
  <c r="E84" i="14"/>
  <c r="F30" i="14"/>
  <c r="G30" i="14"/>
  <c r="H30" i="14"/>
  <c r="E31" i="14"/>
  <c r="F31" i="14"/>
  <c r="G31" i="14"/>
  <c r="H31" i="14"/>
  <c r="E86" i="14"/>
  <c r="E32" i="14"/>
  <c r="F32" i="14"/>
  <c r="G32" i="14"/>
  <c r="H32" i="14"/>
  <c r="E87" i="14"/>
  <c r="E34" i="14"/>
  <c r="F34" i="14"/>
  <c r="G34" i="14"/>
  <c r="H34" i="14"/>
  <c r="E89" i="14"/>
  <c r="E35" i="14"/>
  <c r="F35" i="14"/>
  <c r="G35" i="14"/>
  <c r="H35" i="14"/>
  <c r="E90" i="14"/>
  <c r="E30" i="14"/>
  <c r="E85" i="14"/>
  <c r="I28" i="14"/>
  <c r="J28" i="14"/>
  <c r="AE53" i="3"/>
  <c r="AF53" i="3"/>
  <c r="AG53" i="3"/>
  <c r="K28" i="14"/>
  <c r="AH53" i="3"/>
  <c r="AI53" i="3"/>
  <c r="AJ53" i="3"/>
  <c r="L28" i="14"/>
  <c r="F83" i="14"/>
  <c r="I29" i="14"/>
  <c r="J29" i="14"/>
  <c r="AE79" i="1"/>
  <c r="AE81" i="1"/>
  <c r="AE83" i="1"/>
  <c r="AE85" i="1"/>
  <c r="AE87" i="1"/>
  <c r="AE54" i="3"/>
  <c r="AF79" i="1"/>
  <c r="AF81" i="1"/>
  <c r="AF83" i="1"/>
  <c r="AF85" i="1"/>
  <c r="AF87" i="1"/>
  <c r="AF54" i="3"/>
  <c r="AG79" i="1"/>
  <c r="AG81" i="1"/>
  <c r="AG83" i="1"/>
  <c r="AG85" i="1"/>
  <c r="AG87" i="1"/>
  <c r="AG54" i="3"/>
  <c r="K29" i="14"/>
  <c r="AH79" i="1"/>
  <c r="AH81" i="1"/>
  <c r="AH83" i="1"/>
  <c r="AH85" i="1"/>
  <c r="AH87" i="1"/>
  <c r="AH54" i="3"/>
  <c r="AI79" i="1"/>
  <c r="AI81" i="1"/>
  <c r="AI83" i="1"/>
  <c r="AI85" i="1"/>
  <c r="AI87" i="1"/>
  <c r="AI54" i="3"/>
  <c r="AJ79" i="1"/>
  <c r="AJ81" i="1"/>
  <c r="AJ83" i="1"/>
  <c r="AJ85" i="1"/>
  <c r="AJ87" i="1"/>
  <c r="AJ54" i="3"/>
  <c r="L29" i="14"/>
  <c r="F84" i="14"/>
  <c r="I30" i="14"/>
  <c r="J30" i="14"/>
  <c r="AE55" i="3"/>
  <c r="AF55" i="3"/>
  <c r="AG55" i="3"/>
  <c r="K30" i="14"/>
  <c r="AH55" i="3"/>
  <c r="AI55" i="3"/>
  <c r="AJ55" i="3"/>
  <c r="L30" i="14"/>
  <c r="F85" i="14"/>
  <c r="I31" i="14"/>
  <c r="J31" i="14"/>
  <c r="AE56" i="3"/>
  <c r="AF56" i="3"/>
  <c r="AG56" i="3"/>
  <c r="K31" i="14"/>
  <c r="AH56" i="3"/>
  <c r="AI56" i="3"/>
  <c r="AJ56" i="3"/>
  <c r="L31" i="14"/>
  <c r="F86" i="14"/>
  <c r="I32" i="14"/>
  <c r="J32" i="14"/>
  <c r="K32" i="14"/>
  <c r="L32" i="14"/>
  <c r="F87" i="14"/>
  <c r="I34" i="14"/>
  <c r="J34" i="14"/>
  <c r="AE59" i="3"/>
  <c r="AF59" i="3"/>
  <c r="AG59" i="3"/>
  <c r="K34" i="14"/>
  <c r="AH59" i="3"/>
  <c r="AI59" i="3"/>
  <c r="AJ59" i="3"/>
  <c r="L34" i="14"/>
  <c r="F89" i="14"/>
  <c r="I35" i="14"/>
  <c r="J35" i="14"/>
  <c r="K35" i="14"/>
  <c r="L35" i="14"/>
  <c r="F90" i="14"/>
  <c r="E41" i="14"/>
  <c r="F41" i="14"/>
  <c r="G41" i="14"/>
  <c r="H41" i="14"/>
  <c r="E96" i="14"/>
  <c r="E43" i="14"/>
  <c r="F43" i="14"/>
  <c r="G43" i="14"/>
  <c r="H43" i="14"/>
  <c r="E98" i="14"/>
  <c r="E44" i="14"/>
  <c r="F44" i="14"/>
  <c r="G44" i="14"/>
  <c r="H44" i="14"/>
  <c r="E99" i="14"/>
  <c r="E46" i="14"/>
  <c r="F46" i="14"/>
  <c r="G46" i="14"/>
  <c r="H46" i="14"/>
  <c r="E101" i="14"/>
  <c r="E47" i="14"/>
  <c r="F47" i="14"/>
  <c r="G47" i="14"/>
  <c r="H47" i="14"/>
  <c r="E102" i="14"/>
  <c r="E49" i="14"/>
  <c r="F49" i="14"/>
  <c r="G49" i="14"/>
  <c r="H49" i="14"/>
  <c r="E104" i="14"/>
  <c r="I41" i="14"/>
  <c r="J41" i="14"/>
  <c r="AE66" i="3"/>
  <c r="AF66" i="3"/>
  <c r="AG66" i="3"/>
  <c r="K41" i="14"/>
  <c r="AH66" i="3"/>
  <c r="AI66" i="3"/>
  <c r="AJ66" i="3"/>
  <c r="L41" i="14"/>
  <c r="F96" i="14"/>
  <c r="I43" i="14"/>
  <c r="J43" i="14"/>
  <c r="AE68" i="3"/>
  <c r="AF68" i="3"/>
  <c r="AG68" i="3"/>
  <c r="K43" i="14"/>
  <c r="AH68" i="3"/>
  <c r="AI68" i="3"/>
  <c r="AJ68" i="3"/>
  <c r="L43" i="14"/>
  <c r="F98" i="14"/>
  <c r="I44" i="14"/>
  <c r="J44" i="14"/>
  <c r="K44" i="14"/>
  <c r="L44" i="14"/>
  <c r="F99" i="14"/>
  <c r="I46" i="14"/>
  <c r="J46" i="14"/>
  <c r="AE71" i="3"/>
  <c r="AF71" i="3"/>
  <c r="AG71" i="3"/>
  <c r="K46" i="14"/>
  <c r="AH71" i="3"/>
  <c r="AI71" i="3"/>
  <c r="AJ71" i="3"/>
  <c r="L46" i="14"/>
  <c r="F101" i="14"/>
  <c r="I47" i="14"/>
  <c r="J47" i="14"/>
  <c r="K47" i="14"/>
  <c r="L47" i="14"/>
  <c r="F102" i="14"/>
  <c r="I49" i="14"/>
  <c r="J49" i="14"/>
  <c r="K49" i="14"/>
  <c r="L49" i="14"/>
  <c r="F104" i="14"/>
  <c r="AK53" i="3"/>
  <c r="AL53" i="3"/>
  <c r="AM53" i="3"/>
  <c r="M28" i="14"/>
  <c r="AN53" i="3"/>
  <c r="AO53" i="3"/>
  <c r="AP53" i="3"/>
  <c r="N28" i="14"/>
  <c r="AQ53" i="3"/>
  <c r="AR53" i="3"/>
  <c r="AS53" i="3"/>
  <c r="O28" i="14"/>
  <c r="AT53" i="3"/>
  <c r="AU53" i="3"/>
  <c r="AV53" i="3"/>
  <c r="P28" i="14"/>
  <c r="G83" i="14"/>
  <c r="AK79" i="1"/>
  <c r="AK81" i="1"/>
  <c r="AK83" i="1"/>
  <c r="AK85" i="1"/>
  <c r="AK87" i="1"/>
  <c r="AK54" i="3"/>
  <c r="AL79" i="1"/>
  <c r="AL81" i="1"/>
  <c r="AL83" i="1"/>
  <c r="AL85" i="1"/>
  <c r="AL87" i="1"/>
  <c r="AL54" i="3"/>
  <c r="AM79" i="1"/>
  <c r="AM81" i="1"/>
  <c r="AM83" i="1"/>
  <c r="AM85" i="1"/>
  <c r="AM87" i="1"/>
  <c r="AM54" i="3"/>
  <c r="M29" i="14"/>
  <c r="AN79" i="1"/>
  <c r="AN81" i="1"/>
  <c r="AN83" i="1"/>
  <c r="AN85" i="1"/>
  <c r="AN87" i="1"/>
  <c r="AN54" i="3"/>
  <c r="AO79" i="1"/>
  <c r="AO81" i="1"/>
  <c r="AO83" i="1"/>
  <c r="AO85" i="1"/>
  <c r="AO87" i="1"/>
  <c r="AO54" i="3"/>
  <c r="AP79" i="1"/>
  <c r="AP81" i="1"/>
  <c r="AP83" i="1"/>
  <c r="AP85" i="1"/>
  <c r="AP87" i="1"/>
  <c r="AP54" i="3"/>
  <c r="N29" i="14"/>
  <c r="AQ79" i="1"/>
  <c r="AQ81" i="1"/>
  <c r="AQ83" i="1"/>
  <c r="AQ85" i="1"/>
  <c r="AQ87" i="1"/>
  <c r="AQ54" i="3"/>
  <c r="AR79" i="1"/>
  <c r="AR81" i="1"/>
  <c r="AR83" i="1"/>
  <c r="AR85" i="1"/>
  <c r="AR87" i="1"/>
  <c r="AR54" i="3"/>
  <c r="AS79" i="1"/>
  <c r="AS81" i="1"/>
  <c r="AS83" i="1"/>
  <c r="AS85" i="1"/>
  <c r="AS87" i="1"/>
  <c r="AS54" i="3"/>
  <c r="O29" i="14"/>
  <c r="AT79" i="1"/>
  <c r="AT81" i="1"/>
  <c r="AT83" i="1"/>
  <c r="AT85" i="1"/>
  <c r="AT87" i="1"/>
  <c r="AT54" i="3"/>
  <c r="AU79" i="1"/>
  <c r="AU81" i="1"/>
  <c r="AU83" i="1"/>
  <c r="AU85" i="1"/>
  <c r="AU87" i="1"/>
  <c r="AU54" i="3"/>
  <c r="AV79" i="1"/>
  <c r="AV81" i="1"/>
  <c r="AV83" i="1"/>
  <c r="AV85" i="1"/>
  <c r="AV87" i="1"/>
  <c r="AV54" i="3"/>
  <c r="P29" i="14"/>
  <c r="G84" i="14"/>
  <c r="AK55" i="3"/>
  <c r="AL55" i="3"/>
  <c r="AM55" i="3"/>
  <c r="M30" i="14"/>
  <c r="AN55" i="3"/>
  <c r="AO55" i="3"/>
  <c r="AP55" i="3"/>
  <c r="N30" i="14"/>
  <c r="AQ55" i="3"/>
  <c r="AR55" i="3"/>
  <c r="AS55" i="3"/>
  <c r="O30" i="14"/>
  <c r="AT55" i="3"/>
  <c r="AU55" i="3"/>
  <c r="AV55" i="3"/>
  <c r="P30" i="14"/>
  <c r="G85" i="14"/>
  <c r="AK56" i="3"/>
  <c r="AL56" i="3"/>
  <c r="AM56" i="3"/>
  <c r="M31" i="14"/>
  <c r="AN56" i="3"/>
  <c r="AO56" i="3"/>
  <c r="AP56" i="3"/>
  <c r="N31" i="14"/>
  <c r="AQ56" i="3"/>
  <c r="AR56" i="3"/>
  <c r="AS56" i="3"/>
  <c r="O31" i="14"/>
  <c r="AT56" i="3"/>
  <c r="AU56" i="3"/>
  <c r="AV56" i="3"/>
  <c r="P31" i="14"/>
  <c r="G86" i="14"/>
  <c r="M32" i="14"/>
  <c r="N32" i="14"/>
  <c r="O32" i="14"/>
  <c r="P32" i="14"/>
  <c r="G87" i="14"/>
  <c r="AK59" i="3"/>
  <c r="AL59" i="3"/>
  <c r="AM59" i="3"/>
  <c r="M34" i="14"/>
  <c r="AN59" i="3"/>
  <c r="AO59" i="3"/>
  <c r="AP59" i="3"/>
  <c r="N34" i="14"/>
  <c r="AQ59" i="3"/>
  <c r="AR59" i="3"/>
  <c r="AS59" i="3"/>
  <c r="O34" i="14"/>
  <c r="AT59" i="3"/>
  <c r="AU59" i="3"/>
  <c r="AV59" i="3"/>
  <c r="P34" i="14"/>
  <c r="G89" i="14"/>
  <c r="M35" i="14"/>
  <c r="N35" i="14"/>
  <c r="O35" i="14"/>
  <c r="P35" i="14"/>
  <c r="G90" i="14"/>
  <c r="AK66" i="3"/>
  <c r="AL66" i="3"/>
  <c r="AM66" i="3"/>
  <c r="M41" i="14"/>
  <c r="AN66" i="3"/>
  <c r="AO66" i="3"/>
  <c r="AP66" i="3"/>
  <c r="N41" i="14"/>
  <c r="AQ66" i="3"/>
  <c r="AR66" i="3"/>
  <c r="AS66" i="3"/>
  <c r="O41" i="14"/>
  <c r="AT66" i="3"/>
  <c r="AU66" i="3"/>
  <c r="AV66" i="3"/>
  <c r="P41" i="14"/>
  <c r="G96" i="14"/>
  <c r="AK68" i="3"/>
  <c r="AL68" i="3"/>
  <c r="AM68" i="3"/>
  <c r="M43" i="14"/>
  <c r="AN68" i="3"/>
  <c r="AO68" i="3"/>
  <c r="AP68" i="3"/>
  <c r="N43" i="14"/>
  <c r="AQ68" i="3"/>
  <c r="AR68" i="3"/>
  <c r="AS68" i="3"/>
  <c r="O43" i="14"/>
  <c r="AT68" i="3"/>
  <c r="AU68" i="3"/>
  <c r="AV68" i="3"/>
  <c r="P43" i="14"/>
  <c r="G98" i="14"/>
  <c r="M44" i="14"/>
  <c r="N44" i="14"/>
  <c r="O44" i="14"/>
  <c r="P44" i="14"/>
  <c r="G99" i="14"/>
  <c r="AK71" i="3"/>
  <c r="AL71" i="3"/>
  <c r="AM71" i="3"/>
  <c r="M46" i="14"/>
  <c r="AN71" i="3"/>
  <c r="AO71" i="3"/>
  <c r="AP71" i="3"/>
  <c r="N46" i="14"/>
  <c r="AQ71" i="3"/>
  <c r="AR71" i="3"/>
  <c r="AS71" i="3"/>
  <c r="O46" i="14"/>
  <c r="AT71" i="3"/>
  <c r="AU71" i="3"/>
  <c r="AV71" i="3"/>
  <c r="P46" i="14"/>
  <c r="G101" i="14"/>
  <c r="M47" i="14"/>
  <c r="N47" i="14"/>
  <c r="O47" i="14"/>
  <c r="P47" i="14"/>
  <c r="G102" i="14"/>
  <c r="M49" i="14"/>
  <c r="N49" i="14"/>
  <c r="O49" i="14"/>
  <c r="P49" i="14"/>
  <c r="G104" i="14"/>
  <c r="AW53" i="3"/>
  <c r="AX53" i="3"/>
  <c r="AY53" i="3"/>
  <c r="Q28" i="14"/>
  <c r="AZ53" i="3"/>
  <c r="BA53" i="3"/>
  <c r="BB53" i="3"/>
  <c r="R28" i="14"/>
  <c r="BC53" i="3"/>
  <c r="BD53" i="3"/>
  <c r="BE53" i="3"/>
  <c r="S28" i="14"/>
  <c r="BF53" i="3"/>
  <c r="BG53" i="3"/>
  <c r="BH53" i="3"/>
  <c r="T28" i="14"/>
  <c r="H83" i="14"/>
  <c r="AW79" i="1"/>
  <c r="AW81" i="1"/>
  <c r="AW83" i="1"/>
  <c r="AW85" i="1"/>
  <c r="AW87" i="1"/>
  <c r="AW54" i="3"/>
  <c r="AX79" i="1"/>
  <c r="AX81" i="1"/>
  <c r="AX83" i="1"/>
  <c r="AX85" i="1"/>
  <c r="AX87" i="1"/>
  <c r="AX54" i="3"/>
  <c r="AY79" i="1"/>
  <c r="AY81" i="1"/>
  <c r="AY83" i="1"/>
  <c r="AY85" i="1"/>
  <c r="AY87" i="1"/>
  <c r="AY54" i="3"/>
  <c r="Q29" i="14"/>
  <c r="AZ79" i="1"/>
  <c r="AZ81" i="1"/>
  <c r="AZ83" i="1"/>
  <c r="AZ85" i="1"/>
  <c r="AZ87" i="1"/>
  <c r="AZ54" i="3"/>
  <c r="BA79" i="1"/>
  <c r="BA81" i="1"/>
  <c r="BA83" i="1"/>
  <c r="BA85" i="1"/>
  <c r="BA87" i="1"/>
  <c r="BA54" i="3"/>
  <c r="BB79" i="1"/>
  <c r="BB81" i="1"/>
  <c r="BB83" i="1"/>
  <c r="BB85" i="1"/>
  <c r="BB87" i="1"/>
  <c r="BB54" i="3"/>
  <c r="R29" i="14"/>
  <c r="BC79" i="1"/>
  <c r="BC81" i="1"/>
  <c r="BC83" i="1"/>
  <c r="BC85" i="1"/>
  <c r="BC87" i="1"/>
  <c r="BC54" i="3"/>
  <c r="BD79" i="1"/>
  <c r="BD81" i="1"/>
  <c r="BD83" i="1"/>
  <c r="BD85" i="1"/>
  <c r="BD87" i="1"/>
  <c r="BD54" i="3"/>
  <c r="BE79" i="1"/>
  <c r="BE81" i="1"/>
  <c r="BE83" i="1"/>
  <c r="BE85" i="1"/>
  <c r="BE87" i="1"/>
  <c r="BE54" i="3"/>
  <c r="S29" i="14"/>
  <c r="BF79" i="1"/>
  <c r="BF81" i="1"/>
  <c r="BF83" i="1"/>
  <c r="BF85" i="1"/>
  <c r="BF87" i="1"/>
  <c r="BF54" i="3"/>
  <c r="BG79" i="1"/>
  <c r="BG81" i="1"/>
  <c r="BG83" i="1"/>
  <c r="BG85" i="1"/>
  <c r="BG87" i="1"/>
  <c r="BG54" i="3"/>
  <c r="BH79" i="1"/>
  <c r="BH81" i="1"/>
  <c r="BH83" i="1"/>
  <c r="BH85" i="1"/>
  <c r="BH87" i="1"/>
  <c r="BH54" i="3"/>
  <c r="T29" i="14"/>
  <c r="H84" i="14"/>
  <c r="AW55" i="3"/>
  <c r="AX55" i="3"/>
  <c r="AY55" i="3"/>
  <c r="Q30" i="14"/>
  <c r="AZ55" i="3"/>
  <c r="BA55" i="3"/>
  <c r="BB55" i="3"/>
  <c r="R30" i="14"/>
  <c r="BC55" i="3"/>
  <c r="BD55" i="3"/>
  <c r="BE55" i="3"/>
  <c r="S30" i="14"/>
  <c r="BF55" i="3"/>
  <c r="BG55" i="3"/>
  <c r="BH55" i="3"/>
  <c r="T30" i="14"/>
  <c r="H85" i="14"/>
  <c r="AW56" i="3"/>
  <c r="AX56" i="3"/>
  <c r="AY56" i="3"/>
  <c r="Q31" i="14"/>
  <c r="AZ56" i="3"/>
  <c r="BA56" i="3"/>
  <c r="BB56" i="3"/>
  <c r="R31" i="14"/>
  <c r="BC56" i="3"/>
  <c r="BD56" i="3"/>
  <c r="BE56" i="3"/>
  <c r="S31" i="14"/>
  <c r="BF56" i="3"/>
  <c r="BG56" i="3"/>
  <c r="BH56" i="3"/>
  <c r="T31" i="14"/>
  <c r="H86" i="14"/>
  <c r="Q32" i="14"/>
  <c r="R32" i="14"/>
  <c r="S32" i="14"/>
  <c r="T32" i="14"/>
  <c r="H87" i="14"/>
  <c r="AW59" i="3"/>
  <c r="AX59" i="3"/>
  <c r="AY59" i="3"/>
  <c r="Q34" i="14"/>
  <c r="AZ59" i="3"/>
  <c r="BA59" i="3"/>
  <c r="BB59" i="3"/>
  <c r="R34" i="14"/>
  <c r="BC59" i="3"/>
  <c r="BD59" i="3"/>
  <c r="BE59" i="3"/>
  <c r="S34" i="14"/>
  <c r="BF59" i="3"/>
  <c r="BG59" i="3"/>
  <c r="BH59" i="3"/>
  <c r="T34" i="14"/>
  <c r="H89" i="14"/>
  <c r="Q35" i="14"/>
  <c r="R35" i="14"/>
  <c r="S35" i="14"/>
  <c r="T35" i="14"/>
  <c r="H90" i="14"/>
  <c r="AW66" i="3"/>
  <c r="AX66" i="3"/>
  <c r="AY66" i="3"/>
  <c r="Q41" i="14"/>
  <c r="AZ66" i="3"/>
  <c r="BA66" i="3"/>
  <c r="BB66" i="3"/>
  <c r="R41" i="14"/>
  <c r="BC66" i="3"/>
  <c r="BD66" i="3"/>
  <c r="BE66" i="3"/>
  <c r="S41" i="14"/>
  <c r="BF66" i="3"/>
  <c r="BG66" i="3"/>
  <c r="BH66" i="3"/>
  <c r="T41" i="14"/>
  <c r="H96" i="14"/>
  <c r="AW68" i="3"/>
  <c r="AX68" i="3"/>
  <c r="AY68" i="3"/>
  <c r="Q43" i="14"/>
  <c r="AZ68" i="3"/>
  <c r="BA68" i="3"/>
  <c r="BB68" i="3"/>
  <c r="R43" i="14"/>
  <c r="BC68" i="3"/>
  <c r="BD68" i="3"/>
  <c r="BE68" i="3"/>
  <c r="S43" i="14"/>
  <c r="BF68" i="3"/>
  <c r="BG68" i="3"/>
  <c r="BH68" i="3"/>
  <c r="T43" i="14"/>
  <c r="H98" i="14"/>
  <c r="Q44" i="14"/>
  <c r="R44" i="14"/>
  <c r="S44" i="14"/>
  <c r="T44" i="14"/>
  <c r="H99" i="14"/>
  <c r="AW71" i="3"/>
  <c r="AX71" i="3"/>
  <c r="AY71" i="3"/>
  <c r="Q46" i="14"/>
  <c r="AZ71" i="3"/>
  <c r="BA71" i="3"/>
  <c r="BB71" i="3"/>
  <c r="R46" i="14"/>
  <c r="BC71" i="3"/>
  <c r="BD71" i="3"/>
  <c r="BE71" i="3"/>
  <c r="S46" i="14"/>
  <c r="BF71" i="3"/>
  <c r="BG71" i="3"/>
  <c r="BH71" i="3"/>
  <c r="T46" i="14"/>
  <c r="H101" i="14"/>
  <c r="Q47" i="14"/>
  <c r="R47" i="14"/>
  <c r="S47" i="14"/>
  <c r="T47" i="14"/>
  <c r="H102" i="14"/>
  <c r="Q49" i="14"/>
  <c r="R49" i="14"/>
  <c r="S49" i="14"/>
  <c r="T49" i="14"/>
  <c r="H104" i="14"/>
  <c r="BI53" i="3"/>
  <c r="BJ53" i="3"/>
  <c r="BK53" i="3"/>
  <c r="U28" i="14"/>
  <c r="BL53" i="3"/>
  <c r="BM53" i="3"/>
  <c r="BN53" i="3"/>
  <c r="V28" i="14"/>
  <c r="BO53" i="3"/>
  <c r="BP53" i="3"/>
  <c r="BQ53" i="3"/>
  <c r="W28" i="14"/>
  <c r="BR53" i="3"/>
  <c r="BS53" i="3"/>
  <c r="BT53" i="3"/>
  <c r="X28" i="14"/>
  <c r="I83" i="14"/>
  <c r="BI79" i="1"/>
  <c r="BI81" i="1"/>
  <c r="BI83" i="1"/>
  <c r="BI85" i="1"/>
  <c r="BI87" i="1"/>
  <c r="BI54" i="3"/>
  <c r="BJ79" i="1"/>
  <c r="BJ81" i="1"/>
  <c r="BJ83" i="1"/>
  <c r="BJ85" i="1"/>
  <c r="BJ87" i="1"/>
  <c r="BJ54" i="3"/>
  <c r="BK79" i="1"/>
  <c r="BK81" i="1"/>
  <c r="BK83" i="1"/>
  <c r="BK85" i="1"/>
  <c r="BK87" i="1"/>
  <c r="BK54" i="3"/>
  <c r="U29" i="14"/>
  <c r="BL79" i="1"/>
  <c r="BL81" i="1"/>
  <c r="BL83" i="1"/>
  <c r="BL85" i="1"/>
  <c r="BL87" i="1"/>
  <c r="BL54" i="3"/>
  <c r="BM79" i="1"/>
  <c r="BM81" i="1"/>
  <c r="BM83" i="1"/>
  <c r="BM85" i="1"/>
  <c r="BM87" i="1"/>
  <c r="BM54" i="3"/>
  <c r="BN79" i="1"/>
  <c r="BN81" i="1"/>
  <c r="BN83" i="1"/>
  <c r="BN85" i="1"/>
  <c r="BN87" i="1"/>
  <c r="BN54" i="3"/>
  <c r="V29" i="14"/>
  <c r="BO79" i="1"/>
  <c r="BO81" i="1"/>
  <c r="BO83" i="1"/>
  <c r="BO85" i="1"/>
  <c r="BO87" i="1"/>
  <c r="BO54" i="3"/>
  <c r="BP79" i="1"/>
  <c r="BP81" i="1"/>
  <c r="BP83" i="1"/>
  <c r="BP85" i="1"/>
  <c r="BP87" i="1"/>
  <c r="BP54" i="3"/>
  <c r="BQ79" i="1"/>
  <c r="BQ81" i="1"/>
  <c r="BQ83" i="1"/>
  <c r="BQ85" i="1"/>
  <c r="BQ87" i="1"/>
  <c r="BQ54" i="3"/>
  <c r="W29" i="14"/>
  <c r="BR79" i="1"/>
  <c r="BR81" i="1"/>
  <c r="BR83" i="1"/>
  <c r="BR85" i="1"/>
  <c r="BR87" i="1"/>
  <c r="BR54" i="3"/>
  <c r="BS79" i="1"/>
  <c r="BS81" i="1"/>
  <c r="BS83" i="1"/>
  <c r="BS85" i="1"/>
  <c r="BS87" i="1"/>
  <c r="BS54" i="3"/>
  <c r="BT79" i="1"/>
  <c r="BT81" i="1"/>
  <c r="BT83" i="1"/>
  <c r="BT85" i="1"/>
  <c r="BT87" i="1"/>
  <c r="BT54" i="3"/>
  <c r="X29" i="14"/>
  <c r="I84" i="14"/>
  <c r="BI55" i="3"/>
  <c r="BJ55" i="3"/>
  <c r="BK55" i="3"/>
  <c r="U30" i="14"/>
  <c r="BL55" i="3"/>
  <c r="BM55" i="3"/>
  <c r="BN55" i="3"/>
  <c r="V30" i="14"/>
  <c r="BO55" i="3"/>
  <c r="BP55" i="3"/>
  <c r="BQ55" i="3"/>
  <c r="W30" i="14"/>
  <c r="BR55" i="3"/>
  <c r="BS55" i="3"/>
  <c r="BT55" i="3"/>
  <c r="X30" i="14"/>
  <c r="I85" i="14"/>
  <c r="BI56" i="3"/>
  <c r="BJ56" i="3"/>
  <c r="BK56" i="3"/>
  <c r="U31" i="14"/>
  <c r="BL56" i="3"/>
  <c r="BM56" i="3"/>
  <c r="BN56" i="3"/>
  <c r="V31" i="14"/>
  <c r="BO56" i="3"/>
  <c r="BP56" i="3"/>
  <c r="BQ56" i="3"/>
  <c r="W31" i="14"/>
  <c r="BR56" i="3"/>
  <c r="BS56" i="3"/>
  <c r="BT56" i="3"/>
  <c r="X31" i="14"/>
  <c r="I86" i="14"/>
  <c r="U32" i="14"/>
  <c r="V32" i="14"/>
  <c r="W32" i="14"/>
  <c r="X32" i="14"/>
  <c r="I87" i="14"/>
  <c r="BI59" i="3"/>
  <c r="BJ59" i="3"/>
  <c r="BK59" i="3"/>
  <c r="U34" i="14"/>
  <c r="BL59" i="3"/>
  <c r="BM59" i="3"/>
  <c r="BN59" i="3"/>
  <c r="V34" i="14"/>
  <c r="BO59" i="3"/>
  <c r="BP59" i="3"/>
  <c r="BQ59" i="3"/>
  <c r="W34" i="14"/>
  <c r="BR59" i="3"/>
  <c r="BS59" i="3"/>
  <c r="BT8" i="12"/>
  <c r="BT59" i="3"/>
  <c r="X34" i="14"/>
  <c r="I89" i="14"/>
  <c r="U35" i="14"/>
  <c r="V35" i="14"/>
  <c r="W35" i="14"/>
  <c r="X35" i="14"/>
  <c r="I90" i="14"/>
  <c r="BI66" i="3"/>
  <c r="BJ66" i="3"/>
  <c r="BK66" i="3"/>
  <c r="U41" i="14"/>
  <c r="BL66" i="3"/>
  <c r="BM66" i="3"/>
  <c r="BN66" i="3"/>
  <c r="V41" i="14"/>
  <c r="BO66" i="3"/>
  <c r="BP66" i="3"/>
  <c r="BQ66" i="3"/>
  <c r="W41" i="14"/>
  <c r="BR66" i="3"/>
  <c r="BS66" i="3"/>
  <c r="BT66" i="3"/>
  <c r="X41" i="14"/>
  <c r="I96" i="14"/>
  <c r="BI68" i="3"/>
  <c r="BJ68" i="3"/>
  <c r="BK68" i="3"/>
  <c r="U43" i="14"/>
  <c r="BL68" i="3"/>
  <c r="BM68" i="3"/>
  <c r="BN68" i="3"/>
  <c r="V43" i="14"/>
  <c r="BO68" i="3"/>
  <c r="BP68" i="3"/>
  <c r="BQ68" i="3"/>
  <c r="W43" i="14"/>
  <c r="BR68" i="3"/>
  <c r="BS68" i="3"/>
  <c r="BT68" i="3"/>
  <c r="X43" i="14"/>
  <c r="I98" i="14"/>
  <c r="U44" i="14"/>
  <c r="V44" i="14"/>
  <c r="W44" i="14"/>
  <c r="X44" i="14"/>
  <c r="I99" i="14"/>
  <c r="BI71" i="3"/>
  <c r="BJ71" i="3"/>
  <c r="BK71" i="3"/>
  <c r="U46" i="14"/>
  <c r="BL71" i="3"/>
  <c r="BM71" i="3"/>
  <c r="BN71" i="3"/>
  <c r="V46" i="14"/>
  <c r="BO71" i="3"/>
  <c r="BP71" i="3"/>
  <c r="BQ71" i="3"/>
  <c r="W46" i="14"/>
  <c r="BR71" i="3"/>
  <c r="BS71" i="3"/>
  <c r="BT71" i="3"/>
  <c r="X46" i="14"/>
  <c r="I101" i="14"/>
  <c r="U47" i="14"/>
  <c r="V47" i="14"/>
  <c r="W47" i="14"/>
  <c r="X47" i="14"/>
  <c r="I102" i="14"/>
  <c r="U49" i="14"/>
  <c r="V49" i="14"/>
  <c r="W49" i="14"/>
  <c r="X49" i="14"/>
  <c r="I104" i="14"/>
  <c r="C23" i="11"/>
  <c r="BS7" i="5"/>
  <c r="W83" i="3"/>
  <c r="X83" i="3"/>
  <c r="Y83" i="3"/>
  <c r="Z83" i="3"/>
  <c r="AA83" i="3"/>
  <c r="AB83" i="3"/>
  <c r="AC83" i="3"/>
  <c r="AD83" i="3"/>
  <c r="AE83" i="3"/>
  <c r="AF83" i="3"/>
  <c r="AG83" i="3"/>
  <c r="AH83" i="3"/>
  <c r="AI83" i="3"/>
  <c r="AJ83" i="3"/>
  <c r="AK83" i="3"/>
  <c r="AL83" i="3"/>
  <c r="AM83" i="3"/>
  <c r="AN83" i="3"/>
  <c r="AO83" i="3"/>
  <c r="AP83" i="3"/>
  <c r="AQ83" i="3"/>
  <c r="AR83" i="3"/>
  <c r="AS83" i="3"/>
  <c r="AT83" i="3"/>
  <c r="AU83" i="3"/>
  <c r="AV83" i="3"/>
  <c r="AW83" i="3"/>
  <c r="AX83" i="3"/>
  <c r="AY83" i="3"/>
  <c r="AZ83" i="3"/>
  <c r="BA83" i="3"/>
  <c r="BB83" i="3"/>
  <c r="BC83" i="3"/>
  <c r="BD83" i="3"/>
  <c r="BE83" i="3"/>
  <c r="BF83" i="3"/>
  <c r="BG83" i="3"/>
  <c r="BH83" i="3"/>
  <c r="BI83" i="3"/>
  <c r="BJ83" i="3"/>
  <c r="BK83" i="3"/>
  <c r="BL83" i="3"/>
  <c r="BM83" i="3"/>
  <c r="BN83" i="3"/>
  <c r="BO83" i="3"/>
  <c r="BP83" i="3"/>
  <c r="BQ83" i="3"/>
  <c r="BR83" i="3"/>
  <c r="BS83" i="3"/>
  <c r="BS23" i="5"/>
  <c r="BS17" i="5"/>
  <c r="BS19" i="5"/>
  <c r="M17" i="5"/>
  <c r="M19" i="5"/>
  <c r="M23" i="5"/>
  <c r="AV7" i="5"/>
  <c r="AV23" i="5"/>
  <c r="AV17" i="5"/>
  <c r="AV19" i="5"/>
  <c r="AR7" i="5"/>
  <c r="AR23" i="5"/>
  <c r="AR17" i="5"/>
  <c r="AR19" i="5"/>
  <c r="N17" i="5"/>
  <c r="N19" i="5"/>
  <c r="O17" i="5"/>
  <c r="O19" i="5"/>
  <c r="P17" i="5"/>
  <c r="P19" i="5"/>
  <c r="Q17" i="5"/>
  <c r="Q19" i="5"/>
  <c r="R17" i="5"/>
  <c r="R19" i="5"/>
  <c r="S17" i="5"/>
  <c r="S19" i="5"/>
  <c r="T17" i="5"/>
  <c r="T19" i="5"/>
  <c r="U17" i="5"/>
  <c r="U19" i="5"/>
  <c r="V17" i="5"/>
  <c r="V19" i="5"/>
  <c r="W17" i="5"/>
  <c r="W19" i="5"/>
  <c r="X17" i="5"/>
  <c r="X19" i="5"/>
  <c r="Y17" i="5"/>
  <c r="Y19" i="5"/>
  <c r="Z17" i="5"/>
  <c r="Z19" i="5"/>
  <c r="AA17" i="5"/>
  <c r="AA19" i="5"/>
  <c r="AB17" i="5"/>
  <c r="AB19" i="5"/>
  <c r="AC17" i="5"/>
  <c r="AC19" i="5"/>
  <c r="AD17" i="5"/>
  <c r="AD19" i="5"/>
  <c r="AE17" i="5"/>
  <c r="AE19" i="5"/>
  <c r="AF17" i="5"/>
  <c r="AF19" i="5"/>
  <c r="AG17" i="5"/>
  <c r="AG19" i="5"/>
  <c r="AH17" i="5"/>
  <c r="AH19" i="5"/>
  <c r="AI17" i="5"/>
  <c r="AI19" i="5"/>
  <c r="AJ17" i="5"/>
  <c r="AJ19" i="5"/>
  <c r="AK17" i="5"/>
  <c r="AK19" i="5"/>
  <c r="AL17" i="5"/>
  <c r="AL19" i="5"/>
  <c r="AM17" i="5"/>
  <c r="AM19" i="5"/>
  <c r="AN17" i="5"/>
  <c r="AN19" i="5"/>
  <c r="AO17" i="5"/>
  <c r="AO19" i="5"/>
  <c r="AP17" i="5"/>
  <c r="AP19" i="5"/>
  <c r="AQ17" i="5"/>
  <c r="AQ19" i="5"/>
  <c r="AS17" i="5"/>
  <c r="AS19" i="5"/>
  <c r="AT17" i="5"/>
  <c r="AT19" i="5"/>
  <c r="AU17" i="5"/>
  <c r="AU19" i="5"/>
  <c r="AW17" i="5"/>
  <c r="AW19" i="5"/>
  <c r="AX17" i="5"/>
  <c r="AX19" i="5"/>
  <c r="AY17" i="5"/>
  <c r="AY19" i="5"/>
  <c r="AZ17" i="5"/>
  <c r="AZ19" i="5"/>
  <c r="BA17" i="5"/>
  <c r="BA19" i="5"/>
  <c r="BB17" i="5"/>
  <c r="BB19" i="5"/>
  <c r="BC17" i="5"/>
  <c r="BC19" i="5"/>
  <c r="BD17" i="5"/>
  <c r="BD19" i="5"/>
  <c r="BE17" i="5"/>
  <c r="BE19" i="5"/>
  <c r="BF17" i="5"/>
  <c r="BF19" i="5"/>
  <c r="BG17" i="5"/>
  <c r="BG19" i="5"/>
  <c r="BH17" i="5"/>
  <c r="BH19" i="5"/>
  <c r="BI17" i="5"/>
  <c r="BI19" i="5"/>
  <c r="BJ17" i="5"/>
  <c r="BJ19" i="5"/>
  <c r="BK17" i="5"/>
  <c r="BK19" i="5"/>
  <c r="BL17" i="5"/>
  <c r="BL19" i="5"/>
  <c r="BM17" i="5"/>
  <c r="BM19" i="5"/>
  <c r="BN17" i="5"/>
  <c r="BN19" i="5"/>
  <c r="BO17" i="5"/>
  <c r="BO19" i="5"/>
  <c r="BP17" i="5"/>
  <c r="BP19" i="5"/>
  <c r="BQ17" i="5"/>
  <c r="BQ19" i="5"/>
  <c r="BR17" i="5"/>
  <c r="BR19" i="5"/>
  <c r="BT11" i="12"/>
  <c r="BT17" i="5"/>
  <c r="BT19" i="5"/>
  <c r="M7" i="5"/>
  <c r="M12" i="11"/>
  <c r="M14" i="11"/>
  <c r="M13" i="11"/>
  <c r="M15" i="11"/>
  <c r="F1" i="14"/>
  <c r="G1" i="14"/>
  <c r="H1" i="14"/>
  <c r="I1" i="14"/>
  <c r="J1" i="14"/>
  <c r="K1" i="14"/>
  <c r="L1" i="14"/>
  <c r="M1" i="14"/>
  <c r="N1" i="14"/>
  <c r="O1" i="14"/>
  <c r="P1" i="14"/>
  <c r="Q1" i="14"/>
  <c r="R1" i="14"/>
  <c r="S1" i="14"/>
  <c r="T1" i="14"/>
  <c r="U1" i="14"/>
  <c r="V1" i="14"/>
  <c r="W1" i="14"/>
  <c r="X1" i="14"/>
  <c r="E1" i="14"/>
  <c r="U17" i="14"/>
  <c r="V17" i="14"/>
  <c r="W17" i="14"/>
  <c r="X17" i="14"/>
  <c r="I69" i="14"/>
  <c r="U9" i="14"/>
  <c r="V9" i="14"/>
  <c r="W9" i="14"/>
  <c r="X9" i="14"/>
  <c r="I61" i="14"/>
  <c r="U7" i="14"/>
  <c r="V7" i="14"/>
  <c r="W7" i="14"/>
  <c r="X7" i="14"/>
  <c r="I59" i="14"/>
  <c r="U6" i="14"/>
  <c r="V6" i="14"/>
  <c r="W6" i="14"/>
  <c r="X6" i="14"/>
  <c r="I58" i="14"/>
  <c r="U5" i="14"/>
  <c r="V5" i="14"/>
  <c r="W5" i="14"/>
  <c r="X5" i="14"/>
  <c r="I57" i="14"/>
  <c r="Q17" i="14"/>
  <c r="R17" i="14"/>
  <c r="S17" i="14"/>
  <c r="T17" i="14"/>
  <c r="H69" i="14"/>
  <c r="Q9" i="14"/>
  <c r="R9" i="14"/>
  <c r="S9" i="14"/>
  <c r="T9" i="14"/>
  <c r="H61" i="14"/>
  <c r="Q7" i="14"/>
  <c r="R7" i="14"/>
  <c r="S7" i="14"/>
  <c r="T7" i="14"/>
  <c r="H59" i="14"/>
  <c r="Q6" i="14"/>
  <c r="R6" i="14"/>
  <c r="S6" i="14"/>
  <c r="T6" i="14"/>
  <c r="H58" i="14"/>
  <c r="Q5" i="14"/>
  <c r="R5" i="14"/>
  <c r="S5" i="14"/>
  <c r="T5" i="14"/>
  <c r="H57" i="14"/>
  <c r="M17" i="14"/>
  <c r="N17" i="14"/>
  <c r="O17" i="14"/>
  <c r="P17" i="14"/>
  <c r="G69" i="14"/>
  <c r="M9" i="14"/>
  <c r="N9" i="14"/>
  <c r="O9" i="14"/>
  <c r="P9" i="14"/>
  <c r="G61" i="14"/>
  <c r="M7" i="14"/>
  <c r="N7" i="14"/>
  <c r="O7" i="14"/>
  <c r="P7" i="14"/>
  <c r="G59" i="14"/>
  <c r="M6" i="14"/>
  <c r="N6" i="14"/>
  <c r="O6" i="14"/>
  <c r="P6" i="14"/>
  <c r="G58" i="14"/>
  <c r="M5" i="14"/>
  <c r="N5" i="14"/>
  <c r="O5" i="14"/>
  <c r="P5" i="14"/>
  <c r="G57" i="14"/>
  <c r="I17" i="14"/>
  <c r="J17" i="14"/>
  <c r="K17" i="14"/>
  <c r="L17" i="14"/>
  <c r="F69" i="14"/>
  <c r="I9" i="14"/>
  <c r="J9" i="14"/>
  <c r="K9" i="14"/>
  <c r="L9" i="14"/>
  <c r="F61" i="14"/>
  <c r="I7" i="14"/>
  <c r="J7" i="14"/>
  <c r="K7" i="14"/>
  <c r="L7" i="14"/>
  <c r="F59" i="14"/>
  <c r="I6" i="14"/>
  <c r="J6" i="14"/>
  <c r="K6" i="14"/>
  <c r="L6" i="14"/>
  <c r="F58" i="14"/>
  <c r="I5" i="14"/>
  <c r="J5" i="14"/>
  <c r="K5" i="14"/>
  <c r="L5" i="14"/>
  <c r="F57" i="14"/>
  <c r="E6" i="14"/>
  <c r="F6" i="14"/>
  <c r="G6" i="14"/>
  <c r="H6" i="14"/>
  <c r="E58" i="14"/>
  <c r="E5" i="14"/>
  <c r="E7" i="14"/>
  <c r="F7" i="14"/>
  <c r="G7" i="14"/>
  <c r="H7" i="14"/>
  <c r="E59" i="14"/>
  <c r="E9" i="14"/>
  <c r="F9" i="14"/>
  <c r="G9" i="14"/>
  <c r="H9" i="14"/>
  <c r="E61" i="14"/>
  <c r="E17" i="14"/>
  <c r="F17" i="14"/>
  <c r="G17" i="14"/>
  <c r="H17" i="14"/>
  <c r="E69" i="14"/>
  <c r="F5" i="14"/>
  <c r="G5" i="14"/>
  <c r="H5" i="14"/>
  <c r="E57" i="14"/>
  <c r="B9" i="10" a="1"/>
  <c r="B9" i="10"/>
  <c r="N100" i="1"/>
  <c r="O100" i="1"/>
  <c r="P100" i="1"/>
  <c r="Q100" i="1"/>
  <c r="R100" i="1"/>
  <c r="S100" i="1"/>
  <c r="T100" i="1"/>
  <c r="U100" i="1"/>
  <c r="V100" i="1"/>
  <c r="W100" i="1"/>
  <c r="X100" i="1"/>
  <c r="Y100" i="1"/>
  <c r="Z100" i="1"/>
  <c r="AA100" i="1"/>
  <c r="AB100" i="1"/>
  <c r="AC100" i="1"/>
  <c r="AD100" i="1"/>
  <c r="AE100" i="1"/>
  <c r="AF100" i="1"/>
  <c r="AG100" i="1"/>
  <c r="AH100" i="1"/>
  <c r="AI100" i="1"/>
  <c r="AJ100" i="1"/>
  <c r="AK100" i="1"/>
  <c r="AL100" i="1"/>
  <c r="AM100" i="1"/>
  <c r="AN100" i="1"/>
  <c r="AO100" i="1"/>
  <c r="AP100" i="1"/>
  <c r="AQ100" i="1"/>
  <c r="AR100" i="1"/>
  <c r="AS100" i="1"/>
  <c r="AT100" i="1"/>
  <c r="AU100" i="1"/>
  <c r="AV100" i="1"/>
  <c r="AW100" i="1"/>
  <c r="AX100" i="1"/>
  <c r="AY100" i="1"/>
  <c r="AZ100" i="1"/>
  <c r="BA100" i="1"/>
  <c r="BB100" i="1"/>
  <c r="BC100" i="1"/>
  <c r="BD100" i="1"/>
  <c r="BE100" i="1"/>
  <c r="BF100" i="1"/>
  <c r="BG100" i="1"/>
  <c r="BH100" i="1"/>
  <c r="BI100" i="1"/>
  <c r="BJ100" i="1"/>
  <c r="BK100" i="1"/>
  <c r="BL100" i="1"/>
  <c r="BM100" i="1"/>
  <c r="BN100" i="1"/>
  <c r="BO100" i="1"/>
  <c r="BP100" i="1"/>
  <c r="BQ100" i="1"/>
  <c r="BR100" i="1"/>
  <c r="BS100" i="1"/>
  <c r="BT100" i="1"/>
  <c r="M100" i="1"/>
  <c r="N101" i="1"/>
  <c r="O101" i="1"/>
  <c r="P101" i="1"/>
  <c r="Q101" i="1"/>
  <c r="R101" i="1"/>
  <c r="S101" i="1"/>
  <c r="T101" i="1"/>
  <c r="U101" i="1"/>
  <c r="V101" i="1"/>
  <c r="W101" i="1"/>
  <c r="X101" i="1"/>
  <c r="Y101" i="1"/>
  <c r="Z101" i="1"/>
  <c r="AA101" i="1"/>
  <c r="AB101" i="1"/>
  <c r="AC101" i="1"/>
  <c r="AD101" i="1"/>
  <c r="AE101" i="1"/>
  <c r="AF101" i="1"/>
  <c r="AG101" i="1"/>
  <c r="AH101" i="1"/>
  <c r="AI101" i="1"/>
  <c r="AJ101" i="1"/>
  <c r="AK101" i="1"/>
  <c r="AL101" i="1"/>
  <c r="AM101" i="1"/>
  <c r="AN101" i="1"/>
  <c r="AO101" i="1"/>
  <c r="AP101" i="1"/>
  <c r="AQ101" i="1"/>
  <c r="AR101" i="1"/>
  <c r="AS101" i="1"/>
  <c r="AT101" i="1"/>
  <c r="AU101" i="1"/>
  <c r="AV101" i="1"/>
  <c r="AW101" i="1"/>
  <c r="AX101" i="1"/>
  <c r="AY101" i="1"/>
  <c r="AZ101" i="1"/>
  <c r="BA101" i="1"/>
  <c r="BB101" i="1"/>
  <c r="BC101" i="1"/>
  <c r="BD101" i="1"/>
  <c r="BE101" i="1"/>
  <c r="BF101" i="1"/>
  <c r="BG101" i="1"/>
  <c r="BH101" i="1"/>
  <c r="BI101" i="1"/>
  <c r="BJ101" i="1"/>
  <c r="BK101" i="1"/>
  <c r="BL101" i="1"/>
  <c r="BM101" i="1"/>
  <c r="BN101" i="1"/>
  <c r="BO101" i="1"/>
  <c r="BP101" i="1"/>
  <c r="BQ101" i="1"/>
  <c r="BR101" i="1"/>
  <c r="BS101" i="1"/>
  <c r="BT101" i="1"/>
  <c r="M101" i="1"/>
  <c r="N23" i="5"/>
  <c r="O23" i="5"/>
  <c r="P23" i="5"/>
  <c r="Q23" i="5"/>
  <c r="R23" i="5"/>
  <c r="S23" i="5"/>
  <c r="T23" i="5"/>
  <c r="U23" i="5"/>
  <c r="V23" i="5"/>
  <c r="W23" i="5"/>
  <c r="X23" i="5"/>
  <c r="Y23" i="5"/>
  <c r="Z23" i="5"/>
  <c r="AA23" i="5"/>
  <c r="AB23" i="5"/>
  <c r="AC23" i="5"/>
  <c r="AD23" i="5"/>
  <c r="AE23" i="5"/>
  <c r="AF23" i="5"/>
  <c r="AG23" i="5"/>
  <c r="AH23" i="5"/>
  <c r="AI23" i="5"/>
  <c r="AJ23" i="5"/>
  <c r="AK23" i="5"/>
  <c r="AL23" i="5"/>
  <c r="AM23" i="5"/>
  <c r="AN23" i="5"/>
  <c r="AO23" i="5"/>
  <c r="AP23" i="5"/>
  <c r="AQ23" i="5"/>
  <c r="AS23" i="5"/>
  <c r="AT23" i="5"/>
  <c r="AU23" i="5"/>
  <c r="AW23" i="5"/>
  <c r="AX23" i="5"/>
  <c r="AY23" i="5"/>
  <c r="AZ23" i="5"/>
  <c r="BA23" i="5"/>
  <c r="BB23" i="5"/>
  <c r="BC23" i="5"/>
  <c r="BD23" i="5"/>
  <c r="BE23" i="5"/>
  <c r="BF23" i="5"/>
  <c r="BG23" i="5"/>
  <c r="BH23" i="5"/>
  <c r="BI23" i="5"/>
  <c r="BJ23" i="5"/>
  <c r="BK23" i="5"/>
  <c r="BL23" i="5"/>
  <c r="BM23" i="5"/>
  <c r="BN23" i="5"/>
  <c r="BO23" i="5"/>
  <c r="BP23" i="5"/>
  <c r="BQ23" i="5"/>
  <c r="BR23" i="5"/>
  <c r="BT83" i="3"/>
  <c r="BT23" i="5"/>
  <c r="M32" i="2"/>
  <c r="M53" i="2"/>
  <c r="M8" i="2"/>
  <c r="N31" i="2"/>
  <c r="N32" i="2"/>
  <c r="N53" i="2"/>
  <c r="N8" i="2"/>
  <c r="O31" i="2"/>
  <c r="O32" i="2"/>
  <c r="O53" i="2"/>
  <c r="O8" i="2"/>
  <c r="P31" i="2"/>
  <c r="P32" i="2"/>
  <c r="P53" i="2"/>
  <c r="P8" i="2"/>
  <c r="Q31" i="2"/>
  <c r="Q32" i="2"/>
  <c r="Q53" i="2"/>
  <c r="Q8" i="2"/>
  <c r="R31" i="2"/>
  <c r="R32" i="2"/>
  <c r="R53" i="2"/>
  <c r="R8" i="2"/>
  <c r="S31" i="2"/>
  <c r="S32" i="2"/>
  <c r="S53" i="2"/>
  <c r="S8" i="2"/>
  <c r="T31" i="2"/>
  <c r="T32" i="2"/>
  <c r="T53" i="2"/>
  <c r="T8" i="2"/>
  <c r="U31" i="2"/>
  <c r="U32" i="2"/>
  <c r="U53" i="2"/>
  <c r="U8" i="2"/>
  <c r="V31" i="2"/>
  <c r="V32" i="2"/>
  <c r="V53" i="2"/>
  <c r="V8" i="2"/>
  <c r="W31" i="2"/>
  <c r="W32" i="2"/>
  <c r="W53" i="2"/>
  <c r="W8" i="2"/>
  <c r="X31" i="2"/>
  <c r="X32" i="2"/>
  <c r="X53" i="2"/>
  <c r="X8" i="2"/>
  <c r="Y31" i="2"/>
  <c r="Y32" i="2"/>
  <c r="Y34" i="2"/>
  <c r="Y53" i="2"/>
  <c r="Y8" i="2"/>
  <c r="Z31" i="2"/>
  <c r="Z32" i="2"/>
  <c r="Z34" i="2"/>
  <c r="Z53" i="2"/>
  <c r="Z8" i="2"/>
  <c r="AA31" i="2"/>
  <c r="AA32" i="2"/>
  <c r="AA34" i="2"/>
  <c r="AA53" i="2"/>
  <c r="AA8" i="2"/>
  <c r="AB31" i="2"/>
  <c r="AB32" i="2"/>
  <c r="AB34" i="2"/>
  <c r="AB53" i="2"/>
  <c r="AB8" i="2"/>
  <c r="AC31" i="2"/>
  <c r="AC32" i="2"/>
  <c r="AC34" i="2"/>
  <c r="AC53" i="2"/>
  <c r="AC8" i="2"/>
  <c r="AD31" i="2"/>
  <c r="AD32" i="2"/>
  <c r="AD34" i="2"/>
  <c r="AD53" i="2"/>
  <c r="AD8" i="2"/>
  <c r="AE31" i="2"/>
  <c r="AE32" i="2"/>
  <c r="AE34" i="2"/>
  <c r="AE49" i="2"/>
  <c r="AE53" i="2"/>
  <c r="AE8" i="2"/>
  <c r="AF31" i="2"/>
  <c r="AF32" i="2"/>
  <c r="AF34" i="2"/>
  <c r="AF49" i="2"/>
  <c r="AF53" i="2"/>
  <c r="AF8" i="2"/>
  <c r="AG31" i="2"/>
  <c r="AG32" i="2"/>
  <c r="AG34" i="2"/>
  <c r="AG49" i="2"/>
  <c r="AG53" i="2"/>
  <c r="AG8" i="2"/>
  <c r="AH31" i="2"/>
  <c r="AH32" i="2"/>
  <c r="AH34" i="2"/>
  <c r="AH49" i="2"/>
  <c r="AH53" i="2"/>
  <c r="AH8" i="2"/>
  <c r="AI31" i="2"/>
  <c r="AI32" i="2"/>
  <c r="AI34" i="2"/>
  <c r="AI49" i="2"/>
  <c r="AI53" i="2"/>
  <c r="AI8" i="2"/>
  <c r="AJ31" i="2"/>
  <c r="AJ32" i="2"/>
  <c r="AJ34" i="2"/>
  <c r="AJ49" i="2"/>
  <c r="AJ53" i="2"/>
  <c r="AJ8" i="2"/>
  <c r="AK31" i="2"/>
  <c r="AK32" i="2"/>
  <c r="AK34" i="2"/>
  <c r="AK8" i="2"/>
  <c r="AL31" i="2"/>
  <c r="AL32" i="2"/>
  <c r="AL34" i="2"/>
  <c r="AL46" i="2"/>
  <c r="AL49" i="2"/>
  <c r="AL8" i="2"/>
  <c r="AM31" i="2"/>
  <c r="AM32" i="2"/>
  <c r="AM34" i="2"/>
  <c r="AM46" i="2"/>
  <c r="AM49" i="2"/>
  <c r="AM8" i="2"/>
  <c r="AN31" i="2"/>
  <c r="AN32" i="2"/>
  <c r="AN34" i="2"/>
  <c r="AN46" i="2"/>
  <c r="AN49" i="2"/>
  <c r="AN8" i="2"/>
  <c r="AO31" i="2"/>
  <c r="AO32" i="2"/>
  <c r="AO34" i="2"/>
  <c r="AO46" i="2"/>
  <c r="AO8" i="2"/>
  <c r="AP31" i="2"/>
  <c r="AP32" i="2"/>
  <c r="AP34" i="2"/>
  <c r="AP46" i="2"/>
  <c r="AP8" i="2"/>
  <c r="AQ31" i="2"/>
  <c r="AQ32" i="2"/>
  <c r="AQ34" i="2"/>
  <c r="AQ46" i="2"/>
  <c r="AQ8" i="2"/>
  <c r="AR31" i="2"/>
  <c r="AR32" i="2"/>
  <c r="AR34" i="2"/>
  <c r="AR46" i="2"/>
  <c r="AR8" i="2"/>
  <c r="AS31" i="2"/>
  <c r="AS32" i="2"/>
  <c r="AS34" i="2"/>
  <c r="AS46" i="2"/>
  <c r="AS8" i="2"/>
  <c r="AT31" i="2"/>
  <c r="AT32" i="2"/>
  <c r="AT34" i="2"/>
  <c r="AT46" i="2"/>
  <c r="AT8" i="2"/>
  <c r="AU31" i="2"/>
  <c r="AU32" i="2"/>
  <c r="AU34" i="2"/>
  <c r="AU46" i="2"/>
  <c r="AU8" i="2"/>
  <c r="AV31" i="2"/>
  <c r="AV32" i="2"/>
  <c r="AV34" i="2"/>
  <c r="AV46" i="2"/>
  <c r="AV8" i="2"/>
  <c r="AW31" i="2"/>
  <c r="AW32" i="2"/>
  <c r="AW34" i="2"/>
  <c r="AW46" i="2"/>
  <c r="AW8" i="2"/>
  <c r="AX31" i="2"/>
  <c r="AX32" i="2"/>
  <c r="AX34" i="2"/>
  <c r="AX46" i="2"/>
  <c r="AX8" i="2"/>
  <c r="AY31" i="2"/>
  <c r="AY32" i="2"/>
  <c r="AY34" i="2"/>
  <c r="AY46" i="2"/>
  <c r="AY8" i="2"/>
  <c r="AZ31" i="2"/>
  <c r="AZ32" i="2"/>
  <c r="AZ34" i="2"/>
  <c r="AZ46" i="2"/>
  <c r="AZ8" i="2"/>
  <c r="BA31" i="2"/>
  <c r="BA32" i="2"/>
  <c r="BA34" i="2"/>
  <c r="BA46" i="2"/>
  <c r="BA8" i="2"/>
  <c r="BB31" i="2"/>
  <c r="BB32" i="2"/>
  <c r="BB34" i="2"/>
  <c r="BB46" i="2"/>
  <c r="BB8" i="2"/>
  <c r="BC31" i="2"/>
  <c r="BC32" i="2"/>
  <c r="BC34" i="2"/>
  <c r="BC46" i="2"/>
  <c r="BC8" i="2"/>
  <c r="BD31" i="2"/>
  <c r="BD32" i="2"/>
  <c r="BD34" i="2"/>
  <c r="BD46" i="2"/>
  <c r="BD8" i="2"/>
  <c r="BE31" i="2"/>
  <c r="BE32" i="2"/>
  <c r="BE34" i="2"/>
  <c r="BE46" i="2"/>
  <c r="BE8" i="2"/>
  <c r="BF31" i="2"/>
  <c r="BF32" i="2"/>
  <c r="BF34" i="2"/>
  <c r="BF46" i="2"/>
  <c r="BF8" i="2"/>
  <c r="BG31" i="2"/>
  <c r="BG32" i="2"/>
  <c r="BG34" i="2"/>
  <c r="BG46" i="2"/>
  <c r="BG8" i="2"/>
  <c r="BH31" i="2"/>
  <c r="BH32" i="2"/>
  <c r="BH34" i="2"/>
  <c r="BH46" i="2"/>
  <c r="BH8" i="2"/>
  <c r="BI31" i="2"/>
  <c r="BI32" i="2"/>
  <c r="BI34" i="2"/>
  <c r="BI46" i="2"/>
  <c r="BI8" i="2"/>
  <c r="BJ31" i="2"/>
  <c r="BJ32" i="2"/>
  <c r="BJ34" i="2"/>
  <c r="BJ46" i="2"/>
  <c r="BJ8" i="2"/>
  <c r="BK31" i="2"/>
  <c r="BK32" i="2"/>
  <c r="BK34" i="2"/>
  <c r="BK46" i="2"/>
  <c r="BK8" i="2"/>
  <c r="BL31" i="2"/>
  <c r="BL32" i="2"/>
  <c r="BL34" i="2"/>
  <c r="BL46" i="2"/>
  <c r="BL8" i="2"/>
  <c r="BM31" i="2"/>
  <c r="BM32" i="2"/>
  <c r="BM34" i="2"/>
  <c r="BM46" i="2"/>
  <c r="BM8" i="2"/>
  <c r="BN31" i="2"/>
  <c r="BN32" i="2"/>
  <c r="BN34" i="2"/>
  <c r="BN46" i="2"/>
  <c r="BN8" i="2"/>
  <c r="BO31" i="2"/>
  <c r="BO32" i="2"/>
  <c r="BO34" i="2"/>
  <c r="BO46" i="2"/>
  <c r="BO8" i="2"/>
  <c r="BP31" i="2"/>
  <c r="BP32" i="2"/>
  <c r="BP34" i="2"/>
  <c r="BP46" i="2"/>
  <c r="BP8" i="2"/>
  <c r="BQ31" i="2"/>
  <c r="BQ32" i="2"/>
  <c r="BQ34" i="2"/>
  <c r="BQ46" i="2"/>
  <c r="BQ8" i="2"/>
  <c r="BR31" i="2"/>
  <c r="BR32" i="2"/>
  <c r="BR34" i="2"/>
  <c r="BR46" i="2"/>
  <c r="BR8" i="2"/>
  <c r="BS31" i="2"/>
  <c r="BS32" i="2"/>
  <c r="BS34" i="2"/>
  <c r="BS46" i="2"/>
  <c r="BS8" i="2"/>
  <c r="BT31" i="2"/>
  <c r="BT32" i="2"/>
  <c r="BT34" i="2"/>
  <c r="BT46" i="2"/>
  <c r="BT8" i="2"/>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I6" i="10"/>
  <c r="AJ6" i="10"/>
  <c r="AK6" i="10"/>
  <c r="AL6" i="10"/>
  <c r="AM6" i="10"/>
  <c r="AN6" i="10"/>
  <c r="AO6" i="10"/>
  <c r="AP6" i="10"/>
  <c r="AQ6" i="10"/>
  <c r="AR6" i="10"/>
  <c r="AS6" i="10"/>
  <c r="AT6" i="10"/>
  <c r="AU6" i="10"/>
  <c r="AV6" i="10"/>
  <c r="AW6" i="10"/>
  <c r="AX6" i="10"/>
  <c r="AY6" i="10"/>
  <c r="AZ6" i="10"/>
  <c r="BA6" i="10"/>
  <c r="BB6" i="10"/>
  <c r="BC6" i="10"/>
  <c r="BD6" i="10"/>
  <c r="BE6" i="10"/>
  <c r="BF6" i="10"/>
  <c r="BG6" i="10"/>
  <c r="BH6" i="10"/>
  <c r="BI6" i="10"/>
  <c r="A10" i="10" a="1"/>
  <c r="A10" i="10"/>
  <c r="O97" i="1"/>
  <c r="P97" i="1"/>
  <c r="Q97" i="1"/>
  <c r="R97" i="1"/>
  <c r="S97" i="1"/>
  <c r="T97" i="1"/>
  <c r="U97" i="1"/>
  <c r="V97" i="1"/>
  <c r="W97" i="1"/>
  <c r="X97" i="1"/>
  <c r="Y97" i="1"/>
  <c r="Z97" i="1"/>
  <c r="AA97" i="1"/>
  <c r="AB97" i="1"/>
  <c r="AC97" i="1"/>
  <c r="AD97" i="1"/>
  <c r="AE97" i="1"/>
  <c r="AF97" i="1"/>
  <c r="AG97" i="1"/>
  <c r="AH97" i="1"/>
  <c r="AI97" i="1"/>
  <c r="AJ97" i="1"/>
  <c r="AK97" i="1"/>
  <c r="AL97" i="1"/>
  <c r="AM97" i="1"/>
  <c r="AN97" i="1"/>
  <c r="AO97" i="1"/>
  <c r="AP97" i="1"/>
  <c r="AQ97" i="1"/>
  <c r="AR97" i="1"/>
  <c r="AS97" i="1"/>
  <c r="AT97" i="1"/>
  <c r="AU97" i="1"/>
  <c r="AV97" i="1"/>
  <c r="AW97" i="1"/>
  <c r="AX97" i="1"/>
  <c r="AY97" i="1"/>
  <c r="AZ97" i="1"/>
  <c r="BA97" i="1"/>
  <c r="BB97" i="1"/>
  <c r="BC97" i="1"/>
  <c r="BD97" i="1"/>
  <c r="BE97" i="1"/>
  <c r="BF97" i="1"/>
  <c r="BG97" i="1"/>
  <c r="BH97" i="1"/>
  <c r="BI97" i="1"/>
  <c r="BJ97" i="1"/>
  <c r="BK97" i="1"/>
  <c r="BL97" i="1"/>
  <c r="BM97" i="1"/>
  <c r="BN97" i="1"/>
  <c r="BO97" i="1"/>
  <c r="BP97" i="1"/>
  <c r="BQ97" i="1"/>
  <c r="BR97" i="1"/>
  <c r="BS97" i="1"/>
  <c r="BT97" i="1"/>
  <c r="N7" i="5"/>
  <c r="O7" i="5"/>
  <c r="P7" i="5"/>
  <c r="Q7" i="5"/>
  <c r="R7" i="5"/>
  <c r="S7" i="5"/>
  <c r="T7" i="5"/>
  <c r="U7" i="5"/>
  <c r="V7" i="5"/>
  <c r="W7" i="5"/>
  <c r="X7" i="5"/>
  <c r="Y7" i="5"/>
  <c r="Z7" i="5"/>
  <c r="AA7" i="5"/>
  <c r="AB7" i="5"/>
  <c r="AC7" i="5"/>
  <c r="AD7" i="5"/>
  <c r="AE7" i="5"/>
  <c r="AF7" i="5"/>
  <c r="AG7" i="5"/>
  <c r="AH7" i="5"/>
  <c r="AI7" i="5"/>
  <c r="AJ7" i="5"/>
  <c r="AK7" i="5"/>
  <c r="AL7" i="5"/>
  <c r="AM7" i="5"/>
  <c r="AN7" i="5"/>
  <c r="AO7" i="5"/>
  <c r="AP7" i="5"/>
  <c r="AQ7" i="5"/>
  <c r="AS7" i="5"/>
  <c r="AT7" i="5"/>
  <c r="AU7" i="5"/>
  <c r="AW7" i="5"/>
  <c r="AX7" i="5"/>
  <c r="AY7" i="5"/>
  <c r="AZ7" i="5"/>
  <c r="BA7" i="5"/>
  <c r="BB7" i="5"/>
  <c r="BC7" i="5"/>
  <c r="BD7" i="5"/>
  <c r="BE7" i="5"/>
  <c r="BF7" i="5"/>
  <c r="BG7" i="5"/>
  <c r="BH7" i="5"/>
  <c r="BI7" i="5"/>
  <c r="BJ7" i="5"/>
  <c r="BK7" i="5"/>
  <c r="BL7" i="5"/>
  <c r="BM7" i="5"/>
  <c r="BN7" i="5"/>
  <c r="BO7" i="5"/>
  <c r="BP7" i="5"/>
  <c r="BQ7" i="5"/>
  <c r="BR7" i="5"/>
  <c r="BT7" i="5"/>
  <c r="N12" i="11"/>
  <c r="N14" i="11"/>
  <c r="O12" i="11"/>
  <c r="O14" i="11"/>
  <c r="P12" i="11"/>
  <c r="P14" i="11"/>
  <c r="Q12" i="11"/>
  <c r="Q14" i="11"/>
  <c r="R12" i="11"/>
  <c r="R14" i="11"/>
  <c r="S12" i="11"/>
  <c r="S14" i="11"/>
  <c r="T12" i="11"/>
  <c r="T14" i="11"/>
  <c r="U12" i="11"/>
  <c r="U14" i="11"/>
  <c r="V12" i="11"/>
  <c r="V14" i="11"/>
  <c r="W12" i="11"/>
  <c r="W14" i="11"/>
  <c r="X12" i="11"/>
  <c r="X14" i="11"/>
  <c r="B16" i="13"/>
  <c r="C16" i="13"/>
  <c r="D16" i="13"/>
  <c r="E16" i="13"/>
  <c r="F16" i="13"/>
  <c r="B18" i="13"/>
  <c r="D18" i="13"/>
  <c r="E18" i="13"/>
  <c r="F18" i="13"/>
  <c r="C28" i="4"/>
  <c r="D28" i="4"/>
  <c r="E28" i="4"/>
  <c r="F28" i="4"/>
  <c r="G28" i="4"/>
  <c r="B7" i="13" a="1"/>
  <c r="D17" i="13"/>
  <c r="E17" i="13"/>
  <c r="F17" i="13"/>
  <c r="B7" i="13"/>
  <c r="C17" i="13"/>
  <c r="B17" i="13"/>
  <c r="F20" i="13"/>
  <c r="E20" i="13"/>
  <c r="D20" i="13"/>
  <c r="C20" i="13"/>
  <c r="B20" i="13"/>
  <c r="C10" i="13"/>
  <c r="D10" i="13"/>
  <c r="E10" i="13"/>
  <c r="F10" i="13"/>
  <c r="B10" i="13"/>
  <c r="K5" i="4" a="1"/>
  <c r="K5" i="4"/>
  <c r="M3" i="12" a="1"/>
  <c r="M3" i="12"/>
  <c r="C24" i="11"/>
  <c r="C22" i="11"/>
  <c r="X13" i="11"/>
  <c r="X15" i="11"/>
  <c r="W13" i="11"/>
  <c r="W15" i="11"/>
  <c r="V13" i="11"/>
  <c r="V15" i="11"/>
  <c r="U13" i="11"/>
  <c r="U15" i="11"/>
  <c r="T13" i="11"/>
  <c r="T15" i="11"/>
  <c r="S13" i="11"/>
  <c r="S15" i="11"/>
  <c r="R13" i="11"/>
  <c r="R15" i="11"/>
  <c r="Q13" i="11"/>
  <c r="Q15" i="11"/>
  <c r="P13" i="11"/>
  <c r="P15" i="11"/>
  <c r="O13" i="11"/>
  <c r="O15" i="11"/>
  <c r="N13" i="11"/>
  <c r="N15" i="11"/>
  <c r="N97" i="1"/>
  <c r="M97" i="1"/>
  <c r="N98" i="1"/>
  <c r="O98" i="1"/>
  <c r="P98" i="1"/>
  <c r="Q98" i="1"/>
  <c r="R98" i="1"/>
  <c r="S98" i="1"/>
  <c r="T98" i="1"/>
  <c r="U98" i="1"/>
  <c r="V98" i="1"/>
  <c r="W98" i="1"/>
  <c r="X98" i="1"/>
  <c r="Y98" i="1"/>
  <c r="Z98" i="1"/>
  <c r="AA98" i="1"/>
  <c r="AB98" i="1"/>
  <c r="AC98" i="1"/>
  <c r="AD98" i="1"/>
  <c r="AE98" i="1"/>
  <c r="AF98" i="1"/>
  <c r="AG98" i="1"/>
  <c r="AH98" i="1"/>
  <c r="AI98" i="1"/>
  <c r="AJ98" i="1"/>
  <c r="AK98" i="1"/>
  <c r="AL98" i="1"/>
  <c r="AM98" i="1"/>
  <c r="AN98" i="1"/>
  <c r="AO98" i="1"/>
  <c r="AP98" i="1"/>
  <c r="AQ98" i="1"/>
  <c r="AR98" i="1"/>
  <c r="AS98" i="1"/>
  <c r="AT98" i="1"/>
  <c r="AU98" i="1"/>
  <c r="AV98" i="1"/>
  <c r="AW98" i="1"/>
  <c r="AX98" i="1"/>
  <c r="AY98" i="1"/>
  <c r="AZ98" i="1"/>
  <c r="BA98" i="1"/>
  <c r="BB98" i="1"/>
  <c r="BC98" i="1"/>
  <c r="BD98" i="1"/>
  <c r="BE98" i="1"/>
  <c r="BF98" i="1"/>
  <c r="BG98" i="1"/>
  <c r="BH98" i="1"/>
  <c r="BI98" i="1"/>
  <c r="BJ98" i="1"/>
  <c r="BK98" i="1"/>
  <c r="BL98" i="1"/>
  <c r="BM98" i="1"/>
  <c r="BN98" i="1"/>
  <c r="BO98" i="1"/>
  <c r="BP98" i="1"/>
  <c r="BQ98" i="1"/>
  <c r="BR98" i="1"/>
  <c r="BS98" i="1"/>
  <c r="BT98" i="1"/>
  <c r="M98" i="1"/>
  <c r="C15" i="1" a="1"/>
  <c r="C15" i="1"/>
  <c r="C39" i="11"/>
  <c r="M20" i="11"/>
  <c r="E42" i="14"/>
  <c r="F42" i="14"/>
  <c r="G42" i="14"/>
  <c r="H42" i="14"/>
  <c r="I42" i="14"/>
  <c r="J42" i="14"/>
  <c r="K42" i="14"/>
  <c r="L42" i="14"/>
  <c r="M42" i="14"/>
  <c r="N42" i="14"/>
  <c r="O42" i="14"/>
  <c r="P42" i="14"/>
  <c r="Q42" i="14"/>
  <c r="R42" i="14"/>
  <c r="S42" i="14"/>
  <c r="T42" i="14"/>
  <c r="U42" i="14"/>
  <c r="V42" i="14"/>
  <c r="W42" i="14"/>
  <c r="X42" i="14"/>
  <c r="E97" i="14"/>
  <c r="F97" i="14"/>
  <c r="G97" i="14"/>
  <c r="H97" i="14"/>
  <c r="I97" i="14"/>
  <c r="U10" i="14"/>
  <c r="V10" i="14"/>
  <c r="W10" i="14"/>
  <c r="X10" i="14"/>
  <c r="I62" i="14"/>
  <c r="Q10" i="14"/>
  <c r="R10" i="14"/>
  <c r="S10" i="14"/>
  <c r="T10" i="14"/>
  <c r="H62" i="14"/>
  <c r="M10" i="14"/>
  <c r="N10" i="14"/>
  <c r="O10" i="14"/>
  <c r="P10" i="14"/>
  <c r="G62" i="14"/>
  <c r="I10" i="14"/>
  <c r="J10" i="14"/>
  <c r="K10" i="14"/>
  <c r="L10" i="14"/>
  <c r="F62" i="14"/>
  <c r="E10" i="14"/>
  <c r="F10" i="14"/>
  <c r="G10" i="14"/>
  <c r="H10" i="14"/>
  <c r="E62" i="14"/>
  <c r="M38" i="3"/>
  <c r="H38" i="3"/>
  <c r="M58" i="3"/>
  <c r="N38" i="3"/>
  <c r="O38" i="3"/>
  <c r="P38" i="3"/>
  <c r="Q38" i="3"/>
  <c r="R38" i="3"/>
  <c r="S38" i="3"/>
  <c r="T38" i="3"/>
  <c r="U38" i="3"/>
  <c r="V38" i="3"/>
  <c r="W38" i="3"/>
  <c r="X38" i="3"/>
  <c r="Y38" i="3"/>
  <c r="Z38" i="3"/>
  <c r="AA38" i="3"/>
  <c r="AB38" i="3"/>
  <c r="AC38" i="3"/>
  <c r="AD38" i="3"/>
  <c r="AE38" i="3"/>
  <c r="AF38" i="3"/>
  <c r="AG38" i="3"/>
  <c r="AH38" i="3"/>
  <c r="AI38" i="3"/>
  <c r="AJ38" i="3"/>
  <c r="AK38" i="3"/>
  <c r="AL38" i="3"/>
  <c r="AM38" i="3"/>
  <c r="AN38" i="3"/>
  <c r="AO38" i="3"/>
  <c r="AP38" i="3"/>
  <c r="AQ38" i="3"/>
  <c r="AR38" i="3"/>
  <c r="AS38" i="3"/>
  <c r="AT38" i="3"/>
  <c r="AU38" i="3"/>
  <c r="AV38" i="3"/>
  <c r="AW38" i="3"/>
  <c r="AX38" i="3"/>
  <c r="AY38" i="3"/>
  <c r="AZ38" i="3"/>
  <c r="BA38" i="3"/>
  <c r="BB38" i="3"/>
  <c r="BC38" i="3"/>
  <c r="BD38" i="3"/>
  <c r="BE38" i="3"/>
  <c r="BF38" i="3"/>
  <c r="BG38" i="3"/>
  <c r="BH38" i="3"/>
  <c r="BI38" i="3"/>
  <c r="BJ38" i="3"/>
  <c r="BK38" i="3"/>
  <c r="BL38" i="3"/>
  <c r="BM38" i="3"/>
  <c r="BN38" i="3"/>
  <c r="BO38" i="3"/>
  <c r="BP38" i="3"/>
  <c r="BQ38" i="3"/>
  <c r="BR38" i="3"/>
  <c r="BS38" i="3"/>
  <c r="BT38" i="3"/>
  <c r="N58" i="3"/>
  <c r="O58" i="3"/>
  <c r="P58" i="3"/>
  <c r="Q58" i="3"/>
  <c r="R58" i="3"/>
  <c r="S58" i="3"/>
  <c r="T58" i="3"/>
  <c r="U58" i="3"/>
  <c r="V58" i="3"/>
  <c r="W58" i="3"/>
  <c r="X58" i="3"/>
  <c r="Y58" i="3"/>
  <c r="Z58" i="3"/>
  <c r="AA58" i="3"/>
  <c r="AB58" i="3"/>
  <c r="AC58" i="3"/>
  <c r="AD58" i="3"/>
  <c r="E33" i="14"/>
  <c r="F33" i="14"/>
  <c r="G33" i="14"/>
  <c r="H33" i="14"/>
  <c r="E88" i="14"/>
  <c r="I33" i="14"/>
  <c r="J33" i="14"/>
  <c r="AE58" i="3"/>
  <c r="AF58" i="3"/>
  <c r="AG58" i="3"/>
  <c r="K33" i="14"/>
  <c r="AH58" i="3"/>
  <c r="AI58" i="3"/>
  <c r="AJ58" i="3"/>
  <c r="L33" i="14"/>
  <c r="F88" i="14"/>
  <c r="AK58" i="3"/>
  <c r="AL58" i="3"/>
  <c r="AM58" i="3"/>
  <c r="M33" i="14"/>
  <c r="AN58" i="3"/>
  <c r="AO58" i="3"/>
  <c r="AP58" i="3"/>
  <c r="N33" i="14"/>
  <c r="AQ58" i="3"/>
  <c r="AR58" i="3"/>
  <c r="AS58" i="3"/>
  <c r="O33" i="14"/>
  <c r="AT58" i="3"/>
  <c r="AU58" i="3"/>
  <c r="AV58" i="3"/>
  <c r="P33" i="14"/>
  <c r="G88" i="14"/>
  <c r="AW58" i="3"/>
  <c r="AX58" i="3"/>
  <c r="AY58" i="3"/>
  <c r="Q33" i="14"/>
  <c r="AZ58" i="3"/>
  <c r="BA58" i="3"/>
  <c r="BB58" i="3"/>
  <c r="R33" i="14"/>
  <c r="BC58" i="3"/>
  <c r="BD58" i="3"/>
  <c r="BE58" i="3"/>
  <c r="S33" i="14"/>
  <c r="BF58" i="3"/>
  <c r="BG58" i="3"/>
  <c r="BH58" i="3"/>
  <c r="T33" i="14"/>
  <c r="H88" i="14"/>
  <c r="BI58" i="3"/>
  <c r="BJ58" i="3"/>
  <c r="BK58" i="3"/>
  <c r="U33" i="14"/>
  <c r="BL58" i="3"/>
  <c r="BM58" i="3"/>
  <c r="BN58" i="3"/>
  <c r="V33" i="14"/>
  <c r="BO58" i="3"/>
  <c r="BP58" i="3"/>
  <c r="BQ58" i="3"/>
  <c r="W33" i="14"/>
  <c r="BR58" i="3"/>
  <c r="BS58" i="3"/>
  <c r="BT58" i="3"/>
  <c r="X33" i="14"/>
  <c r="I88" i="14"/>
  <c r="E16" i="14"/>
  <c r="F16" i="14"/>
  <c r="G16" i="14"/>
  <c r="H16" i="14"/>
  <c r="E68" i="14"/>
  <c r="I16" i="14"/>
  <c r="J16" i="14"/>
  <c r="K16" i="14"/>
  <c r="L16" i="14"/>
  <c r="F68" i="14"/>
  <c r="M16" i="14"/>
  <c r="N16" i="14"/>
  <c r="O16" i="14"/>
  <c r="P16" i="14"/>
  <c r="G68" i="14"/>
  <c r="Q16" i="14"/>
  <c r="R16" i="14"/>
  <c r="S16" i="14"/>
  <c r="T16" i="14"/>
  <c r="H68" i="14"/>
  <c r="U16" i="14"/>
  <c r="V16" i="14"/>
  <c r="W16" i="14"/>
  <c r="X16" i="14"/>
  <c r="I68" i="14"/>
  <c r="M10" i="5"/>
  <c r="BS10" i="5"/>
  <c r="AV10" i="5"/>
  <c r="AR10" i="5"/>
  <c r="N10" i="5"/>
  <c r="O10" i="5"/>
  <c r="P10" i="5"/>
  <c r="Q10" i="5"/>
  <c r="R10" i="5"/>
  <c r="S10" i="5"/>
  <c r="T10" i="5"/>
  <c r="U10" i="5"/>
  <c r="V10" i="5"/>
  <c r="W10" i="5"/>
  <c r="X10" i="5"/>
  <c r="Y10" i="5"/>
  <c r="Z10" i="5"/>
  <c r="AA10" i="5"/>
  <c r="AB10" i="5"/>
  <c r="AC10" i="5"/>
  <c r="AD10" i="5"/>
  <c r="AE10" i="5"/>
  <c r="AF10" i="5"/>
  <c r="AG10" i="5"/>
  <c r="AH10" i="5"/>
  <c r="AI10" i="5"/>
  <c r="AJ10" i="5"/>
  <c r="AK10" i="5"/>
  <c r="AL10" i="5"/>
  <c r="AM10" i="5"/>
  <c r="AN10" i="5"/>
  <c r="AO10" i="5"/>
  <c r="AP10" i="5"/>
  <c r="AQ10" i="5"/>
  <c r="AS10" i="5"/>
  <c r="AT10" i="5"/>
  <c r="AU10" i="5"/>
  <c r="AW10" i="5"/>
  <c r="AX10" i="5"/>
  <c r="AY10" i="5"/>
  <c r="AZ10" i="5"/>
  <c r="BA10" i="5"/>
  <c r="BB10" i="5"/>
  <c r="BC10" i="5"/>
  <c r="BD10" i="5"/>
  <c r="BE10" i="5"/>
  <c r="BF10" i="5"/>
  <c r="BG10" i="5"/>
  <c r="BH10" i="5"/>
  <c r="BI10" i="5"/>
  <c r="BJ10" i="5"/>
  <c r="BK10" i="5"/>
  <c r="BL10" i="5"/>
  <c r="BM10" i="5"/>
  <c r="BN10" i="5"/>
  <c r="BO10" i="5"/>
  <c r="BP10" i="5"/>
  <c r="BQ10" i="5"/>
  <c r="BR10" i="5"/>
  <c r="BT10" i="5"/>
  <c r="AG29" i="5"/>
  <c r="AG13" i="5"/>
  <c r="AG6" i="5"/>
  <c r="M6" i="5"/>
  <c r="M13" i="5"/>
  <c r="M29" i="5"/>
  <c r="F108" i="14"/>
  <c r="G108" i="14"/>
  <c r="H108" i="14"/>
  <c r="I108" i="14"/>
  <c r="E108" i="14"/>
  <c r="P53" i="14"/>
  <c r="Q53" i="14"/>
  <c r="R53" i="14"/>
  <c r="S53" i="14"/>
  <c r="T53" i="14"/>
  <c r="U53" i="14"/>
  <c r="V53" i="14"/>
  <c r="W53" i="14"/>
  <c r="X53" i="14"/>
  <c r="F53" i="14"/>
  <c r="G53" i="14"/>
  <c r="H53" i="14"/>
  <c r="I53" i="14"/>
  <c r="J53" i="14"/>
  <c r="K53" i="14"/>
  <c r="L53" i="14"/>
  <c r="M53" i="14"/>
  <c r="N53" i="14"/>
  <c r="O53" i="14"/>
  <c r="E53" i="14"/>
  <c r="I73" i="14"/>
  <c r="I72" i="14"/>
  <c r="U20" i="14"/>
  <c r="H73" i="14"/>
  <c r="H72" i="14"/>
  <c r="Q20" i="14"/>
  <c r="G73" i="14"/>
  <c r="G72" i="14"/>
  <c r="M20" i="14"/>
  <c r="F73" i="14"/>
  <c r="F72" i="14"/>
  <c r="I20" i="14"/>
  <c r="E73" i="14"/>
  <c r="E72" i="14"/>
  <c r="X21" i="14"/>
  <c r="W21" i="14"/>
  <c r="V21" i="14"/>
  <c r="U21" i="14"/>
  <c r="T21" i="14"/>
  <c r="S21" i="14"/>
  <c r="R21" i="14"/>
  <c r="Q21" i="14"/>
  <c r="P21" i="14"/>
  <c r="O21" i="14"/>
  <c r="N21" i="14"/>
  <c r="M21" i="14"/>
  <c r="L21" i="14"/>
  <c r="K21" i="14"/>
  <c r="J21" i="14"/>
  <c r="I21" i="14"/>
  <c r="H21" i="14"/>
  <c r="G21" i="14"/>
  <c r="F21" i="14"/>
  <c r="E20" i="14"/>
  <c r="E21" i="14"/>
  <c r="X20" i="14"/>
  <c r="W20" i="14"/>
  <c r="V20" i="14"/>
  <c r="T20" i="14"/>
  <c r="S20" i="14"/>
  <c r="R20" i="14"/>
  <c r="P20" i="14"/>
  <c r="O20" i="14"/>
  <c r="N20" i="14"/>
  <c r="L20" i="14"/>
  <c r="K20" i="14"/>
  <c r="J20" i="14"/>
  <c r="H20" i="14"/>
  <c r="G20" i="14"/>
  <c r="F20" i="14"/>
  <c r="I71" i="14"/>
  <c r="U19" i="14"/>
  <c r="X19" i="14"/>
  <c r="W19" i="14"/>
  <c r="V19" i="14"/>
  <c r="I70" i="14"/>
  <c r="U18" i="14"/>
  <c r="X18" i="14"/>
  <c r="W18" i="14"/>
  <c r="V18" i="14"/>
  <c r="H71" i="14"/>
  <c r="Q19" i="14"/>
  <c r="T19" i="14"/>
  <c r="S19" i="14"/>
  <c r="R19" i="14"/>
  <c r="H70" i="14"/>
  <c r="Q18" i="14"/>
  <c r="T18" i="14"/>
  <c r="S18" i="14"/>
  <c r="R18" i="14"/>
  <c r="G71" i="14"/>
  <c r="M19" i="14"/>
  <c r="P19" i="14"/>
  <c r="O19" i="14"/>
  <c r="N19" i="14"/>
  <c r="G70" i="14"/>
  <c r="M18" i="14"/>
  <c r="P18" i="14"/>
  <c r="O18" i="14"/>
  <c r="N18" i="14"/>
  <c r="F71" i="14"/>
  <c r="I19" i="14"/>
  <c r="L19" i="14"/>
  <c r="K19" i="14"/>
  <c r="J19" i="14"/>
  <c r="F70" i="14"/>
  <c r="I18" i="14"/>
  <c r="L18" i="14"/>
  <c r="K18" i="14"/>
  <c r="J18" i="14"/>
  <c r="E70" i="14"/>
  <c r="E18" i="14"/>
  <c r="H18" i="14"/>
  <c r="G18" i="14"/>
  <c r="F18" i="14"/>
  <c r="E71" i="14"/>
  <c r="E19" i="14"/>
  <c r="H19" i="14"/>
  <c r="G19" i="14"/>
  <c r="F19" i="14"/>
  <c r="BT77" i="3"/>
  <c r="BT61" i="3"/>
  <c r="BT51" i="3"/>
  <c r="BS51" i="3"/>
  <c r="BS61" i="3"/>
  <c r="BS77" i="3"/>
  <c r="BT27" i="5"/>
  <c r="BT25" i="5"/>
  <c r="BT22" i="5"/>
  <c r="BT45" i="3"/>
  <c r="BR27" i="5"/>
  <c r="BR25" i="5"/>
  <c r="BR22" i="5"/>
  <c r="BR45" i="3"/>
  <c r="BR51" i="3"/>
  <c r="BR61" i="3"/>
  <c r="BR77" i="3"/>
  <c r="BQ51" i="3"/>
  <c r="BQ61" i="3"/>
  <c r="BQ77" i="3"/>
  <c r="BQ27" i="5"/>
  <c r="BQ25" i="5"/>
  <c r="BQ22" i="5"/>
  <c r="BQ45" i="3"/>
  <c r="BP27" i="5"/>
  <c r="BP25" i="5"/>
  <c r="BP22" i="5"/>
  <c r="BP45" i="3"/>
  <c r="BP51" i="3"/>
  <c r="BP61" i="3"/>
  <c r="BP77" i="3"/>
  <c r="BO51" i="3"/>
  <c r="BO61" i="3"/>
  <c r="BO77" i="3"/>
  <c r="BO27" i="5"/>
  <c r="BO25" i="5"/>
  <c r="BO22" i="5"/>
  <c r="BO45" i="3"/>
  <c r="BN27" i="5"/>
  <c r="BN25" i="5"/>
  <c r="BN22" i="5"/>
  <c r="BN45" i="3"/>
  <c r="BN51" i="3"/>
  <c r="BN61" i="3"/>
  <c r="BN77" i="3"/>
  <c r="BM51" i="3"/>
  <c r="BM61" i="3"/>
  <c r="BM77" i="3"/>
  <c r="BM27" i="5"/>
  <c r="BM25" i="5"/>
  <c r="BM22" i="5"/>
  <c r="BM45" i="3"/>
  <c r="BL27" i="5"/>
  <c r="BL25" i="5"/>
  <c r="BL22" i="5"/>
  <c r="BL45" i="3"/>
  <c r="BL51" i="3"/>
  <c r="BL61" i="3"/>
  <c r="BL77" i="3"/>
  <c r="BK51" i="3"/>
  <c r="BK61" i="3"/>
  <c r="BK77" i="3"/>
  <c r="BK27" i="5"/>
  <c r="BK25" i="5"/>
  <c r="BK22" i="5"/>
  <c r="BK45" i="3"/>
  <c r="BJ27" i="5"/>
  <c r="BJ25" i="5"/>
  <c r="BJ22" i="5"/>
  <c r="BJ45" i="3"/>
  <c r="BJ51" i="3"/>
  <c r="BJ61" i="3"/>
  <c r="BJ77" i="3"/>
  <c r="BI51" i="3"/>
  <c r="BI61" i="3"/>
  <c r="BI77" i="3"/>
  <c r="BI27" i="5"/>
  <c r="BI25" i="5"/>
  <c r="BI22" i="5"/>
  <c r="BI45" i="3"/>
  <c r="BH27" i="5"/>
  <c r="BH25" i="5"/>
  <c r="BH22" i="5"/>
  <c r="BH45" i="3"/>
  <c r="BH51" i="3"/>
  <c r="BH61" i="3"/>
  <c r="BH77" i="3"/>
  <c r="BG51" i="3"/>
  <c r="BG61" i="3"/>
  <c r="BG77" i="3"/>
  <c r="BG27" i="5"/>
  <c r="BG25" i="5"/>
  <c r="BG22" i="5"/>
  <c r="BG45" i="3"/>
  <c r="BF27" i="5"/>
  <c r="BF25" i="5"/>
  <c r="BF22" i="5"/>
  <c r="BF45" i="3"/>
  <c r="BF51" i="3"/>
  <c r="BF61" i="3"/>
  <c r="BF77" i="3"/>
  <c r="BE51" i="3"/>
  <c r="BE61" i="3"/>
  <c r="BE77" i="3"/>
  <c r="BE27" i="5"/>
  <c r="BE25" i="5"/>
  <c r="BE22" i="5"/>
  <c r="BE45" i="3"/>
  <c r="BD27" i="5"/>
  <c r="BD25" i="5"/>
  <c r="BD22" i="5"/>
  <c r="BD45" i="3"/>
  <c r="BD51" i="3"/>
  <c r="BD61" i="3"/>
  <c r="BD77" i="3"/>
  <c r="BC51" i="3"/>
  <c r="BC61" i="3"/>
  <c r="BC77" i="3"/>
  <c r="BC27" i="5"/>
  <c r="BC25" i="5"/>
  <c r="BC22" i="5"/>
  <c r="BC45" i="3"/>
  <c r="BB27" i="5"/>
  <c r="BB25" i="5"/>
  <c r="BB22" i="5"/>
  <c r="BB45" i="3"/>
  <c r="BB51" i="3"/>
  <c r="BB61" i="3"/>
  <c r="BB77" i="3"/>
  <c r="BA51" i="3"/>
  <c r="BA61" i="3"/>
  <c r="BA77" i="3"/>
  <c r="BA27" i="5"/>
  <c r="BA25" i="5"/>
  <c r="BA22" i="5"/>
  <c r="BA45" i="3"/>
  <c r="AZ27" i="5"/>
  <c r="AZ25" i="5"/>
  <c r="AZ22" i="5"/>
  <c r="AZ45" i="3"/>
  <c r="AZ51" i="3"/>
  <c r="AZ61" i="3"/>
  <c r="AZ77" i="3"/>
  <c r="AY51" i="3"/>
  <c r="AY61" i="3"/>
  <c r="AY77" i="3"/>
  <c r="AY27" i="5"/>
  <c r="AY25" i="5"/>
  <c r="AY22" i="5"/>
  <c r="AY45" i="3"/>
  <c r="AX27" i="5"/>
  <c r="AX25" i="5"/>
  <c r="AX22" i="5"/>
  <c r="AX45" i="3"/>
  <c r="AX51" i="3"/>
  <c r="AX61" i="3"/>
  <c r="AX77" i="3"/>
  <c r="AW51" i="3"/>
  <c r="AW61" i="3"/>
  <c r="AW77" i="3"/>
  <c r="AW27" i="5"/>
  <c r="AW25" i="5"/>
  <c r="AW22" i="5"/>
  <c r="AW45" i="3"/>
  <c r="AV51" i="3"/>
  <c r="AV61" i="3"/>
  <c r="AV77" i="3"/>
  <c r="AU51" i="3"/>
  <c r="AU61" i="3"/>
  <c r="AU77" i="3"/>
  <c r="AU27" i="5"/>
  <c r="AU25" i="5"/>
  <c r="AU22" i="5"/>
  <c r="AU45" i="3"/>
  <c r="AT27" i="5"/>
  <c r="AT25" i="5"/>
  <c r="AT22" i="5"/>
  <c r="AT45" i="3"/>
  <c r="AT51" i="3"/>
  <c r="AT61" i="3"/>
  <c r="AT77" i="3"/>
  <c r="AS51" i="3"/>
  <c r="AS61" i="3"/>
  <c r="AS77" i="3"/>
  <c r="AS27" i="5"/>
  <c r="AS25" i="5"/>
  <c r="AS22" i="5"/>
  <c r="AS45" i="3"/>
  <c r="AR51" i="3"/>
  <c r="AR61" i="3"/>
  <c r="AR77" i="3"/>
  <c r="AQ51" i="3"/>
  <c r="AQ61" i="3"/>
  <c r="AQ77" i="3"/>
  <c r="AQ27" i="5"/>
  <c r="AQ25" i="5"/>
  <c r="AQ22" i="5"/>
  <c r="AQ45" i="3"/>
  <c r="AP27" i="5"/>
  <c r="AP25" i="5"/>
  <c r="AP22" i="5"/>
  <c r="AP45" i="3"/>
  <c r="AP51" i="3"/>
  <c r="AP61" i="3"/>
  <c r="AP77" i="3"/>
  <c r="AO51" i="3"/>
  <c r="AO61" i="3"/>
  <c r="AO77" i="3"/>
  <c r="AO27" i="5"/>
  <c r="AO25" i="5"/>
  <c r="AO22" i="5"/>
  <c r="AO45" i="3"/>
  <c r="AN27" i="5"/>
  <c r="AN25" i="5"/>
  <c r="AN22" i="5"/>
  <c r="AN45" i="3"/>
  <c r="AN51" i="3"/>
  <c r="AN61" i="3"/>
  <c r="AN77" i="3"/>
  <c r="AM51" i="3"/>
  <c r="AM61" i="3"/>
  <c r="AM77" i="3"/>
  <c r="AM27" i="5"/>
  <c r="AM25" i="5"/>
  <c r="AM22" i="5"/>
  <c r="AM45" i="3"/>
  <c r="AL27" i="5"/>
  <c r="AL25" i="5"/>
  <c r="AL22" i="5"/>
  <c r="AL45" i="3"/>
  <c r="AL51" i="3"/>
  <c r="AL61" i="3"/>
  <c r="AL77" i="3"/>
  <c r="AK51" i="3"/>
  <c r="AK61" i="3"/>
  <c r="AK77" i="3"/>
  <c r="AK27" i="5"/>
  <c r="AK25" i="5"/>
  <c r="AK22" i="5"/>
  <c r="AK45" i="3"/>
  <c r="AJ27" i="5"/>
  <c r="AJ25" i="5"/>
  <c r="AJ22" i="5"/>
  <c r="AJ45" i="3"/>
  <c r="AJ51" i="3"/>
  <c r="AJ61" i="3"/>
  <c r="AJ77" i="3"/>
  <c r="AI51" i="3"/>
  <c r="AI61" i="3"/>
  <c r="AI77" i="3"/>
  <c r="AI27" i="5"/>
  <c r="AI25" i="5"/>
  <c r="AI22" i="5"/>
  <c r="AI45" i="3"/>
  <c r="AH27" i="5"/>
  <c r="AH25" i="5"/>
  <c r="AH22" i="5"/>
  <c r="AH45" i="3"/>
  <c r="AH51" i="3"/>
  <c r="AH61" i="3"/>
  <c r="AH77" i="3"/>
  <c r="AG51" i="3"/>
  <c r="AG61" i="3"/>
  <c r="AG77" i="3"/>
  <c r="AG27" i="5"/>
  <c r="AG25" i="5"/>
  <c r="AG22" i="5"/>
  <c r="AG45" i="3"/>
  <c r="AF27" i="5"/>
  <c r="AF25" i="5"/>
  <c r="AF22" i="5"/>
  <c r="AF45" i="3"/>
  <c r="AF51" i="3"/>
  <c r="AF61" i="3"/>
  <c r="AF77" i="3"/>
  <c r="AE51" i="3"/>
  <c r="AE61" i="3"/>
  <c r="AE77" i="3"/>
  <c r="AE27" i="5"/>
  <c r="AE25" i="5"/>
  <c r="AE22" i="5"/>
  <c r="AE45" i="3"/>
  <c r="AD27" i="5"/>
  <c r="AD25" i="5"/>
  <c r="AD22" i="5"/>
  <c r="AD45" i="3"/>
  <c r="X26" i="14"/>
  <c r="X36" i="14"/>
  <c r="X52" i="14"/>
  <c r="W26" i="14"/>
  <c r="W36" i="14"/>
  <c r="W52" i="14"/>
  <c r="V26" i="14"/>
  <c r="V36" i="14"/>
  <c r="V52" i="14"/>
  <c r="AC77" i="3"/>
  <c r="AC27" i="5"/>
  <c r="AC25" i="5"/>
  <c r="AC22" i="5"/>
  <c r="AC45" i="3"/>
  <c r="AB27" i="5"/>
  <c r="AB25" i="5"/>
  <c r="AB22" i="5"/>
  <c r="AB45" i="3"/>
  <c r="U26" i="14"/>
  <c r="U36" i="14"/>
  <c r="U52" i="14"/>
  <c r="AB77" i="3"/>
  <c r="T26" i="14"/>
  <c r="T36" i="14"/>
  <c r="T52" i="14"/>
  <c r="AA77" i="3"/>
  <c r="AA27" i="5"/>
  <c r="AA25" i="5"/>
  <c r="AA22" i="5"/>
  <c r="AA45" i="3"/>
  <c r="Z27" i="5"/>
  <c r="Z25" i="5"/>
  <c r="Z22" i="5"/>
  <c r="Z45" i="3"/>
  <c r="S26" i="14"/>
  <c r="S36" i="14"/>
  <c r="S52" i="14"/>
  <c r="Z77" i="3"/>
  <c r="R26" i="14"/>
  <c r="R36" i="14"/>
  <c r="R52" i="14"/>
  <c r="Y77" i="3"/>
  <c r="Y27" i="5"/>
  <c r="Y25" i="5"/>
  <c r="Y22" i="5"/>
  <c r="Y45" i="3"/>
  <c r="X27" i="5"/>
  <c r="X25" i="5"/>
  <c r="X22" i="5"/>
  <c r="X45" i="3"/>
  <c r="Q26" i="14"/>
  <c r="Q36" i="14"/>
  <c r="Q52" i="14"/>
  <c r="X77" i="3"/>
  <c r="P26" i="14"/>
  <c r="P36" i="14"/>
  <c r="P52" i="14"/>
  <c r="W77" i="3"/>
  <c r="W27" i="5"/>
  <c r="W25" i="5"/>
  <c r="W22" i="5"/>
  <c r="W45" i="3"/>
  <c r="V27" i="5"/>
  <c r="V25" i="5"/>
  <c r="V22" i="5"/>
  <c r="V45" i="3"/>
  <c r="O26" i="14"/>
  <c r="O36" i="14"/>
  <c r="O52" i="14"/>
  <c r="V77" i="3"/>
  <c r="N26" i="14"/>
  <c r="N36" i="14"/>
  <c r="N52" i="14"/>
  <c r="U77" i="3"/>
  <c r="U27" i="5"/>
  <c r="U25" i="5"/>
  <c r="U22" i="5"/>
  <c r="U45" i="3"/>
  <c r="T27" i="5"/>
  <c r="T25" i="5"/>
  <c r="T22" i="5"/>
  <c r="T45" i="3"/>
  <c r="M26" i="14"/>
  <c r="M36" i="14"/>
  <c r="M52" i="14"/>
  <c r="T77" i="3"/>
  <c r="L26" i="14"/>
  <c r="L36" i="14"/>
  <c r="L52" i="14"/>
  <c r="S77" i="3"/>
  <c r="S27" i="5"/>
  <c r="S25" i="5"/>
  <c r="S22" i="5"/>
  <c r="S45" i="3"/>
  <c r="R27" i="5"/>
  <c r="R25" i="5"/>
  <c r="R22" i="5"/>
  <c r="R45" i="3"/>
  <c r="K26" i="14"/>
  <c r="K36" i="14"/>
  <c r="K52" i="14"/>
  <c r="R77" i="3"/>
  <c r="J26" i="14"/>
  <c r="J36" i="14"/>
  <c r="J52" i="14"/>
  <c r="Q77" i="3"/>
  <c r="Q27" i="5"/>
  <c r="Q25" i="5"/>
  <c r="Q22" i="5"/>
  <c r="Q45" i="3"/>
  <c r="P27" i="5"/>
  <c r="P25" i="5"/>
  <c r="P22" i="5"/>
  <c r="P45" i="3"/>
  <c r="I26" i="14"/>
  <c r="I36" i="14"/>
  <c r="I52" i="14"/>
  <c r="P77" i="3"/>
  <c r="H26" i="14"/>
  <c r="H36" i="14"/>
  <c r="H52" i="14"/>
  <c r="O77" i="3"/>
  <c r="O27" i="5"/>
  <c r="O25" i="5"/>
  <c r="O22" i="5"/>
  <c r="O45" i="3"/>
  <c r="N27" i="5"/>
  <c r="N25" i="5"/>
  <c r="N22" i="5"/>
  <c r="N45" i="3"/>
  <c r="G26" i="14"/>
  <c r="G36" i="14"/>
  <c r="G52" i="14"/>
  <c r="N77" i="3"/>
  <c r="F26" i="14"/>
  <c r="F36" i="14"/>
  <c r="F52" i="14"/>
  <c r="E36" i="14"/>
  <c r="E52" i="14"/>
  <c r="AR27" i="5"/>
  <c r="AR25" i="5"/>
  <c r="AR22" i="5"/>
  <c r="AR45" i="3"/>
  <c r="AV27" i="5"/>
  <c r="AV25" i="5"/>
  <c r="AV22" i="5"/>
  <c r="AV45" i="3"/>
  <c r="BS27" i="5"/>
  <c r="BS25" i="5"/>
  <c r="BS22" i="5"/>
  <c r="BS45" i="3"/>
  <c r="E107" i="14"/>
  <c r="I81" i="14"/>
  <c r="I91" i="14"/>
  <c r="I107" i="14"/>
  <c r="I82" i="14"/>
  <c r="U27" i="14"/>
  <c r="BI44" i="3"/>
  <c r="BI52" i="3"/>
  <c r="X27" i="14"/>
  <c r="BR44" i="3"/>
  <c r="BR52" i="3"/>
  <c r="BT44" i="3"/>
  <c r="BT52" i="3"/>
  <c r="BS44" i="3"/>
  <c r="BS52" i="3"/>
  <c r="W27" i="14"/>
  <c r="BO44" i="3"/>
  <c r="BO52" i="3"/>
  <c r="BQ44" i="3"/>
  <c r="BQ52" i="3"/>
  <c r="BP44" i="3"/>
  <c r="BP52" i="3"/>
  <c r="V27" i="14"/>
  <c r="BL44" i="3"/>
  <c r="BL52" i="3"/>
  <c r="BN44" i="3"/>
  <c r="BN52" i="3"/>
  <c r="BM44" i="3"/>
  <c r="BM52" i="3"/>
  <c r="BK44" i="3"/>
  <c r="BK52" i="3"/>
  <c r="BJ44" i="3"/>
  <c r="BJ52" i="3"/>
  <c r="H81" i="14"/>
  <c r="H91" i="14"/>
  <c r="H107" i="14"/>
  <c r="H82" i="14"/>
  <c r="Q27" i="14"/>
  <c r="AW44" i="3"/>
  <c r="AW52" i="3"/>
  <c r="T27" i="14"/>
  <c r="BF44" i="3"/>
  <c r="BF52" i="3"/>
  <c r="BH44" i="3"/>
  <c r="BH52" i="3"/>
  <c r="BG44" i="3"/>
  <c r="BG52" i="3"/>
  <c r="S27" i="14"/>
  <c r="BC44" i="3"/>
  <c r="BC52" i="3"/>
  <c r="BE44" i="3"/>
  <c r="BE52" i="3"/>
  <c r="BD44" i="3"/>
  <c r="BD52" i="3"/>
  <c r="R27" i="14"/>
  <c r="AZ44" i="3"/>
  <c r="AZ52" i="3"/>
  <c r="BB44" i="3"/>
  <c r="BB52" i="3"/>
  <c r="BA44" i="3"/>
  <c r="BA52" i="3"/>
  <c r="AY44" i="3"/>
  <c r="AY52" i="3"/>
  <c r="AX44" i="3"/>
  <c r="AX52" i="3"/>
  <c r="G81" i="14"/>
  <c r="G91" i="14"/>
  <c r="G107" i="14"/>
  <c r="G82" i="14"/>
  <c r="M27" i="14"/>
  <c r="AK44" i="3"/>
  <c r="AK52" i="3"/>
  <c r="P27" i="14"/>
  <c r="AT44" i="3"/>
  <c r="AT52" i="3"/>
  <c r="AV44" i="3"/>
  <c r="AV52" i="3"/>
  <c r="AU44" i="3"/>
  <c r="AU52" i="3"/>
  <c r="O27" i="14"/>
  <c r="AQ44" i="3"/>
  <c r="AQ52" i="3"/>
  <c r="AS44" i="3"/>
  <c r="AS52" i="3"/>
  <c r="AR44" i="3"/>
  <c r="AR52" i="3"/>
  <c r="N27" i="14"/>
  <c r="AN44" i="3"/>
  <c r="AN52" i="3"/>
  <c r="AP44" i="3"/>
  <c r="AP52" i="3"/>
  <c r="AO44" i="3"/>
  <c r="AO52" i="3"/>
  <c r="AM44" i="3"/>
  <c r="AM52" i="3"/>
  <c r="AL44" i="3"/>
  <c r="AL52" i="3"/>
  <c r="E27" i="14"/>
  <c r="E82" i="14"/>
  <c r="E91" i="14"/>
  <c r="F81" i="14"/>
  <c r="F91" i="14"/>
  <c r="F107" i="14"/>
  <c r="F82" i="14"/>
  <c r="I27" i="14"/>
  <c r="Y44" i="3"/>
  <c r="Y52" i="3"/>
  <c r="L27" i="14"/>
  <c r="AH44" i="3"/>
  <c r="AH52" i="3"/>
  <c r="AJ44" i="3"/>
  <c r="AJ52" i="3"/>
  <c r="AI44" i="3"/>
  <c r="AI52" i="3"/>
  <c r="K27" i="14"/>
  <c r="AE44" i="3"/>
  <c r="AE52" i="3"/>
  <c r="AG44" i="3"/>
  <c r="AG52" i="3"/>
  <c r="AF44" i="3"/>
  <c r="AF52" i="3"/>
  <c r="J27" i="14"/>
  <c r="AB44" i="3"/>
  <c r="AB52" i="3"/>
  <c r="H27" i="14"/>
  <c r="V44" i="3"/>
  <c r="V52" i="3"/>
  <c r="G27" i="14"/>
  <c r="S44" i="3"/>
  <c r="S52" i="3"/>
  <c r="F27" i="14"/>
  <c r="P44" i="3"/>
  <c r="P52" i="3"/>
  <c r="N51" i="3"/>
  <c r="N61" i="3"/>
  <c r="O51" i="3"/>
  <c r="O61" i="3"/>
  <c r="P51" i="3"/>
  <c r="P61" i="3"/>
  <c r="Q51" i="3"/>
  <c r="Q61" i="3"/>
  <c r="R51" i="3"/>
  <c r="R61" i="3"/>
  <c r="S51" i="3"/>
  <c r="S61" i="3"/>
  <c r="T51" i="3"/>
  <c r="T61" i="3"/>
  <c r="U51" i="3"/>
  <c r="U61" i="3"/>
  <c r="V51" i="3"/>
  <c r="V61" i="3"/>
  <c r="W51" i="3"/>
  <c r="W61" i="3"/>
  <c r="X51" i="3"/>
  <c r="X61" i="3"/>
  <c r="Y51" i="3"/>
  <c r="Y61" i="3"/>
  <c r="Z51" i="3"/>
  <c r="Z61" i="3"/>
  <c r="AA51" i="3"/>
  <c r="AA61" i="3"/>
  <c r="AB51" i="3"/>
  <c r="AB61" i="3"/>
  <c r="AC51" i="3"/>
  <c r="AC61" i="3"/>
  <c r="AD51" i="3"/>
  <c r="AD61" i="3"/>
  <c r="AD77" i="3"/>
  <c r="AD44" i="3"/>
  <c r="AD52" i="3"/>
  <c r="AC44" i="3"/>
  <c r="AC52" i="3"/>
  <c r="AA44" i="3"/>
  <c r="AA52" i="3"/>
  <c r="Z44" i="3"/>
  <c r="Z52" i="3"/>
  <c r="X44" i="3"/>
  <c r="X52" i="3"/>
  <c r="W44" i="3"/>
  <c r="W52" i="3"/>
  <c r="U44" i="3"/>
  <c r="U52" i="3"/>
  <c r="T44" i="3"/>
  <c r="T52" i="3"/>
  <c r="R44" i="3"/>
  <c r="R52" i="3"/>
  <c r="Q44" i="3"/>
  <c r="Q52" i="3"/>
  <c r="O44" i="3"/>
  <c r="O52" i="3"/>
  <c r="N44" i="3"/>
  <c r="N52" i="3"/>
  <c r="J78" i="3"/>
  <c r="J79" i="3"/>
  <c r="X50" i="14"/>
  <c r="X40" i="14"/>
  <c r="W50" i="14"/>
  <c r="W40" i="14"/>
  <c r="V50" i="14"/>
  <c r="V40" i="14"/>
  <c r="U50" i="14"/>
  <c r="U40" i="14"/>
  <c r="T50" i="14"/>
  <c r="T40" i="14"/>
  <c r="S50" i="14"/>
  <c r="S40" i="14"/>
  <c r="R50" i="14"/>
  <c r="R40" i="14"/>
  <c r="Q50" i="14"/>
  <c r="Q40" i="14"/>
  <c r="P50" i="14"/>
  <c r="P40" i="14"/>
  <c r="O50" i="14"/>
  <c r="O40" i="14"/>
  <c r="N50" i="14"/>
  <c r="N40" i="14"/>
  <c r="M50" i="14"/>
  <c r="M40" i="14"/>
  <c r="L50" i="14"/>
  <c r="L40" i="14"/>
  <c r="K50" i="14"/>
  <c r="K40" i="14"/>
  <c r="J50" i="14"/>
  <c r="J40" i="14"/>
  <c r="I50" i="14"/>
  <c r="I40" i="14"/>
  <c r="H50" i="14"/>
  <c r="H40" i="14"/>
  <c r="G50" i="14"/>
  <c r="G40" i="14"/>
  <c r="F50" i="14"/>
  <c r="F40" i="14"/>
  <c r="E50" i="14"/>
  <c r="B7" i="10"/>
  <c r="B7" i="10" a="1"/>
  <c r="I105" i="14"/>
  <c r="I95" i="14"/>
  <c r="H105" i="14"/>
  <c r="H95" i="14"/>
  <c r="G105" i="14"/>
  <c r="G95" i="14"/>
  <c r="F105" i="14"/>
  <c r="F95" i="14"/>
  <c r="E105" i="14"/>
  <c r="E45" i="14"/>
  <c r="E100" i="14"/>
  <c r="I103" i="14"/>
  <c r="U48" i="14"/>
  <c r="BI41" i="3"/>
  <c r="BI42" i="3"/>
  <c r="BI73" i="3"/>
  <c r="X48" i="14"/>
  <c r="BR41" i="3"/>
  <c r="BR42" i="3"/>
  <c r="BR73" i="3"/>
  <c r="BT73" i="3"/>
  <c r="BT25" i="7"/>
  <c r="BT30" i="3"/>
  <c r="BT33" i="3"/>
  <c r="BT36" i="3"/>
  <c r="BT41" i="3"/>
  <c r="BT42" i="3"/>
  <c r="BS73" i="3"/>
  <c r="BS25" i="7"/>
  <c r="BS30" i="3"/>
  <c r="BS33" i="3"/>
  <c r="BS36" i="3"/>
  <c r="BS41" i="3"/>
  <c r="BS42" i="3"/>
  <c r="W48" i="14"/>
  <c r="BO41" i="3"/>
  <c r="BO42" i="3"/>
  <c r="BO73" i="3"/>
  <c r="BQ73" i="3"/>
  <c r="BQ25" i="7"/>
  <c r="BQ30" i="3"/>
  <c r="BQ33" i="3"/>
  <c r="BQ36" i="3"/>
  <c r="BQ41" i="3"/>
  <c r="BQ42" i="3"/>
  <c r="BP73" i="3"/>
  <c r="BP25" i="7"/>
  <c r="BP30" i="3"/>
  <c r="BP33" i="3"/>
  <c r="BP36" i="3"/>
  <c r="BP41" i="3"/>
  <c r="BP42" i="3"/>
  <c r="V48" i="14"/>
  <c r="BL41" i="3"/>
  <c r="BL42" i="3"/>
  <c r="BL73" i="3"/>
  <c r="BN73" i="3"/>
  <c r="BN25" i="7"/>
  <c r="BN30" i="3"/>
  <c r="BN33" i="3"/>
  <c r="BN36" i="3"/>
  <c r="BN41" i="3"/>
  <c r="BN42" i="3"/>
  <c r="BM73" i="3"/>
  <c r="BM25" i="7"/>
  <c r="BM30" i="3"/>
  <c r="BM33" i="3"/>
  <c r="BM36" i="3"/>
  <c r="BM41" i="3"/>
  <c r="BM42" i="3"/>
  <c r="BK73" i="3"/>
  <c r="BK25" i="7"/>
  <c r="BK30" i="3"/>
  <c r="BK33" i="3"/>
  <c r="BK36" i="3"/>
  <c r="BK41" i="3"/>
  <c r="BK42" i="3"/>
  <c r="BJ73" i="3"/>
  <c r="BJ25" i="7"/>
  <c r="BJ30" i="3"/>
  <c r="BJ33" i="3"/>
  <c r="BJ36" i="3"/>
  <c r="BJ41" i="3"/>
  <c r="BJ42" i="3"/>
  <c r="H103" i="14"/>
  <c r="Q48" i="14"/>
  <c r="AW41" i="3"/>
  <c r="AW42" i="3"/>
  <c r="AW73" i="3"/>
  <c r="T48" i="14"/>
  <c r="BF41" i="3"/>
  <c r="BF42" i="3"/>
  <c r="BF73" i="3"/>
  <c r="BH73" i="3"/>
  <c r="BH25" i="7"/>
  <c r="BH30" i="3"/>
  <c r="BH33" i="3"/>
  <c r="BH36" i="3"/>
  <c r="BH41" i="3"/>
  <c r="BH42" i="3"/>
  <c r="BG73" i="3"/>
  <c r="BG25" i="7"/>
  <c r="BG30" i="3"/>
  <c r="BG33" i="3"/>
  <c r="BG36" i="3"/>
  <c r="BG41" i="3"/>
  <c r="BG42" i="3"/>
  <c r="S48" i="14"/>
  <c r="BC41" i="3"/>
  <c r="BC42" i="3"/>
  <c r="BC73" i="3"/>
  <c r="BE73" i="3"/>
  <c r="BE25" i="7"/>
  <c r="BE30" i="3"/>
  <c r="BE33" i="3"/>
  <c r="BE36" i="3"/>
  <c r="BE41" i="3"/>
  <c r="BE42" i="3"/>
  <c r="BD73" i="3"/>
  <c r="BD25" i="7"/>
  <c r="BD30" i="3"/>
  <c r="BD33" i="3"/>
  <c r="BD36" i="3"/>
  <c r="BD41" i="3"/>
  <c r="BD42" i="3"/>
  <c r="R48" i="14"/>
  <c r="AZ41" i="3"/>
  <c r="AZ42" i="3"/>
  <c r="AZ73" i="3"/>
  <c r="BB73" i="3"/>
  <c r="BB25" i="7"/>
  <c r="BB30" i="3"/>
  <c r="BB33" i="3"/>
  <c r="BB36" i="3"/>
  <c r="BB41" i="3"/>
  <c r="BB42" i="3"/>
  <c r="BA73" i="3"/>
  <c r="BA25" i="7"/>
  <c r="BA30" i="3"/>
  <c r="BA33" i="3"/>
  <c r="BA36" i="3"/>
  <c r="BA41" i="3"/>
  <c r="BA42" i="3"/>
  <c r="AY73" i="3"/>
  <c r="AY25" i="7"/>
  <c r="AY30" i="3"/>
  <c r="AY33" i="3"/>
  <c r="AY36" i="3"/>
  <c r="AY41" i="3"/>
  <c r="AY42" i="3"/>
  <c r="AX73" i="3"/>
  <c r="AX25" i="7"/>
  <c r="AX30" i="3"/>
  <c r="AX33" i="3"/>
  <c r="AX36" i="3"/>
  <c r="AX41" i="3"/>
  <c r="AX42" i="3"/>
  <c r="G103" i="14"/>
  <c r="M48" i="14"/>
  <c r="AK41" i="3"/>
  <c r="AK42" i="3"/>
  <c r="AK73" i="3"/>
  <c r="P48" i="14"/>
  <c r="AT41" i="3"/>
  <c r="AT42" i="3"/>
  <c r="AT73" i="3"/>
  <c r="AV73" i="3"/>
  <c r="AV25" i="7"/>
  <c r="AV30" i="3"/>
  <c r="AV33" i="3"/>
  <c r="AV36" i="3"/>
  <c r="AV41" i="3"/>
  <c r="AV42" i="3"/>
  <c r="AU73" i="3"/>
  <c r="AU25" i="7"/>
  <c r="AU30" i="3"/>
  <c r="AU33" i="3"/>
  <c r="AU36" i="3"/>
  <c r="AU41" i="3"/>
  <c r="AU42" i="3"/>
  <c r="O48" i="14"/>
  <c r="AQ41" i="3"/>
  <c r="AQ42" i="3"/>
  <c r="AQ73" i="3"/>
  <c r="AS73" i="3"/>
  <c r="AS25" i="7"/>
  <c r="AS30" i="3"/>
  <c r="AS33" i="3"/>
  <c r="AS36" i="3"/>
  <c r="AS41" i="3"/>
  <c r="AS42" i="3"/>
  <c r="AR73" i="3"/>
  <c r="AR25" i="7"/>
  <c r="AR30" i="3"/>
  <c r="AR33" i="3"/>
  <c r="AR36" i="3"/>
  <c r="AR41" i="3"/>
  <c r="AR42" i="3"/>
  <c r="N48" i="14"/>
  <c r="AN41" i="3"/>
  <c r="AN42" i="3"/>
  <c r="AN73" i="3"/>
  <c r="AP73" i="3"/>
  <c r="AP25" i="7"/>
  <c r="AP30" i="3"/>
  <c r="AP33" i="3"/>
  <c r="AP36" i="3"/>
  <c r="AP41" i="3"/>
  <c r="AP42" i="3"/>
  <c r="AO73" i="3"/>
  <c r="AO25" i="7"/>
  <c r="AO30" i="3"/>
  <c r="AO33" i="3"/>
  <c r="AO36" i="3"/>
  <c r="AO41" i="3"/>
  <c r="AO42" i="3"/>
  <c r="AM73" i="3"/>
  <c r="AM25" i="7"/>
  <c r="AM30" i="3"/>
  <c r="AM33" i="3"/>
  <c r="AM36" i="3"/>
  <c r="AM41" i="3"/>
  <c r="AM42" i="3"/>
  <c r="AL73" i="3"/>
  <c r="AL25" i="7"/>
  <c r="AL30" i="3"/>
  <c r="AL33" i="3"/>
  <c r="AL36" i="3"/>
  <c r="AL41" i="3"/>
  <c r="AL42" i="3"/>
  <c r="F103" i="14"/>
  <c r="I48" i="14"/>
  <c r="Y41" i="3"/>
  <c r="Y42" i="3"/>
  <c r="Y73" i="3"/>
  <c r="L48" i="14"/>
  <c r="AH41" i="3"/>
  <c r="AH42" i="3"/>
  <c r="AH73" i="3"/>
  <c r="AJ73" i="3"/>
  <c r="AJ25" i="7"/>
  <c r="AJ30" i="3"/>
  <c r="AJ33" i="3"/>
  <c r="AJ36" i="3"/>
  <c r="AJ41" i="3"/>
  <c r="AJ42" i="3"/>
  <c r="AI73" i="3"/>
  <c r="AI25" i="7"/>
  <c r="AI30" i="3"/>
  <c r="AI33" i="3"/>
  <c r="AI36" i="3"/>
  <c r="AI41" i="3"/>
  <c r="AI42" i="3"/>
  <c r="K48" i="14"/>
  <c r="AE41" i="3"/>
  <c r="AE42" i="3"/>
  <c r="AE73" i="3"/>
  <c r="AG73" i="3"/>
  <c r="AG25" i="7"/>
  <c r="AG30" i="3"/>
  <c r="AG33" i="3"/>
  <c r="AG36" i="3"/>
  <c r="AG41" i="3"/>
  <c r="AG42" i="3"/>
  <c r="AF73" i="3"/>
  <c r="AF25" i="7"/>
  <c r="AF30" i="3"/>
  <c r="AF33" i="3"/>
  <c r="AF36" i="3"/>
  <c r="AF41" i="3"/>
  <c r="AF42" i="3"/>
  <c r="J48" i="14"/>
  <c r="AB41" i="3"/>
  <c r="AB42" i="3"/>
  <c r="AB73" i="3"/>
  <c r="AD73" i="3"/>
  <c r="AD25" i="7"/>
  <c r="AD30" i="3"/>
  <c r="AD33" i="3"/>
  <c r="AD36" i="3"/>
  <c r="AD41" i="3"/>
  <c r="AD42" i="3"/>
  <c r="AC73" i="3"/>
  <c r="AC25" i="7"/>
  <c r="AC30" i="3"/>
  <c r="AC33" i="3"/>
  <c r="AC36" i="3"/>
  <c r="AC41" i="3"/>
  <c r="AC42" i="3"/>
  <c r="AA73" i="3"/>
  <c r="AA25" i="7"/>
  <c r="AA30" i="3"/>
  <c r="AA33" i="3"/>
  <c r="AA36" i="3"/>
  <c r="AA41" i="3"/>
  <c r="AA42" i="3"/>
  <c r="Z73" i="3"/>
  <c r="Z25" i="7"/>
  <c r="Z30" i="3"/>
  <c r="Z33" i="3"/>
  <c r="Z36" i="3"/>
  <c r="Z41" i="3"/>
  <c r="Z42" i="3"/>
  <c r="E103" i="14"/>
  <c r="E48" i="14"/>
  <c r="H48" i="14"/>
  <c r="V41" i="3"/>
  <c r="V42" i="3"/>
  <c r="V73" i="3"/>
  <c r="X73" i="3"/>
  <c r="X25" i="7"/>
  <c r="X30" i="3"/>
  <c r="X33" i="3"/>
  <c r="X36" i="3"/>
  <c r="X41" i="3"/>
  <c r="X42" i="3"/>
  <c r="W73" i="3"/>
  <c r="W25" i="7"/>
  <c r="W30" i="3"/>
  <c r="W33" i="3"/>
  <c r="W36" i="3"/>
  <c r="W41" i="3"/>
  <c r="W42" i="3"/>
  <c r="G48" i="14"/>
  <c r="S41" i="3"/>
  <c r="S42" i="3"/>
  <c r="S73" i="3"/>
  <c r="U73" i="3"/>
  <c r="U25" i="7"/>
  <c r="U30" i="3"/>
  <c r="U33" i="3"/>
  <c r="U36" i="3"/>
  <c r="U41" i="3"/>
  <c r="U42" i="3"/>
  <c r="T73" i="3"/>
  <c r="T25" i="7"/>
  <c r="T30" i="3"/>
  <c r="T33" i="3"/>
  <c r="T36" i="3"/>
  <c r="T41" i="3"/>
  <c r="T42" i="3"/>
  <c r="F48" i="14"/>
  <c r="P41" i="3"/>
  <c r="P42" i="3"/>
  <c r="P73" i="3"/>
  <c r="R73" i="3"/>
  <c r="R25" i="7"/>
  <c r="R30" i="3"/>
  <c r="R33" i="3"/>
  <c r="R36" i="3"/>
  <c r="R41" i="3"/>
  <c r="R42" i="3"/>
  <c r="Q73" i="3"/>
  <c r="Q25" i="7"/>
  <c r="Q30" i="3"/>
  <c r="Q33" i="3"/>
  <c r="Q36" i="3"/>
  <c r="Q41" i="3"/>
  <c r="Q42" i="3"/>
  <c r="O73" i="3"/>
  <c r="O25" i="7"/>
  <c r="O30" i="3"/>
  <c r="O33" i="3"/>
  <c r="O36" i="3"/>
  <c r="O41" i="3"/>
  <c r="O42" i="3"/>
  <c r="N73" i="3"/>
  <c r="N25" i="7"/>
  <c r="N30" i="3"/>
  <c r="N33" i="3"/>
  <c r="N36" i="3"/>
  <c r="N41" i="3"/>
  <c r="N42" i="3"/>
  <c r="H41" i="3"/>
  <c r="H42" i="3"/>
  <c r="M52" i="3"/>
  <c r="M61" i="3"/>
  <c r="M77" i="3"/>
  <c r="M27" i="5"/>
  <c r="M25" i="5"/>
  <c r="M22" i="5"/>
  <c r="M45" i="3"/>
  <c r="M42" i="3"/>
  <c r="M73" i="3"/>
  <c r="I74" i="3"/>
  <c r="M41" i="3"/>
  <c r="M44" i="3"/>
  <c r="H44" i="3"/>
  <c r="B8" i="10"/>
  <c r="M36" i="3"/>
  <c r="B8" i="10" a="1"/>
  <c r="E66" i="14"/>
  <c r="E14" i="14"/>
  <c r="V36" i="3"/>
  <c r="H14" i="14"/>
  <c r="S36" i="3"/>
  <c r="G14" i="14"/>
  <c r="P36" i="3"/>
  <c r="F14" i="14"/>
  <c r="E13" i="14"/>
  <c r="E65" i="14"/>
  <c r="V33" i="3"/>
  <c r="H13" i="14"/>
  <c r="S33" i="3"/>
  <c r="G13" i="14"/>
  <c r="P33" i="3"/>
  <c r="F13" i="14"/>
  <c r="F65" i="14"/>
  <c r="I13" i="14"/>
  <c r="L13" i="14"/>
  <c r="K13" i="14"/>
  <c r="J13" i="14"/>
  <c r="F66" i="14"/>
  <c r="Y33" i="3"/>
  <c r="Y36" i="3"/>
  <c r="I14" i="14"/>
  <c r="AH33" i="3"/>
  <c r="AH36" i="3"/>
  <c r="L14" i="14"/>
  <c r="AE33" i="3"/>
  <c r="AE36" i="3"/>
  <c r="K14" i="14"/>
  <c r="AB33" i="3"/>
  <c r="AB36" i="3"/>
  <c r="J14" i="14"/>
  <c r="G65" i="14"/>
  <c r="M13" i="14"/>
  <c r="P13" i="14"/>
  <c r="O13" i="14"/>
  <c r="N13" i="14"/>
  <c r="G66" i="14"/>
  <c r="AK33" i="3"/>
  <c r="AK36" i="3"/>
  <c r="M14" i="14"/>
  <c r="AT33" i="3"/>
  <c r="AT36" i="3"/>
  <c r="P14" i="14"/>
  <c r="AQ33" i="3"/>
  <c r="AQ36" i="3"/>
  <c r="O14" i="14"/>
  <c r="AN33" i="3"/>
  <c r="AN36" i="3"/>
  <c r="N14" i="14"/>
  <c r="H65" i="14"/>
  <c r="Q13" i="14"/>
  <c r="T13" i="14"/>
  <c r="S13" i="14"/>
  <c r="R13" i="14"/>
  <c r="H66" i="14"/>
  <c r="AW33" i="3"/>
  <c r="AW36" i="3"/>
  <c r="Q14" i="14"/>
  <c r="BF33" i="3"/>
  <c r="BF36" i="3"/>
  <c r="T14" i="14"/>
  <c r="BC33" i="3"/>
  <c r="BC36" i="3"/>
  <c r="S14" i="14"/>
  <c r="AZ33" i="3"/>
  <c r="AZ36" i="3"/>
  <c r="R14" i="14"/>
  <c r="I65" i="14"/>
  <c r="U13" i="14"/>
  <c r="X13" i="14"/>
  <c r="W13" i="14"/>
  <c r="V13" i="14"/>
  <c r="I66" i="14"/>
  <c r="BI33" i="3"/>
  <c r="BI36" i="3"/>
  <c r="U14" i="14"/>
  <c r="BR33" i="3"/>
  <c r="BR36" i="3"/>
  <c r="X14" i="14"/>
  <c r="BO33" i="3"/>
  <c r="BO36" i="3"/>
  <c r="W14" i="14"/>
  <c r="BL33" i="3"/>
  <c r="BL36" i="3"/>
  <c r="V14" i="14"/>
  <c r="I100" i="14"/>
  <c r="U45" i="14"/>
  <c r="X45" i="14"/>
  <c r="W45" i="14"/>
  <c r="V45" i="14"/>
  <c r="H100" i="14"/>
  <c r="Q45" i="14"/>
  <c r="T45" i="14"/>
  <c r="S45" i="14"/>
  <c r="R45" i="14"/>
  <c r="G100" i="14"/>
  <c r="M45" i="14"/>
  <c r="P45" i="14"/>
  <c r="O45" i="14"/>
  <c r="N45" i="14"/>
  <c r="F100" i="14"/>
  <c r="I45" i="14"/>
  <c r="L45" i="14"/>
  <c r="K45" i="14"/>
  <c r="J45" i="14"/>
  <c r="H45" i="14"/>
  <c r="G45" i="14"/>
  <c r="F45" i="14"/>
  <c r="E11" i="14"/>
  <c r="E63" i="14"/>
  <c r="V25" i="7"/>
  <c r="V30" i="3"/>
  <c r="H11" i="14"/>
  <c r="S25" i="7"/>
  <c r="S30" i="3"/>
  <c r="G11" i="14"/>
  <c r="P25" i="7"/>
  <c r="P30" i="3"/>
  <c r="F11" i="14"/>
  <c r="F63" i="14"/>
  <c r="Y25" i="7"/>
  <c r="Y30" i="3"/>
  <c r="I11" i="14"/>
  <c r="AH25" i="7"/>
  <c r="AH30" i="3"/>
  <c r="L11" i="14"/>
  <c r="AE25" i="7"/>
  <c r="AE30" i="3"/>
  <c r="K11" i="14"/>
  <c r="AB25" i="7"/>
  <c r="AB30" i="3"/>
  <c r="J11" i="14"/>
  <c r="G63" i="14"/>
  <c r="AK25" i="7"/>
  <c r="AK30" i="3"/>
  <c r="M11" i="14"/>
  <c r="AT25" i="7"/>
  <c r="AT30" i="3"/>
  <c r="P11" i="14"/>
  <c r="AQ25" i="7"/>
  <c r="AQ30" i="3"/>
  <c r="O11" i="14"/>
  <c r="AN25" i="7"/>
  <c r="AN30" i="3"/>
  <c r="N11" i="14"/>
  <c r="H63" i="14"/>
  <c r="AW25" i="7"/>
  <c r="AW30" i="3"/>
  <c r="Q11" i="14"/>
  <c r="BF25" i="7"/>
  <c r="BF30" i="3"/>
  <c r="T11" i="14"/>
  <c r="BC25" i="7"/>
  <c r="BC30" i="3"/>
  <c r="S11" i="14"/>
  <c r="AZ25" i="7"/>
  <c r="AZ30" i="3"/>
  <c r="R11" i="14"/>
  <c r="I63" i="14"/>
  <c r="BI25" i="7"/>
  <c r="BI30" i="3"/>
  <c r="U11" i="14"/>
  <c r="BR25" i="7"/>
  <c r="BR30" i="3"/>
  <c r="X11" i="14"/>
  <c r="BO25" i="7"/>
  <c r="BO30" i="3"/>
  <c r="W11" i="14"/>
  <c r="BL25" i="7"/>
  <c r="BL30" i="3"/>
  <c r="V11" i="14"/>
  <c r="B12" i="10"/>
  <c r="B12" i="10" a="1"/>
  <c r="M70" i="3"/>
  <c r="BT65" i="3"/>
  <c r="BT75" i="3"/>
  <c r="BT6" i="5"/>
  <c r="BT13" i="5"/>
  <c r="BT29" i="5"/>
  <c r="BS65" i="3"/>
  <c r="BS75" i="3"/>
  <c r="BS6" i="5"/>
  <c r="BS13" i="5"/>
  <c r="BS29" i="5"/>
  <c r="BR65" i="3"/>
  <c r="BR75" i="3"/>
  <c r="BR6" i="5"/>
  <c r="BR13" i="5"/>
  <c r="BR29" i="5"/>
  <c r="BQ65" i="3"/>
  <c r="BQ75" i="3"/>
  <c r="BQ6" i="5"/>
  <c r="BQ13" i="5"/>
  <c r="BQ29" i="5"/>
  <c r="BP65" i="3"/>
  <c r="BP75" i="3"/>
  <c r="BP6" i="5"/>
  <c r="BP13" i="5"/>
  <c r="BP29" i="5"/>
  <c r="BO65" i="3"/>
  <c r="BO75" i="3"/>
  <c r="BO6" i="5"/>
  <c r="BO13" i="5"/>
  <c r="BO29" i="5"/>
  <c r="BN65" i="3"/>
  <c r="BN75" i="3"/>
  <c r="BN6" i="5"/>
  <c r="BN13" i="5"/>
  <c r="BN29" i="5"/>
  <c r="BM65" i="3"/>
  <c r="BM75" i="3"/>
  <c r="BM6" i="5"/>
  <c r="BM13" i="5"/>
  <c r="BM29" i="5"/>
  <c r="BL65" i="3"/>
  <c r="BL75" i="3"/>
  <c r="BL6" i="5"/>
  <c r="BL13" i="5"/>
  <c r="BL29" i="5"/>
  <c r="BK65" i="3"/>
  <c r="BK75" i="3"/>
  <c r="BK6" i="5"/>
  <c r="BK13" i="5"/>
  <c r="BK29" i="5"/>
  <c r="BJ65" i="3"/>
  <c r="BJ75" i="3"/>
  <c r="BJ6" i="5"/>
  <c r="BJ13" i="5"/>
  <c r="BJ29" i="5"/>
  <c r="BI65" i="3"/>
  <c r="BI75" i="3"/>
  <c r="BI6" i="5"/>
  <c r="BI13" i="5"/>
  <c r="BI29" i="5"/>
  <c r="BH65" i="3"/>
  <c r="BH75" i="3"/>
  <c r="BH6" i="5"/>
  <c r="BH13" i="5"/>
  <c r="BH29" i="5"/>
  <c r="BG65" i="3"/>
  <c r="BG75" i="3"/>
  <c r="BG6" i="5"/>
  <c r="BG13" i="5"/>
  <c r="BG29" i="5"/>
  <c r="BF65" i="3"/>
  <c r="BF75" i="3"/>
  <c r="BF6" i="5"/>
  <c r="BF13" i="5"/>
  <c r="BF29" i="5"/>
  <c r="BE65" i="3"/>
  <c r="BE75" i="3"/>
  <c r="BE6" i="5"/>
  <c r="BE13" i="5"/>
  <c r="BE29" i="5"/>
  <c r="BD65" i="3"/>
  <c r="BD75" i="3"/>
  <c r="BD6" i="5"/>
  <c r="BD13" i="5"/>
  <c r="BD29" i="5"/>
  <c r="BC65" i="3"/>
  <c r="BC75" i="3"/>
  <c r="BC6" i="5"/>
  <c r="BC13" i="5"/>
  <c r="BC29" i="5"/>
  <c r="BB65" i="3"/>
  <c r="BB75" i="3"/>
  <c r="BB6" i="5"/>
  <c r="BB13" i="5"/>
  <c r="BB29" i="5"/>
  <c r="BA65" i="3"/>
  <c r="BA75" i="3"/>
  <c r="BA6" i="5"/>
  <c r="BA13" i="5"/>
  <c r="BA29" i="5"/>
  <c r="AZ65" i="3"/>
  <c r="AZ75" i="3"/>
  <c r="AZ6" i="5"/>
  <c r="AZ13" i="5"/>
  <c r="AZ29" i="5"/>
  <c r="AY65" i="3"/>
  <c r="AY75" i="3"/>
  <c r="AY6" i="5"/>
  <c r="AY13" i="5"/>
  <c r="AY29" i="5"/>
  <c r="AX65" i="3"/>
  <c r="AX75" i="3"/>
  <c r="AX6" i="5"/>
  <c r="AX13" i="5"/>
  <c r="AX29" i="5"/>
  <c r="AW65" i="3"/>
  <c r="AW75" i="3"/>
  <c r="AW6" i="5"/>
  <c r="AW13" i="5"/>
  <c r="AW29" i="5"/>
  <c r="AV65" i="3"/>
  <c r="AV75" i="3"/>
  <c r="AV6" i="5"/>
  <c r="AV13" i="5"/>
  <c r="AV29" i="5"/>
  <c r="AU65" i="3"/>
  <c r="AU75" i="3"/>
  <c r="AU6" i="5"/>
  <c r="AU13" i="5"/>
  <c r="AU29" i="5"/>
  <c r="AT65" i="3"/>
  <c r="AT75" i="3"/>
  <c r="AT6" i="5"/>
  <c r="AT13" i="5"/>
  <c r="AT29" i="5"/>
  <c r="AS65" i="3"/>
  <c r="AS75" i="3"/>
  <c r="AS6" i="5"/>
  <c r="AS13" i="5"/>
  <c r="AS29" i="5"/>
  <c r="AR65" i="3"/>
  <c r="AR75" i="3"/>
  <c r="AR6" i="5"/>
  <c r="AR13" i="5"/>
  <c r="AR29" i="5"/>
  <c r="AQ65" i="3"/>
  <c r="AQ75" i="3"/>
  <c r="AQ6" i="5"/>
  <c r="AQ13" i="5"/>
  <c r="AQ29" i="5"/>
  <c r="AP65" i="3"/>
  <c r="AP75" i="3"/>
  <c r="AP6" i="5"/>
  <c r="AP13" i="5"/>
  <c r="AP29" i="5"/>
  <c r="AO65" i="3"/>
  <c r="AO75" i="3"/>
  <c r="AO6" i="5"/>
  <c r="AO13" i="5"/>
  <c r="AO29" i="5"/>
  <c r="AN65" i="3"/>
  <c r="AN75" i="3"/>
  <c r="AN6" i="5"/>
  <c r="AN13" i="5"/>
  <c r="AN29" i="5"/>
  <c r="AM65" i="3"/>
  <c r="AM75" i="3"/>
  <c r="AM6" i="5"/>
  <c r="AM13" i="5"/>
  <c r="AM29" i="5"/>
  <c r="AL65" i="3"/>
  <c r="AL75" i="3"/>
  <c r="AL6" i="5"/>
  <c r="AL13" i="5"/>
  <c r="AL29" i="5"/>
  <c r="AK65" i="3"/>
  <c r="AK75" i="3"/>
  <c r="AK6" i="5"/>
  <c r="AK13" i="5"/>
  <c r="AK29" i="5"/>
  <c r="AJ65" i="3"/>
  <c r="AJ75" i="3"/>
  <c r="AJ6" i="5"/>
  <c r="AJ13" i="5"/>
  <c r="AJ29" i="5"/>
  <c r="AI65" i="3"/>
  <c r="AI75" i="3"/>
  <c r="AI6" i="5"/>
  <c r="AI13" i="5"/>
  <c r="AI29" i="5"/>
  <c r="AG65" i="3"/>
  <c r="AG75" i="3"/>
  <c r="AH65" i="3"/>
  <c r="AH75" i="3"/>
  <c r="AH6" i="5"/>
  <c r="AH13" i="5"/>
  <c r="AH29" i="5"/>
  <c r="AF65" i="3"/>
  <c r="AF75" i="3"/>
  <c r="AF6" i="5"/>
  <c r="AF13" i="5"/>
  <c r="AF29" i="5"/>
  <c r="AE65" i="3"/>
  <c r="AE75" i="3"/>
  <c r="AE6" i="5"/>
  <c r="AE13" i="5"/>
  <c r="AE29" i="5"/>
  <c r="AD65" i="3"/>
  <c r="AD75" i="3"/>
  <c r="AD6" i="5"/>
  <c r="AD13" i="5"/>
  <c r="AD29" i="5"/>
  <c r="AC65" i="3"/>
  <c r="AC75" i="3"/>
  <c r="AC6" i="5"/>
  <c r="AC13" i="5"/>
  <c r="AC29" i="5"/>
  <c r="AB65" i="3"/>
  <c r="AB75" i="3"/>
  <c r="AB6" i="5"/>
  <c r="AB13" i="5"/>
  <c r="AB29" i="5"/>
  <c r="AA65" i="3"/>
  <c r="AA75" i="3"/>
  <c r="AA6" i="5"/>
  <c r="AA13" i="5"/>
  <c r="AA29" i="5"/>
  <c r="Z65" i="3"/>
  <c r="Z75" i="3"/>
  <c r="Z6" i="5"/>
  <c r="Z13" i="5"/>
  <c r="Z29" i="5"/>
  <c r="Y65" i="3"/>
  <c r="Y75" i="3"/>
  <c r="Y6" i="5"/>
  <c r="Y13" i="5"/>
  <c r="Y29" i="5"/>
  <c r="X65" i="3"/>
  <c r="X75" i="3"/>
  <c r="X6" i="5"/>
  <c r="X13" i="5"/>
  <c r="X29" i="5"/>
  <c r="W65" i="3"/>
  <c r="W75" i="3"/>
  <c r="W6" i="5"/>
  <c r="W13" i="5"/>
  <c r="W29" i="5"/>
  <c r="V65" i="3"/>
  <c r="V75" i="3"/>
  <c r="V6" i="5"/>
  <c r="V13" i="5"/>
  <c r="V29" i="5"/>
  <c r="U65" i="3"/>
  <c r="U75" i="3"/>
  <c r="U6" i="5"/>
  <c r="U13" i="5"/>
  <c r="U29" i="5"/>
  <c r="T65" i="3"/>
  <c r="T75" i="3"/>
  <c r="T6" i="5"/>
  <c r="T13" i="5"/>
  <c r="T29" i="5"/>
  <c r="S65" i="3"/>
  <c r="S75" i="3"/>
  <c r="S6" i="5"/>
  <c r="S13" i="5"/>
  <c r="S29" i="5"/>
  <c r="R65" i="3"/>
  <c r="R75" i="3"/>
  <c r="R6" i="5"/>
  <c r="R13" i="5"/>
  <c r="R29" i="5"/>
  <c r="Q65" i="3"/>
  <c r="Q75" i="3"/>
  <c r="Q6" i="5"/>
  <c r="Q13" i="5"/>
  <c r="Q29" i="5"/>
  <c r="P65" i="3"/>
  <c r="P75" i="3"/>
  <c r="P6" i="5"/>
  <c r="P13" i="5"/>
  <c r="P29" i="5"/>
  <c r="O65" i="3"/>
  <c r="O75" i="3"/>
  <c r="O6" i="5"/>
  <c r="O13" i="5"/>
  <c r="O29" i="5"/>
  <c r="M25" i="7"/>
  <c r="M30" i="3"/>
  <c r="M33" i="3"/>
  <c r="M70" i="3" a="1"/>
  <c r="M75" i="3"/>
  <c r="N65" i="3"/>
  <c r="N75" i="3"/>
  <c r="N6" i="5"/>
  <c r="N13" i="5"/>
  <c r="N2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Garcia</author>
    <author>tc={8259087A-5A6D-4215-8B1E-CA83C691F35F}</author>
    <author>tc={93EA2DA5-F613-4D6D-B0C7-E46BC3758664}</author>
    <author>tc={F9360682-349E-4F93-8F7D-9AB8354A9F4F}</author>
  </authors>
  <commentList>
    <comment ref="C11" authorId="0" shapeId="0" xr:uid="{7DC44269-42CA-431F-96F4-69116C58CAC7}">
      <text>
        <r>
          <rPr>
            <b/>
            <sz val="9"/>
            <color indexed="81"/>
            <rFont val="Tahoma"/>
            <family val="2"/>
          </rPr>
          <t>Luis Garcia:</t>
        </r>
        <r>
          <rPr>
            <sz val="9"/>
            <color indexed="81"/>
            <rFont val="Tahoma"/>
            <family val="2"/>
          </rPr>
          <t xml:space="preserve">
Typically valued in the range of $1 million to $30 million.
These are early-stage companies that are still growing and may have limited revenues.</t>
        </r>
      </text>
    </comment>
    <comment ref="C12" authorId="0" shapeId="0" xr:uid="{5B5F493C-EF1F-4ED0-BC98-289727833C91}">
      <text>
        <r>
          <rPr>
            <b/>
            <sz val="9"/>
            <color indexed="81"/>
            <rFont val="Tahoma"/>
            <family val="2"/>
          </rPr>
          <t>Luis Garcia:</t>
        </r>
        <r>
          <rPr>
            <sz val="9"/>
            <color indexed="81"/>
            <rFont val="Tahoma"/>
            <family val="2"/>
          </rPr>
          <t xml:space="preserve">
Companies valued between $30 million and $500 million.
These are more established companies that have begun to scale but are not yet fully mature.</t>
        </r>
      </text>
    </comment>
    <comment ref="C13" authorId="0" shapeId="0" xr:uid="{D477914E-46F5-4AE7-86BC-1D25AD628547}">
      <text>
        <r>
          <rPr>
            <b/>
            <sz val="9"/>
            <color indexed="81"/>
            <rFont val="Tahoma"/>
            <family val="2"/>
          </rPr>
          <t>Luis Garcia:</t>
        </r>
        <r>
          <rPr>
            <sz val="9"/>
            <color indexed="81"/>
            <rFont val="Tahoma"/>
            <family val="2"/>
          </rPr>
          <t xml:space="preserve">
Companies valued at $500 million or above.
These are well-established companies with significant market presence.</t>
        </r>
      </text>
    </comment>
    <comment ref="C20" authorId="0" shapeId="0" xr:uid="{94598E01-2B5B-4456-911F-BAF25237036A}">
      <text>
        <r>
          <rPr>
            <b/>
            <sz val="9"/>
            <color indexed="81"/>
            <rFont val="Tahoma"/>
            <family val="2"/>
          </rPr>
          <t>Luis Garcia:</t>
        </r>
        <r>
          <rPr>
            <sz val="9"/>
            <color indexed="81"/>
            <rFont val="Tahoma"/>
            <family val="2"/>
          </rPr>
          <t xml:space="preserve">
Typically valued in the range of $1 million to $30 million.
These are early-stage companies that are still growing and may have limited revenues.</t>
        </r>
      </text>
    </comment>
    <comment ref="C21" authorId="0" shapeId="0" xr:uid="{461D912B-C98A-447B-ADBE-2200034AA8AE}">
      <text>
        <r>
          <rPr>
            <b/>
            <sz val="9"/>
            <color indexed="81"/>
            <rFont val="Tahoma"/>
            <family val="2"/>
          </rPr>
          <t>Luis Garcia:</t>
        </r>
        <r>
          <rPr>
            <sz val="9"/>
            <color indexed="81"/>
            <rFont val="Tahoma"/>
            <family val="2"/>
          </rPr>
          <t xml:space="preserve">
Companies valued between $30 million and $500 million.
These are more established companies that have begun to scale but are not yet fully mature.</t>
        </r>
      </text>
    </comment>
    <comment ref="C22" authorId="0" shapeId="0" xr:uid="{56E83420-DEDA-4B01-A408-A092C6996BB6}">
      <text>
        <r>
          <rPr>
            <b/>
            <sz val="9"/>
            <color indexed="81"/>
            <rFont val="Tahoma"/>
            <family val="2"/>
          </rPr>
          <t>Luis Garcia:</t>
        </r>
        <r>
          <rPr>
            <sz val="9"/>
            <color indexed="81"/>
            <rFont val="Tahoma"/>
            <family val="2"/>
          </rPr>
          <t xml:space="preserve">
Companies valued at $500 million or above.
These are well-established companies with significant market presence.</t>
        </r>
      </text>
    </comment>
    <comment ref="B31" authorId="0" shapeId="0" xr:uid="{DD470A35-F826-4661-9F8F-93F33D815542}">
      <text>
        <r>
          <rPr>
            <b/>
            <sz val="9"/>
            <color rgb="FF000000"/>
            <rFont val="Tahoma"/>
            <family val="2"/>
          </rPr>
          <t>Luis Garcia:</t>
        </r>
        <r>
          <rPr>
            <sz val="9"/>
            <color rgb="FF000000"/>
            <rFont val="Tahoma"/>
            <family val="2"/>
          </rPr>
          <t xml:space="preserve">
</t>
        </r>
        <r>
          <rPr>
            <sz val="9"/>
            <color rgb="FF000000"/>
            <rFont val="Tahoma"/>
            <family val="2"/>
          </rPr>
          <t>This distribution still captures the idea that most revenue is collected upfront, with diminishing amounts in subsequent months.</t>
        </r>
      </text>
    </comment>
    <comment ref="B37" authorId="1" shapeId="0" xr:uid="{8259087A-5A6D-4215-8B1E-CA83C691F35F}">
      <text>
        <t>[Threaded comment]
Your version of Excel allows you to read this threaded comment; however, any edits to it will get removed if the file is opened in a newer version of Excel. Learn more: https://go.microsoft.com/fwlink/?linkid=870924
Comment:
    Number of new users who use the one time product and do not continue</t>
      </text>
    </comment>
    <comment ref="D37" authorId="2" shapeId="0" xr:uid="{93EA2DA5-F613-4D6D-B0C7-E46BC3758664}">
      <text>
        <t>[Threaded comment]
Your version of Excel allows you to read this threaded comment; however, any edits to it will get removed if the file is opened in a newer version of Excel. Learn more: https://go.microsoft.com/fwlink/?linkid=870924
Comment:
    average rates for AI SAAS companies</t>
      </text>
    </comment>
    <comment ref="B38" authorId="3" shapeId="0" xr:uid="{F9360682-349E-4F93-8F7D-9AB8354A9F4F}">
      <text>
        <t xml:space="preserve">[Threaded comment]
Your version of Excel allows you to read this threaded comment; however, any edits to it will get removed if the file is opened in a newer version of Excel. Learn more: https://go.microsoft.com/fwlink/?linkid=870924
Comment:
    Number of existing users who stop using app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Luis Garcia</author>
  </authors>
  <commentList>
    <comment ref="A12" authorId="0" shapeId="0" xr:uid="{1661168A-9B42-465D-A155-ECE920F559B7}">
      <text>
        <r>
          <rPr>
            <b/>
            <sz val="9"/>
            <color rgb="FF000000"/>
            <rFont val="Tahoma"/>
            <family val="2"/>
          </rPr>
          <t>Luis Garcia:</t>
        </r>
        <r>
          <rPr>
            <sz val="9"/>
            <color rgb="FF000000"/>
            <rFont val="Tahoma"/>
            <family val="2"/>
          </rPr>
          <t xml:space="preserve">
</t>
        </r>
        <r>
          <rPr>
            <sz val="9"/>
            <color rgb="FF000000"/>
            <rFont val="Tahoma"/>
            <family val="2"/>
          </rPr>
          <t>Hires Per Year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Luis Garcia</author>
  </authors>
  <commentList>
    <comment ref="B4" authorId="0" shapeId="0" xr:uid="{54E4016F-AE97-435C-960B-D1ED40C074A0}">
      <text>
        <r>
          <rPr>
            <b/>
            <sz val="9"/>
            <color indexed="81"/>
            <rFont val="Tahoma"/>
            <family val="2"/>
          </rPr>
          <t>Luis Garcia:</t>
        </r>
        <r>
          <rPr>
            <sz val="9"/>
            <color indexed="81"/>
            <rFont val="Tahoma"/>
            <family val="2"/>
          </rPr>
          <t xml:space="preserve">
Covering search engine ads, social media campaigns, and remarketing initiatives. This higher investment reflects the need to rapidly build brand awareness, capture new leads, and expand into additional channels over time.</t>
        </r>
      </text>
    </comment>
    <comment ref="B5" authorId="0" shapeId="0" xr:uid="{935BAA69-C278-4831-BE67-EBA86FE6E93E}">
      <text>
        <r>
          <rPr>
            <b/>
            <sz val="9"/>
            <color indexed="81"/>
            <rFont val="Tahoma"/>
            <family val="2"/>
          </rPr>
          <t>Luis Garcia:</t>
        </r>
        <r>
          <rPr>
            <sz val="9"/>
            <color indexed="81"/>
            <rFont val="Tahoma"/>
            <family val="2"/>
          </rPr>
          <t xml:space="preserve">
Encompassing blog articles, whitepapers, videos, and webinars. This steady increase ensures a continuous flow of high‐quality thought leadership and educational materials that drive engagement and credibility.</t>
        </r>
      </text>
    </comment>
    <comment ref="B6" authorId="0" shapeId="0" xr:uid="{88ABBE45-72DA-499F-ADF7-15FE685292FB}">
      <text>
        <r>
          <rPr>
            <b/>
            <sz val="9"/>
            <color indexed="81"/>
            <rFont val="Tahoma"/>
            <family val="2"/>
          </rPr>
          <t>Luis Garcia:</t>
        </r>
        <r>
          <rPr>
            <sz val="9"/>
            <color indexed="81"/>
            <rFont val="Tahoma"/>
            <family val="2"/>
          </rPr>
          <t xml:space="preserve">
Enabling consistent technical audits, on‐page optimization, and keyword strategy. The goal is to boost organic visibility, capture long‐term traffic, and reduce reliance on paid channels as the brand matures. Leveraging B2B marketing</t>
        </r>
      </text>
    </comment>
    <comment ref="B9" authorId="0" shapeId="0" xr:uid="{E5E64A30-ABF4-426F-8BC0-50778D855985}">
      <text>
        <r>
          <rPr>
            <b/>
            <sz val="9"/>
            <color indexed="81"/>
            <rFont val="Tahoma"/>
            <family val="2"/>
          </rPr>
          <t>Luis Garcia:</t>
        </r>
        <r>
          <rPr>
            <sz val="9"/>
            <color indexed="81"/>
            <rFont val="Tahoma"/>
            <family val="2"/>
          </rPr>
          <t xml:space="preserve">
Funding CRM systems, email marketing tools, and lead capture platforms. This supports scalable processes for nurturing prospects, automating outreach, and tracking conversions as the customer base expands.</t>
        </r>
      </text>
    </comment>
    <comment ref="D12" authorId="0" shapeId="0" xr:uid="{9C4C223F-FE5F-4F3F-9CF4-08555C82CDC1}">
      <text>
        <r>
          <rPr>
            <b/>
            <sz val="9"/>
            <color indexed="81"/>
            <rFont val="Tahoma"/>
            <family val="2"/>
          </rPr>
          <t>Luis Garcia:</t>
        </r>
        <r>
          <rPr>
            <sz val="9"/>
            <color indexed="81"/>
            <rFont val="Tahoma"/>
            <family val="2"/>
          </rPr>
          <t xml:space="preserve">
We don’t hire everyone at once. Instead, we align hires with growth milestones to control costs and ensure the team’s size matches revenue and market expansion.</t>
        </r>
      </text>
    </comment>
    <comment ref="E12" authorId="0" shapeId="0" xr:uid="{AD107F99-1110-4966-A5C7-4D309EE0EC2F}">
      <text>
        <r>
          <rPr>
            <b/>
            <sz val="9"/>
            <color indexed="81"/>
            <rFont val="Tahoma"/>
            <family val="2"/>
          </rPr>
          <t>Luis Garcia:</t>
        </r>
        <r>
          <rPr>
            <sz val="9"/>
            <color indexed="81"/>
            <rFont val="Tahoma"/>
            <family val="2"/>
          </rPr>
          <t xml:space="preserve">
Percentages vary by role seniority and function, covering typical employee benefits, travel costs, and miscellaneous overhead to reflect realistic all-in expenses.</t>
        </r>
      </text>
    </comment>
    <comment ref="G12" authorId="0" shapeId="0" xr:uid="{7D67F486-7C63-4F17-99E2-3A796E88E138}">
      <text>
        <r>
          <rPr>
            <b/>
            <sz val="9"/>
            <color indexed="81"/>
            <rFont val="Tahoma"/>
            <family val="2"/>
          </rPr>
          <t>Luis Garcia:</t>
        </r>
        <r>
          <rPr>
            <sz val="9"/>
            <color indexed="81"/>
            <rFont val="Tahoma"/>
            <family val="2"/>
          </rPr>
          <t xml:space="preserve">
miscellaneous or indirect costs associated with each role that don’t neatly fall under benefits (healthcare, retirement) or T&amp;E (travel, client entertainment)</t>
        </r>
      </text>
    </comment>
    <comment ref="B13" authorId="0" shapeId="0" xr:uid="{74346B1B-2E2B-4CDB-991B-EB53B19018C3}">
      <text>
        <r>
          <rPr>
            <b/>
            <sz val="9"/>
            <color indexed="81"/>
            <rFont val="Tahoma"/>
            <family val="2"/>
          </rPr>
          <t>Luis Garcia:</t>
        </r>
        <r>
          <rPr>
            <sz val="9"/>
            <color indexed="81"/>
            <rFont val="Tahoma"/>
            <family val="2"/>
          </rPr>
          <t xml:space="preserve">
The base salaries (e.g., $100K for Sales VP, $70K for Sales Rep) reflect competitive rates in the industry for similar roles.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<sst xmlns="http://schemas.openxmlformats.org/spreadsheetml/2006/main" count="1614" uniqueCount="310">
  <si>
    <t>Company Overview</t>
  </si>
  <si>
    <t>Pricing Model</t>
  </si>
  <si>
    <t>Hybrid tiered pricing model
Basic SaaS: A cost-effective subscription tier for early-stage founders, offering core financial projection features and limited customization.
Fully Customizable Service: A premium tier that provides white-glove onboarding, extensive data integrations, advanced analytics, and dedicated support—ideal for larger startups, accelerators, or corporate clients looking for in-depth forecasting capabilities.</t>
  </si>
  <si>
    <t>Date</t>
  </si>
  <si>
    <t xml:space="preserve">Ending Cash </t>
  </si>
  <si>
    <t>Op Income</t>
  </si>
  <si>
    <t>Rev</t>
  </si>
  <si>
    <t>Assumptions</t>
  </si>
  <si>
    <t>Year 1</t>
  </si>
  <si>
    <t>Year 2</t>
  </si>
  <si>
    <t>Year 3</t>
  </si>
  <si>
    <t>Year 4</t>
  </si>
  <si>
    <t>Year 5</t>
  </si>
  <si>
    <t>Formulaic</t>
  </si>
  <si>
    <t>Jan</t>
  </si>
  <si>
    <t>Feb</t>
  </si>
  <si>
    <t>Mar</t>
  </si>
  <si>
    <t>Apr</t>
  </si>
  <si>
    <t>May</t>
  </si>
  <si>
    <t>Jun</t>
  </si>
  <si>
    <t>Jul</t>
  </si>
  <si>
    <t>Aug</t>
  </si>
  <si>
    <t>Sep</t>
  </si>
  <si>
    <t>Oct</t>
  </si>
  <si>
    <t>Nov</t>
  </si>
  <si>
    <t>Dec</t>
  </si>
  <si>
    <t xml:space="preserve"> </t>
  </si>
  <si>
    <t>Year</t>
  </si>
  <si>
    <t>Onetime Fee</t>
  </si>
  <si>
    <t>New customers</t>
  </si>
  <si>
    <t>Onetime fee</t>
  </si>
  <si>
    <t>Total Onetime Fee Rev</t>
  </si>
  <si>
    <t>All Tiers</t>
  </si>
  <si>
    <t>Monthly Base Subscription Price</t>
  </si>
  <si>
    <t>Small Cap</t>
  </si>
  <si>
    <t>Mid Cap</t>
  </si>
  <si>
    <t>Basic</t>
  </si>
  <si>
    <t>Large Cap</t>
  </si>
  <si>
    <t>Monthly Base Premium Price</t>
  </si>
  <si>
    <t>Premium</t>
  </si>
  <si>
    <t>Attrition Units</t>
  </si>
  <si>
    <t>Cash Collections</t>
  </si>
  <si>
    <t>Month 1</t>
  </si>
  <si>
    <t>Month 2</t>
  </si>
  <si>
    <t>Abandon Units</t>
  </si>
  <si>
    <t>Month 3</t>
  </si>
  <si>
    <t>Users</t>
  </si>
  <si>
    <t>Percentage</t>
  </si>
  <si>
    <t>0-1</t>
  </si>
  <si>
    <t>1-2</t>
  </si>
  <si>
    <t>2-3</t>
  </si>
  <si>
    <t>3-4</t>
  </si>
  <si>
    <t>4-5</t>
  </si>
  <si>
    <t>Abandon Rate</t>
  </si>
  <si>
    <t>Attrition rate</t>
  </si>
  <si>
    <t>Starting Customers</t>
  </si>
  <si>
    <t>Units (Concurrent)</t>
  </si>
  <si>
    <t>Revenue</t>
  </si>
  <si>
    <t>One Time Fee</t>
  </si>
  <si>
    <t>All Caps</t>
  </si>
  <si>
    <t>Total Revenue</t>
  </si>
  <si>
    <t>Cumulative Revenue</t>
  </si>
  <si>
    <t>Cumalative Cash Collections</t>
  </si>
  <si>
    <t>Accounts Receivable</t>
  </si>
  <si>
    <t>Change in A/R</t>
  </si>
  <si>
    <t>Total user/units</t>
  </si>
  <si>
    <t>basic</t>
  </si>
  <si>
    <t>premium</t>
  </si>
  <si>
    <t>Q1</t>
  </si>
  <si>
    <t>Q2</t>
  </si>
  <si>
    <t>Q3</t>
  </si>
  <si>
    <t>Q4</t>
  </si>
  <si>
    <t>COGS</t>
  </si>
  <si>
    <t>Gross Profit</t>
  </si>
  <si>
    <t>Operating Expenses</t>
  </si>
  <si>
    <t>R&amp;D</t>
  </si>
  <si>
    <t>Sales &amp; Marketing</t>
  </si>
  <si>
    <t>G&amp;A</t>
  </si>
  <si>
    <t>Total Operating Expense</t>
  </si>
  <si>
    <t>Operating Income</t>
  </si>
  <si>
    <t>Depreciation</t>
  </si>
  <si>
    <t>Interest Exp</t>
  </si>
  <si>
    <t>Pre tax income</t>
  </si>
  <si>
    <t>Taxes @20%</t>
  </si>
  <si>
    <t>Net Income</t>
  </si>
  <si>
    <t>Retained Earnings</t>
  </si>
  <si>
    <t>Cash Flow</t>
  </si>
  <si>
    <t>Net Income Method</t>
  </si>
  <si>
    <t>Beginning Cash</t>
  </si>
  <si>
    <t>Equity Investment (+)</t>
  </si>
  <si>
    <t>Change in A/R (+/-)</t>
  </si>
  <si>
    <t>Capital Expenditures (-)</t>
  </si>
  <si>
    <t>Borrowings (+)</t>
  </si>
  <si>
    <t>COGS (Related to Inventory) (+)</t>
  </si>
  <si>
    <t>Depreciation (+)</t>
  </si>
  <si>
    <t>Repayment of Principal (-)</t>
  </si>
  <si>
    <t>deffered exp</t>
  </si>
  <si>
    <t>Ending Cash</t>
  </si>
  <si>
    <t>Cash Collections Method</t>
  </si>
  <si>
    <t>Equity Investments (+)</t>
  </si>
  <si>
    <t>Operating Expenses (-)</t>
  </si>
  <si>
    <t>Cash COGS (-)</t>
  </si>
  <si>
    <t>Debt Payments (-)</t>
  </si>
  <si>
    <t>Taxes (-)</t>
  </si>
  <si>
    <t>P&amp;L</t>
  </si>
  <si>
    <t>Cost per user</t>
  </si>
  <si>
    <t>multiplier rate</t>
  </si>
  <si>
    <t>Fixed compute cost</t>
  </si>
  <si>
    <t>Cloud Hosting</t>
  </si>
  <si>
    <t>Total COGS</t>
  </si>
  <si>
    <t>Equity</t>
  </si>
  <si>
    <t>cum equity</t>
  </si>
  <si>
    <t>Balance Sheet</t>
  </si>
  <si>
    <t>January</t>
  </si>
  <si>
    <t>February</t>
  </si>
  <si>
    <t>March</t>
  </si>
  <si>
    <t>April</t>
  </si>
  <si>
    <t>June</t>
  </si>
  <si>
    <t>July</t>
  </si>
  <si>
    <t>August</t>
  </si>
  <si>
    <t>September</t>
  </si>
  <si>
    <t>October</t>
  </si>
  <si>
    <t>November</t>
  </si>
  <si>
    <t>December</t>
  </si>
  <si>
    <t>Assets:</t>
  </si>
  <si>
    <t>Cash</t>
  </si>
  <si>
    <t>Inventory</t>
  </si>
  <si>
    <t>PPE (Net)</t>
  </si>
  <si>
    <t>Total Assets:</t>
  </si>
  <si>
    <t>Liabilities:</t>
  </si>
  <si>
    <t>Loan</t>
  </si>
  <si>
    <t>Total Liabilities:</t>
  </si>
  <si>
    <t>Equity:</t>
  </si>
  <si>
    <t>Paid in Capital</t>
  </si>
  <si>
    <t>Total Share Holder's Equity</t>
  </si>
  <si>
    <t>Total L &amp; SE</t>
  </si>
  <si>
    <t>Check</t>
  </si>
  <si>
    <t>Total Headcount Projections</t>
  </si>
  <si>
    <t>Total Employees</t>
  </si>
  <si>
    <t>Hiring Projections</t>
  </si>
  <si>
    <t>Total Hires</t>
  </si>
  <si>
    <t xml:space="preserve">Year 1 </t>
  </si>
  <si>
    <t xml:space="preserve">Year 3 </t>
  </si>
  <si>
    <t xml:space="preserve">June </t>
  </si>
  <si>
    <t xml:space="preserve">November </t>
  </si>
  <si>
    <t>Salaries &amp; Wages</t>
  </si>
  <si>
    <t>Benefits @</t>
  </si>
  <si>
    <t>T&amp;E</t>
  </si>
  <si>
    <t>/month</t>
  </si>
  <si>
    <t>Training</t>
  </si>
  <si>
    <t>Dev SaaS Services</t>
  </si>
  <si>
    <t>Total R&amp;D Expense</t>
  </si>
  <si>
    <t>Salaries</t>
  </si>
  <si>
    <t>Employees</t>
  </si>
  <si>
    <t>VP of Engineering</t>
  </si>
  <si>
    <t>Machine Learning Engineers</t>
  </si>
  <si>
    <t>AI Engineer</t>
  </si>
  <si>
    <t>Full Stack Engineer</t>
  </si>
  <si>
    <t>Front End Engineer</t>
  </si>
  <si>
    <t>Back End Engineer</t>
  </si>
  <si>
    <t>Quality Engineer</t>
  </si>
  <si>
    <t>Security</t>
  </si>
  <si>
    <t>Dev Ops Engineer</t>
  </si>
  <si>
    <t>UX/UI Designer</t>
  </si>
  <si>
    <t>Front End Engineer Intern</t>
  </si>
  <si>
    <t>Back End Engineer Intern</t>
  </si>
  <si>
    <t>AI Engineer Intern (Summer)</t>
  </si>
  <si>
    <t>Data Engineer</t>
  </si>
  <si>
    <t>Customer Success Engineer</t>
  </si>
  <si>
    <t>Project Manager</t>
  </si>
  <si>
    <t>Cloud Architect</t>
  </si>
  <si>
    <t>Total Salaries</t>
  </si>
  <si>
    <t>Annual Raises</t>
  </si>
  <si>
    <t>Advertising and Media Spend</t>
  </si>
  <si>
    <t>Content Creation</t>
  </si>
  <si>
    <t>SEO</t>
  </si>
  <si>
    <t>Starting Year</t>
  </si>
  <si>
    <t>Benefits %</t>
  </si>
  <si>
    <t>T&amp;E %</t>
  </si>
  <si>
    <t>Other %</t>
  </si>
  <si>
    <t>Total Yearly Salary</t>
  </si>
  <si>
    <t>Sales VP</t>
  </si>
  <si>
    <t>Sales rep</t>
  </si>
  <si>
    <t>Marketing Manager</t>
  </si>
  <si>
    <t>Digital Marketing Specialist</t>
  </si>
  <si>
    <t>Senior Sales Rep</t>
  </si>
  <si>
    <t>Additional Sales Rep</t>
  </si>
  <si>
    <t>Regional Sales Manager</t>
  </si>
  <si>
    <t>Headcount</t>
  </si>
  <si>
    <t>Total Wages</t>
  </si>
  <si>
    <t>WAGES</t>
  </si>
  <si>
    <t>HR consultant</t>
  </si>
  <si>
    <t>Office Rent</t>
  </si>
  <si>
    <t>Insurance</t>
  </si>
  <si>
    <t>Legal counsel (outsourced)</t>
  </si>
  <si>
    <t>Office Supplies</t>
  </si>
  <si>
    <t>Snacks</t>
  </si>
  <si>
    <t>Misc</t>
  </si>
  <si>
    <t>Total</t>
  </si>
  <si>
    <t>Hiring year</t>
  </si>
  <si>
    <t>Hiring  month</t>
  </si>
  <si>
    <t>CEO</t>
  </si>
  <si>
    <t>Year1</t>
  </si>
  <si>
    <t>COO</t>
  </si>
  <si>
    <t>CFO</t>
  </si>
  <si>
    <t>HR</t>
  </si>
  <si>
    <t>Senior accountant</t>
  </si>
  <si>
    <t>Recruiter</t>
  </si>
  <si>
    <t>Admin</t>
  </si>
  <si>
    <t>Controller</t>
  </si>
  <si>
    <t>Legal counsel</t>
  </si>
  <si>
    <t>assistant</t>
  </si>
  <si>
    <t>Sept</t>
  </si>
  <si>
    <t>paid salary</t>
  </si>
  <si>
    <t>Total deferred</t>
  </si>
  <si>
    <t>office rent</t>
  </si>
  <si>
    <t>year</t>
  </si>
  <si>
    <t>avg Yearly rent</t>
  </si>
  <si>
    <t>Size (sqft)</t>
  </si>
  <si>
    <t>Payment</t>
  </si>
  <si>
    <t>Interest</t>
  </si>
  <si>
    <t>Principal</t>
  </si>
  <si>
    <t>Amount Outstanding</t>
  </si>
  <si>
    <t>Annual Interest Rate</t>
  </si>
  <si>
    <t>Period Interest Rate</t>
  </si>
  <si>
    <t>Term in Years</t>
  </si>
  <si>
    <t>Periods per Year</t>
  </si>
  <si>
    <t>Cap Ex DEPT</t>
  </si>
  <si>
    <t>Capital Expenditures</t>
  </si>
  <si>
    <t>Price</t>
  </si>
  <si>
    <t>Useful Life</t>
  </si>
  <si>
    <t>Developer Workstations / Laptops Per Employee</t>
  </si>
  <si>
    <t>Office Networking Gear</t>
  </si>
  <si>
    <t>Furniture &amp; Fixtures Per Employee</t>
  </si>
  <si>
    <t>Leasehold Improvements</t>
  </si>
  <si>
    <t>Count Of Items</t>
  </si>
  <si>
    <t>Total Depreciation</t>
  </si>
  <si>
    <t>PPE</t>
  </si>
  <si>
    <t>Total PPE</t>
  </si>
  <si>
    <t>Purchases</t>
  </si>
  <si>
    <t>CapEX</t>
  </si>
  <si>
    <t>Total Capex</t>
  </si>
  <si>
    <t>Count Of Depreciating Items</t>
  </si>
  <si>
    <t>Number Of Seats</t>
  </si>
  <si>
    <t>R &amp; D</t>
  </si>
  <si>
    <t>Cap Ex</t>
  </si>
  <si>
    <t>Quarterly P &amp; L</t>
  </si>
  <si>
    <t>Quarterly Cash Flow</t>
  </si>
  <si>
    <t>Yearly P &amp; L</t>
  </si>
  <si>
    <t>Yearly Cash Flow</t>
  </si>
  <si>
    <t>Time</t>
  </si>
  <si>
    <t>Change in CF</t>
  </si>
  <si>
    <t>Yearly Change in CF</t>
  </si>
  <si>
    <t>Defered Expenses</t>
  </si>
  <si>
    <t>Deferred Compensation</t>
  </si>
  <si>
    <t>Defered Compensation</t>
  </si>
  <si>
    <t>Our company is developing an AI-driven financial projection tool that helps founders quickly produce credible, data-backed five-year forecasts. By licensing Taft’s extensive repository of early-stage startup data, we are creating an Agentic AI-based model to ask founders a series of guided questions and generate robust, investor-ready projections. This reduces human error and bias, offering a level of rigor that most first-time founders struggle to achieve. With our platform, we plan to target startups, as well as accelerators, incubators, and venture capital firms, positioning ourselves as the go-to resource for reliable, real-time financial planning.</t>
  </si>
  <si>
    <t>Attribute</t>
  </si>
  <si>
    <t>Description</t>
  </si>
  <si>
    <t>Company Name</t>
  </si>
  <si>
    <t>Industry</t>
  </si>
  <si>
    <t>Financial Technology / Artificial Intelligence</t>
  </si>
  <si>
    <t>Core Offering</t>
  </si>
  <si>
    <t>AI-driven financial forecasting tool that generates accurate, data-backed five-year projections</t>
  </si>
  <si>
    <t>Value Proposition</t>
  </si>
  <si>
    <t>Leverages proprietary early-stage data to eliminate bias and uncertainty, empowering startups and investors with objective, reliable forecasts</t>
  </si>
  <si>
    <t>Target Markets</t>
  </si>
  <si>
    <t>Early-stage startups, mid-cap companies, and large enterprises requiring scalable, tailored financial projections</t>
  </si>
  <si>
    <t>Revenue Model</t>
  </si>
  <si>
    <t>Tiered SaaS pricing: Basic self-service platform for startups and a premium, customizable solution for larger clients</t>
  </si>
  <si>
    <t>Growth Strategy</t>
  </si>
  <si>
    <t>Phased team expansion with targeted sales and marketing investments, continuous product enhancements heavy focus on RnD, and strategic market penetration</t>
  </si>
  <si>
    <t>Customer Success Manager</t>
  </si>
  <si>
    <t xml:space="preserve">Project Manager </t>
  </si>
  <si>
    <t>Low Point</t>
  </si>
  <si>
    <t>High Point</t>
  </si>
  <si>
    <r>
      <rPr>
        <b/>
        <sz val="11"/>
        <color theme="1"/>
        <rFont val="Aptos Narrow"/>
        <family val="2"/>
        <scheme val="minor"/>
      </rPr>
      <t xml:space="preserve">Finsight </t>
    </r>
    <r>
      <rPr>
        <sz val="11"/>
        <color theme="1"/>
        <rFont val="Aptos Narrow"/>
        <family val="2"/>
        <scheme val="minor"/>
      </rPr>
      <t>- “Financial insight at your fingertips.”</t>
    </r>
  </si>
  <si>
    <t>Repayment start date</t>
  </si>
  <si>
    <t>AP</t>
  </si>
  <si>
    <t>Role</t>
  </si>
  <si>
    <t>Founder</t>
  </si>
  <si>
    <t>Sales Rep</t>
  </si>
  <si>
    <t>Beginning Sales</t>
  </si>
  <si>
    <t>Monthly Learning Curve</t>
  </si>
  <si>
    <t>Unrounded Sales</t>
  </si>
  <si>
    <t>Marketing Wages</t>
  </si>
  <si>
    <t>Total Marketing Expense</t>
  </si>
  <si>
    <t>Total Sales Expense</t>
  </si>
  <si>
    <t>Sales Lead Gen</t>
  </si>
  <si>
    <t>Sales</t>
  </si>
  <si>
    <t>Marketing</t>
  </si>
  <si>
    <t>Total Marketing Wages</t>
  </si>
  <si>
    <t>Total Monthly Sales</t>
  </si>
  <si>
    <t>Monthly Base Sales Mix</t>
  </si>
  <si>
    <t>Monthly Base Premium Sales Mix</t>
  </si>
  <si>
    <t>Monthly Sales</t>
  </si>
  <si>
    <t>Monthly Units (Customers Rounded w/o attrition)</t>
  </si>
  <si>
    <t>Total Customers w/o Attrition</t>
  </si>
  <si>
    <t>Sales Per Person</t>
  </si>
  <si>
    <t>Estimated Salary w/o commission</t>
  </si>
  <si>
    <t>Comissions</t>
  </si>
  <si>
    <t>Commsions per Sale</t>
  </si>
  <si>
    <t>Avg Sub Price</t>
  </si>
  <si>
    <t>20% of Average Sub Price</t>
  </si>
  <si>
    <t>Deferred Compensation Earned</t>
  </si>
  <si>
    <t>Benefits 22%</t>
  </si>
  <si>
    <t>Defered Compensation Payable</t>
  </si>
  <si>
    <t>Deffered payment repayed</t>
  </si>
  <si>
    <t>Repayment of deffered expenses</t>
  </si>
  <si>
    <t>total repayed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</si>
</sst>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_(&quot;$&quot;* #,##0_);_(&quot;$&quot;* \(#,##0\);_(&quot;$&quot;* &quot;-&quot;??_);_(@_)"/>
    <numFmt numFmtId="166" formatCode="_(* #,##0_);_(* \(#,##0\);_(* &quot;-&quot;??_);_(@_)"/>
    <numFmt numFmtId="167" formatCode="0.0%"/>
  </numFmts>
  <fonts count="42" x14ac:knownFonts="1">
    <font>
      <sz val="11"/>
      <color theme="1"/>
      <name val="Aptos Narrow"/>
      <family val="2"/>
      <scheme val="minor"/>
    </font>
    <font>
      <b/>
      <sz val="11"/>
      <color rgb="FF000000"/>
      <name val="Aptos Narrow"/>
      <family val="2"/>
    </font>
    <font>
      <b/>
      <u/>
      <sz val="11"/>
      <color rgb="FF000000"/>
      <name val="Aptos Narrow"/>
      <family val="2"/>
    </font>
    <font>
      <sz val="11"/>
      <color rgb="FF000000"/>
      <name val="Aptos Narrow"/>
      <family val="2"/>
    </font>
    <font>
      <b/>
      <sz val="11"/>
      <color rgb="FF0070C0"/>
      <name val="Aptos Narrow"/>
      <family val="2"/>
    </font>
    <font>
      <sz val="11"/>
      <color rgb="FF0070C0"/>
      <name val="Aptos Narrow"/>
      <family val="2"/>
      <scheme val="minor"/>
    </font>
    <font>
      <sz val="11"/>
      <color theme="1"/>
      <name val="Aptos Narrow"/>
      <family val="2"/>
      <scheme val="minor"/>
    </font>
    <font>
      <b/>
      <sz val="9"/>
      <color rgb="FF000000"/>
      <name val="Tahoma"/>
      <family val="2"/>
    </font>
    <font>
      <sz val="9"/>
      <color rgb="FF000000"/>
      <name val="Tahoma"/>
      <family val="2"/>
    </font>
    <font>
      <sz val="11"/>
      <name val="Aptos Narrow"/>
      <family val="2"/>
      <scheme val="minor"/>
    </font>
    <font>
      <b/>
      <sz val="11"/>
      <color theme="1"/>
      <name val="Aptos Narrow"/>
      <family val="2"/>
      <scheme val="minor"/>
    </font>
    <font>
      <b/>
      <u val="singleAccounting"/>
      <sz val="11"/>
      <color theme="1"/>
      <name val="Aptos Narrow"/>
      <family val="2"/>
      <scheme val="minor"/>
    </font>
    <font>
      <sz val="10"/>
      <color rgb="FF000000"/>
      <name val="Aptos Narrow"/>
      <family val="2"/>
      <scheme val="minor"/>
    </font>
    <font>
      <b/>
      <sz val="10"/>
      <color rgb="FF000000"/>
      <name val="Aptos Narrow"/>
      <family val="2"/>
      <scheme val="minor"/>
    </font>
    <font>
      <sz val="11"/>
      <color theme="1"/>
      <name val="Calibri"/>
      <family val="2"/>
    </font>
    <font>
      <b/>
      <u/>
      <sz val="11"/>
      <color theme="1"/>
      <name val="Aptos Narrow"/>
      <family val="2"/>
      <scheme val="minor"/>
    </font>
    <font>
      <sz val="10"/>
      <name val="Arial"/>
      <family val="2"/>
    </font>
    <font>
      <sz val="10"/>
      <color rgb="FF0070C0"/>
      <name val="Arial"/>
      <family val="2"/>
    </font>
    <font>
      <sz val="9"/>
      <color indexed="81"/>
      <name val="Tahoma"/>
      <family val="2"/>
    </font>
    <font>
      <b/>
      <sz val="9"/>
      <color indexed="81"/>
      <name val="Tahoma"/>
      <family val="2"/>
    </font>
    <font>
      <sz val="8"/>
      <name val="Aptos Narrow"/>
      <family val="2"/>
      <scheme val="minor"/>
    </font>
    <font>
      <b/>
      <sz val="11"/>
      <color theme="1"/>
      <name val="Aptos Narrow"/>
      <family val="2"/>
      <scheme val="minor"/>
    </font>
    <font>
      <b/>
      <u/>
      <sz val="11"/>
      <color theme="1"/>
      <name val="Aptos Narrow"/>
      <family val="2"/>
      <scheme val="minor"/>
    </font>
    <font>
      <b/>
      <sz val="11"/>
      <color rgb="FF000000"/>
      <name val="Aptos Narrow"/>
      <family val="2"/>
    </font>
    <font>
      <b/>
      <u/>
      <sz val="11"/>
      <color rgb="FF000000"/>
      <name val="Aptos Narrow"/>
      <family val="2"/>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b/>
      <u val="singleAccounting"/>
      <sz val="11"/>
      <color theme="1"/>
      <name val="Aptos Narrow"/>
      <scheme val="minor"/>
    </font>
    <font>
      <u val="singleAccounting"/>
      <sz val="11"/>
      <color theme="1"/>
      <name val="Aptos Narrow"/>
      <scheme val="minor"/>
    </font>
  </fonts>
  <fills count="37">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25" fillId="0" borderId="0" applyNumberFormat="0" applyFill="0" applyBorder="0" applyAlignment="0" applyProtection="0"/>
    <xf numFmtId="0" fontId="26" fillId="0" borderId="22" applyNumberFormat="0" applyFill="0" applyAlignment="0" applyProtection="0"/>
    <xf numFmtId="0" fontId="27" fillId="0" borderId="23" applyNumberFormat="0" applyFill="0" applyAlignment="0" applyProtection="0"/>
    <xf numFmtId="0" fontId="28" fillId="0" borderId="24" applyNumberFormat="0" applyFill="0" applyAlignment="0" applyProtection="0"/>
    <xf numFmtId="0" fontId="28" fillId="0" borderId="0" applyNumberFormat="0" applyFill="0" applyBorder="0" applyAlignment="0" applyProtection="0"/>
    <xf numFmtId="0" fontId="29" fillId="6" borderId="0" applyNumberFormat="0" applyBorder="0" applyAlignment="0" applyProtection="0"/>
    <xf numFmtId="0" fontId="30" fillId="7" borderId="0" applyNumberFormat="0" applyBorder="0" applyAlignment="0" applyProtection="0"/>
    <xf numFmtId="0" fontId="31" fillId="8" borderId="0" applyNumberFormat="0" applyBorder="0" applyAlignment="0" applyProtection="0"/>
    <xf numFmtId="0" fontId="32" fillId="9" borderId="25" applyNumberFormat="0" applyAlignment="0" applyProtection="0"/>
    <xf numFmtId="0" fontId="33" fillId="10" borderId="26" applyNumberFormat="0" applyAlignment="0" applyProtection="0"/>
    <xf numFmtId="0" fontId="34" fillId="10" borderId="25" applyNumberFormat="0" applyAlignment="0" applyProtection="0"/>
    <xf numFmtId="0" fontId="35" fillId="0" borderId="27" applyNumberFormat="0" applyFill="0" applyAlignment="0" applyProtection="0"/>
    <xf numFmtId="0" fontId="36" fillId="11" borderId="28" applyNumberFormat="0" applyAlignment="0" applyProtection="0"/>
    <xf numFmtId="0" fontId="37" fillId="0" borderId="0" applyNumberFormat="0" applyFill="0" applyBorder="0" applyAlignment="0" applyProtection="0"/>
    <xf numFmtId="0" fontId="6" fillId="12" borderId="29" applyNumberFormat="0" applyFont="0" applyAlignment="0" applyProtection="0"/>
    <xf numFmtId="0" fontId="38" fillId="0" borderId="0" applyNumberFormat="0" applyFill="0" applyBorder="0" applyAlignment="0" applyProtection="0"/>
    <xf numFmtId="0" fontId="10" fillId="0" borderId="30" applyNumberFormat="0" applyFill="0" applyAlignment="0" applyProtection="0"/>
    <xf numFmtId="0" fontId="39"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39"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39"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39"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39"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39"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cellStyleXfs>
  <cellXfs count="135">
    <xf numFmtId="0" fontId="0" fillId="0" borderId="0" xfId="0"/>
    <xf numFmtId="0" fontId="1" fillId="0" borderId="0" xfId="0" applyFont="1"/>
    <xf numFmtId="0" fontId="2" fillId="0" borderId="0" xfId="0" applyFont="1"/>
    <xf numFmtId="0" fontId="3" fillId="0" borderId="0" xfId="0" applyFont="1"/>
    <xf numFmtId="2" fontId="0" fillId="0" borderId="0" xfId="0" applyNumberFormat="1"/>
    <xf numFmtId="49" fontId="0" fillId="0" borderId="0" xfId="0" applyNumberFormat="1"/>
    <xf numFmtId="0" fontId="0" fillId="0" borderId="0" xfId="0" applyAlignment="1">
      <alignment horizontal="center"/>
    </xf>
    <xf numFmtId="0" fontId="5" fillId="0" borderId="0" xfId="0" applyFont="1"/>
    <xf numFmtId="1" fontId="0" fillId="0" borderId="0" xfId="0" applyNumberFormat="1"/>
    <xf numFmtId="9" fontId="5" fillId="0" borderId="0" xfId="0" applyNumberFormat="1" applyFont="1"/>
    <xf numFmtId="9" fontId="0" fillId="0" borderId="0" xfId="0" applyNumberFormat="1"/>
    <xf numFmtId="164" fontId="0" fillId="0" borderId="0" xfId="0" applyNumberFormat="1"/>
    <xf numFmtId="9" fontId="0" fillId="0" borderId="0" xfId="3" applyFont="1"/>
    <xf numFmtId="164" fontId="9" fillId="0" borderId="0" xfId="0" applyNumberFormat="1" applyFont="1"/>
    <xf numFmtId="165" fontId="0" fillId="0" borderId="0" xfId="2" applyNumberFormat="1" applyFont="1"/>
    <xf numFmtId="165" fontId="0" fillId="0" borderId="0" xfId="0" applyNumberFormat="1"/>
    <xf numFmtId="0" fontId="10" fillId="0" borderId="0" xfId="0" applyFont="1"/>
    <xf numFmtId="166" fontId="0" fillId="0" borderId="0" xfId="1" applyNumberFormat="1" applyFont="1"/>
    <xf numFmtId="42" fontId="0" fillId="0" borderId="0" xfId="2" applyNumberFormat="1" applyFont="1"/>
    <xf numFmtId="42" fontId="0" fillId="0" borderId="0" xfId="0" applyNumberFormat="1"/>
    <xf numFmtId="42" fontId="0" fillId="0" borderId="0" xfId="0" applyNumberFormat="1" applyAlignment="1">
      <alignment horizontal="center"/>
    </xf>
    <xf numFmtId="42" fontId="11" fillId="0" borderId="0" xfId="0" applyNumberFormat="1" applyFont="1" applyAlignment="1">
      <alignment horizontal="center"/>
    </xf>
    <xf numFmtId="0" fontId="10" fillId="0" borderId="0" xfId="0" applyFont="1" applyAlignment="1">
      <alignment horizontal="left"/>
    </xf>
    <xf numFmtId="164" fontId="5" fillId="0" borderId="0" xfId="0" applyNumberFormat="1" applyFont="1"/>
    <xf numFmtId="0" fontId="10" fillId="2" borderId="3" xfId="0" applyFont="1" applyFill="1" applyBorder="1" applyAlignment="1">
      <alignment vertical="top" wrapText="1"/>
    </xf>
    <xf numFmtId="0" fontId="10" fillId="3" borderId="4" xfId="0" applyFont="1" applyFill="1" applyBorder="1" applyAlignment="1">
      <alignment wrapText="1"/>
    </xf>
    <xf numFmtId="9" fontId="5" fillId="0" borderId="0" xfId="3" applyFont="1"/>
    <xf numFmtId="9" fontId="5" fillId="0" borderId="0" xfId="3" applyFont="1" applyFill="1"/>
    <xf numFmtId="0" fontId="12" fillId="0" borderId="0" xfId="0" applyFont="1"/>
    <xf numFmtId="0" fontId="13" fillId="0" borderId="0" xfId="0" applyFont="1"/>
    <xf numFmtId="42" fontId="0" fillId="0" borderId="10" xfId="0" applyNumberFormat="1" applyBorder="1"/>
    <xf numFmtId="42" fontId="0" fillId="0" borderId="11" xfId="0" applyNumberFormat="1" applyBorder="1"/>
    <xf numFmtId="42" fontId="0" fillId="0" borderId="12" xfId="0" applyNumberFormat="1" applyBorder="1"/>
    <xf numFmtId="42" fontId="5" fillId="0" borderId="0" xfId="0" applyNumberFormat="1" applyFont="1"/>
    <xf numFmtId="166" fontId="0" fillId="0" borderId="9" xfId="2" applyNumberFormat="1" applyFont="1" applyBorder="1"/>
    <xf numFmtId="166" fontId="0" fillId="0" borderId="0" xfId="0" applyNumberFormat="1"/>
    <xf numFmtId="43" fontId="0" fillId="0" borderId="0" xfId="0" applyNumberFormat="1"/>
    <xf numFmtId="44" fontId="0" fillId="0" borderId="0" xfId="0" applyNumberFormat="1"/>
    <xf numFmtId="0" fontId="10" fillId="0" borderId="0" xfId="0" applyFont="1" applyAlignment="1">
      <alignment horizontal="center"/>
    </xf>
    <xf numFmtId="0" fontId="15" fillId="0" borderId="0" xfId="0" applyFont="1" applyAlignment="1">
      <alignment horizontal="center"/>
    </xf>
    <xf numFmtId="10" fontId="0" fillId="0" borderId="0" xfId="3" applyNumberFormat="1" applyFont="1"/>
    <xf numFmtId="6" fontId="0" fillId="0" borderId="0" xfId="2" applyNumberFormat="1" applyFont="1"/>
    <xf numFmtId="0" fontId="16" fillId="0" borderId="0" xfId="0" applyFont="1"/>
    <xf numFmtId="166" fontId="17" fillId="0" borderId="0" xfId="1" applyNumberFormat="1" applyFont="1"/>
    <xf numFmtId="0" fontId="9" fillId="0" borderId="0" xfId="0" applyFont="1"/>
    <xf numFmtId="167" fontId="17" fillId="0" borderId="0" xfId="3" applyNumberFormat="1" applyFont="1" applyFill="1"/>
    <xf numFmtId="167" fontId="9" fillId="0" borderId="0" xfId="3" applyNumberFormat="1" applyFont="1"/>
    <xf numFmtId="0" fontId="17" fillId="0" borderId="0" xfId="0" applyFont="1"/>
    <xf numFmtId="8" fontId="16" fillId="0" borderId="0" xfId="1" applyNumberFormat="1" applyFont="1" applyBorder="1"/>
    <xf numFmtId="165" fontId="0" fillId="0" borderId="9" xfId="2" applyNumberFormat="1" applyFont="1" applyBorder="1"/>
    <xf numFmtId="166" fontId="10" fillId="0" borderId="0" xfId="1" applyNumberFormat="1" applyFont="1"/>
    <xf numFmtId="0" fontId="10" fillId="0" borderId="0" xfId="0" applyFont="1" applyAlignment="1">
      <alignment horizontal="right"/>
    </xf>
    <xf numFmtId="16" fontId="10" fillId="0" borderId="0" xfId="0" applyNumberFormat="1" applyFont="1" applyAlignment="1">
      <alignment horizontal="center"/>
    </xf>
    <xf numFmtId="0" fontId="10" fillId="0" borderId="10" xfId="0" applyFont="1" applyBorder="1" applyAlignment="1">
      <alignment horizontal="right"/>
    </xf>
    <xf numFmtId="0" fontId="10" fillId="0" borderId="10" xfId="0" applyFont="1" applyBorder="1" applyAlignment="1">
      <alignment horizontal="center"/>
    </xf>
    <xf numFmtId="0" fontId="0" fillId="0" borderId="10" xfId="0" applyBorder="1"/>
    <xf numFmtId="0" fontId="0" fillId="0" borderId="10" xfId="0" applyBorder="1" applyAlignment="1">
      <alignment horizontal="center"/>
    </xf>
    <xf numFmtId="166" fontId="5" fillId="0" borderId="0" xfId="1" applyNumberFormat="1" applyFont="1"/>
    <xf numFmtId="44" fontId="0" fillId="0" borderId="0" xfId="2" applyFont="1"/>
    <xf numFmtId="0" fontId="0" fillId="0" borderId="0" xfId="0" applyProtection="1">
      <protection locked="0"/>
    </xf>
    <xf numFmtId="0" fontId="14" fillId="0" borderId="13" xfId="0" applyFont="1" applyBorder="1" applyAlignment="1">
      <alignment wrapText="1"/>
    </xf>
    <xf numFmtId="0" fontId="0" fillId="0" borderId="13" xfId="0" applyBorder="1" applyAlignment="1">
      <alignment wrapText="1"/>
    </xf>
    <xf numFmtId="44" fontId="0" fillId="0" borderId="0" xfId="2" applyFont="1" applyProtection="1"/>
    <xf numFmtId="44" fontId="12" fillId="0" borderId="0" xfId="2" applyFont="1" applyProtection="1"/>
    <xf numFmtId="0" fontId="9" fillId="4" borderId="14" xfId="0" applyFont="1" applyFill="1" applyBorder="1" applyAlignment="1">
      <alignment horizontal="center" vertical="center"/>
    </xf>
    <xf numFmtId="0" fontId="9" fillId="4" borderId="14" xfId="0" applyFont="1" applyFill="1" applyBorder="1" applyAlignment="1">
      <alignment horizontal="center"/>
    </xf>
    <xf numFmtId="0" fontId="9" fillId="4" borderId="14" xfId="0" applyFont="1" applyFill="1" applyBorder="1"/>
    <xf numFmtId="44" fontId="9" fillId="4" borderId="14" xfId="2" applyFont="1" applyFill="1" applyBorder="1" applyProtection="1"/>
    <xf numFmtId="0" fontId="0" fillId="0" borderId="15" xfId="0" applyBorder="1"/>
    <xf numFmtId="0" fontId="0" fillId="0" borderId="11" xfId="0" applyBorder="1"/>
    <xf numFmtId="42" fontId="0" fillId="0" borderId="0" xfId="1" applyNumberFormat="1" applyFont="1"/>
    <xf numFmtId="165" fontId="0" fillId="0" borderId="11" xfId="2" applyNumberFormat="1" applyFont="1" applyBorder="1"/>
    <xf numFmtId="165" fontId="0" fillId="0" borderId="11" xfId="0" applyNumberFormat="1" applyBorder="1"/>
    <xf numFmtId="6" fontId="0" fillId="0" borderId="10" xfId="2" applyNumberFormat="1" applyFont="1" applyBorder="1"/>
    <xf numFmtId="165" fontId="0" fillId="0" borderId="10" xfId="2" applyNumberFormat="1" applyFont="1" applyBorder="1"/>
    <xf numFmtId="0" fontId="21" fillId="0" borderId="0" xfId="0" applyFont="1"/>
    <xf numFmtId="0" fontId="21" fillId="0" borderId="0" xfId="0" applyFont="1" applyAlignment="1">
      <alignment horizontal="center"/>
    </xf>
    <xf numFmtId="0" fontId="22" fillId="0" borderId="0" xfId="0" applyFont="1" applyAlignment="1">
      <alignment horizontal="center"/>
    </xf>
    <xf numFmtId="0" fontId="1" fillId="0" borderId="0" xfId="0" applyFont="1" applyAlignment="1">
      <alignment horizontal="center"/>
    </xf>
    <xf numFmtId="0" fontId="2" fillId="0" borderId="0" xfId="0" applyFont="1" applyAlignment="1">
      <alignment horizontal="center"/>
    </xf>
    <xf numFmtId="0" fontId="23" fillId="0" borderId="0" xfId="0" applyFont="1" applyAlignment="1">
      <alignment horizontal="center"/>
    </xf>
    <xf numFmtId="0" fontId="24" fillId="0" borderId="0" xfId="0" applyFont="1" applyAlignment="1">
      <alignment horizontal="center"/>
    </xf>
    <xf numFmtId="0" fontId="4" fillId="0" borderId="1" xfId="0" applyFont="1" applyBorder="1" applyAlignment="1">
      <alignment horizontal="center"/>
    </xf>
    <xf numFmtId="0" fontId="1" fillId="0" borderId="2" xfId="0" applyFont="1" applyBorder="1" applyAlignment="1">
      <alignment horizontal="center"/>
    </xf>
    <xf numFmtId="0" fontId="0" fillId="0" borderId="0" xfId="0" applyAlignment="1" applyProtection="1">
      <alignment horizontal="center"/>
      <protection locked="0"/>
    </xf>
    <xf numFmtId="0" fontId="1" fillId="0" borderId="0" xfId="0" applyFont="1" applyAlignment="1" applyProtection="1">
      <alignment horizontal="center"/>
      <protection locked="0"/>
    </xf>
    <xf numFmtId="0" fontId="2" fillId="0" borderId="0" xfId="0" applyFont="1" applyAlignment="1" applyProtection="1">
      <alignment horizontal="center"/>
      <protection locked="0"/>
    </xf>
    <xf numFmtId="42" fontId="0" fillId="0" borderId="11" xfId="2" applyNumberFormat="1" applyFont="1" applyBorder="1"/>
    <xf numFmtId="42" fontId="0" fillId="0" borderId="10" xfId="2" applyNumberFormat="1" applyFont="1" applyBorder="1"/>
    <xf numFmtId="166" fontId="5" fillId="0" borderId="0" xfId="1" applyNumberFormat="1" applyFont="1" applyFill="1"/>
    <xf numFmtId="166" fontId="0" fillId="0" borderId="0" xfId="1" applyNumberFormat="1" applyFont="1" applyFill="1"/>
    <xf numFmtId="165" fontId="0" fillId="0" borderId="16" xfId="2" applyNumberFormat="1" applyFont="1" applyBorder="1"/>
    <xf numFmtId="165" fontId="0" fillId="0" borderId="16" xfId="0" applyNumberFormat="1" applyBorder="1"/>
    <xf numFmtId="165" fontId="0" fillId="0" borderId="15" xfId="0" applyNumberFormat="1" applyBorder="1"/>
    <xf numFmtId="42" fontId="21" fillId="0" borderId="0" xfId="0" applyNumberFormat="1" applyFont="1" applyAlignment="1">
      <alignment horizontal="center"/>
    </xf>
    <xf numFmtId="1" fontId="5" fillId="0" borderId="0" xfId="0" applyNumberFormat="1" applyFont="1"/>
    <xf numFmtId="0" fontId="0" fillId="0" borderId="0" xfId="2" applyNumberFormat="1" applyFont="1"/>
    <xf numFmtId="166" fontId="0" fillId="0" borderId="0" xfId="1" applyNumberFormat="1" applyFont="1" applyBorder="1"/>
    <xf numFmtId="166" fontId="0" fillId="0" borderId="9" xfId="1" applyNumberFormat="1" applyFont="1" applyBorder="1"/>
    <xf numFmtId="166" fontId="0" fillId="0" borderId="16" xfId="1" applyNumberFormat="1" applyFont="1" applyBorder="1"/>
    <xf numFmtId="166" fontId="0" fillId="0" borderId="17" xfId="1" applyNumberFormat="1" applyFont="1" applyBorder="1"/>
    <xf numFmtId="166" fontId="0" fillId="0" borderId="0" xfId="1" applyNumberFormat="1" applyFont="1" applyFill="1" applyBorder="1"/>
    <xf numFmtId="0" fontId="15" fillId="0" borderId="0" xfId="0" applyFont="1"/>
    <xf numFmtId="0" fontId="0" fillId="5" borderId="0" xfId="0" applyFill="1"/>
    <xf numFmtId="42" fontId="0" fillId="5" borderId="0" xfId="0" applyNumberFormat="1" applyFill="1"/>
    <xf numFmtId="41" fontId="0" fillId="0" borderId="0" xfId="0" applyNumberFormat="1"/>
    <xf numFmtId="41" fontId="0" fillId="2" borderId="0" xfId="0" applyNumberFormat="1" applyFill="1"/>
    <xf numFmtId="41" fontId="0" fillId="0" borderId="10" xfId="0" applyNumberFormat="1" applyBorder="1"/>
    <xf numFmtId="44" fontId="9" fillId="0" borderId="0" xfId="2" applyFont="1"/>
    <xf numFmtId="42" fontId="0" fillId="0" borderId="12" xfId="2" applyNumberFormat="1" applyFont="1" applyBorder="1"/>
    <xf numFmtId="165" fontId="0" fillId="0" borderId="12" xfId="0" applyNumberFormat="1" applyBorder="1"/>
    <xf numFmtId="0" fontId="10" fillId="5" borderId="3"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10" fillId="5" borderId="18" xfId="0" applyFont="1" applyFill="1" applyBorder="1" applyAlignment="1">
      <alignment vertical="center" wrapText="1"/>
    </xf>
    <xf numFmtId="0" fontId="0" fillId="5" borderId="19" xfId="0" applyFill="1" applyBorder="1" applyAlignment="1">
      <alignment vertical="center" wrapText="1"/>
    </xf>
    <xf numFmtId="0" fontId="10" fillId="5" borderId="20" xfId="0" applyFont="1" applyFill="1" applyBorder="1" applyAlignment="1">
      <alignment vertical="center" wrapText="1"/>
    </xf>
    <xf numFmtId="0" fontId="0" fillId="5" borderId="21" xfId="0" applyFill="1" applyBorder="1" applyAlignment="1">
      <alignment vertical="center" wrapText="1"/>
    </xf>
    <xf numFmtId="0" fontId="21" fillId="5" borderId="0" xfId="0" applyFont="1" applyFill="1" applyAlignment="1">
      <alignment horizontal="center"/>
    </xf>
    <xf numFmtId="0" fontId="22" fillId="5" borderId="0" xfId="0" applyFont="1" applyFill="1" applyAlignment="1">
      <alignment horizontal="center"/>
    </xf>
    <xf numFmtId="41" fontId="0" fillId="0" borderId="15" xfId="0" applyNumberFormat="1" applyBorder="1"/>
    <xf numFmtId="0" fontId="0" fillId="5" borderId="3" xfId="0" applyFill="1" applyBorder="1"/>
    <xf numFmtId="0" fontId="10" fillId="5" borderId="6" xfId="0" applyFont="1" applyFill="1" applyBorder="1"/>
    <xf numFmtId="0" fontId="0" fillId="5" borderId="4" xfId="0" applyFill="1" applyBorder="1"/>
    <xf numFmtId="0" fontId="10" fillId="5" borderId="8" xfId="0" applyFont="1" applyFill="1" applyBorder="1"/>
    <xf numFmtId="166" fontId="0" fillId="0" borderId="9" xfId="0" applyNumberFormat="1" applyBorder="1"/>
    <xf numFmtId="165" fontId="0" fillId="0" borderId="0" xfId="2" applyNumberFormat="1" applyFont="1" applyBorder="1"/>
    <xf numFmtId="6" fontId="0" fillId="0" borderId="0" xfId="0" applyNumberFormat="1"/>
    <xf numFmtId="42" fontId="40" fillId="0" borderId="0" xfId="0" applyNumberFormat="1" applyFont="1" applyAlignment="1">
      <alignment horizontal="center"/>
    </xf>
    <xf numFmtId="42" fontId="41" fillId="0" borderId="0" xfId="0" applyNumberFormat="1" applyFont="1" applyAlignment="1">
      <alignment horizontal="center"/>
    </xf>
    <xf numFmtId="0" fontId="0" fillId="2" borderId="5" xfId="0" applyFill="1" applyBorder="1" applyAlignment="1">
      <alignment horizontal="left" wrapText="1"/>
    </xf>
    <xf numFmtId="0" fontId="0" fillId="2" borderId="6" xfId="0" applyFill="1" applyBorder="1" applyAlignment="1">
      <alignment horizontal="left" wrapText="1"/>
    </xf>
    <xf numFmtId="0" fontId="0" fillId="3" borderId="7" xfId="0" applyFill="1" applyBorder="1" applyAlignment="1">
      <alignment horizontal="left" wrapText="1"/>
    </xf>
    <xf numFmtId="0" fontId="0" fillId="3" borderId="8" xfId="0" applyFill="1" applyBorder="1" applyAlignment="1">
      <alignment horizontal="left" wrapText="1"/>
    </xf>
    <xf numFmtId="0" fontId="0" fillId="0" borderId="0" xfId="0" applyAlignment="1">
      <alignment horizontal="center"/>
    </xf>
    <xf numFmtId="0" fontId="9" fillId="4" borderId="14" xfId="0" applyFont="1" applyFill="1" applyBorder="1" applyAlignment="1">
      <alignment horizontal="center" vertical="center"/>
    </xf>
  </cellXfs>
  <cellStyles count="45">
    <cellStyle name="20% - Accent1" xfId="22" builtinId="30" customBuiltin="1"/>
    <cellStyle name="20% - Accent2" xfId="26" builtinId="34" customBuiltin="1"/>
    <cellStyle name="20% - Accent3" xfId="30" builtinId="38" customBuiltin="1"/>
    <cellStyle name="20% - Accent4" xfId="34" builtinId="42" customBuiltin="1"/>
    <cellStyle name="20% - Accent5" xfId="38" builtinId="46" customBuiltin="1"/>
    <cellStyle name="20% - Accent6" xfId="42" builtinId="50" customBuiltin="1"/>
    <cellStyle name="40% - Accent1" xfId="23" builtinId="31" customBuiltin="1"/>
    <cellStyle name="40% - Accent2" xfId="27" builtinId="35" customBuiltin="1"/>
    <cellStyle name="40% - Accent3" xfId="31" builtinId="39" customBuiltin="1"/>
    <cellStyle name="40% - Accent4" xfId="35" builtinId="43" customBuiltin="1"/>
    <cellStyle name="40% - Accent5" xfId="39" builtinId="47" customBuiltin="1"/>
    <cellStyle name="40% - Accent6" xfId="43" builtinId="51" customBuiltin="1"/>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0" builtinId="27" customBuiltin="1"/>
    <cellStyle name="Calculation" xfId="14" builtinId="22" customBuiltin="1"/>
    <cellStyle name="Check Cell" xfId="16" builtinId="23" customBuiltin="1"/>
    <cellStyle name="Comma" xfId="1" builtinId="3"/>
    <cellStyle name="Currency" xfId="2" builtinId="4"/>
    <cellStyle name="Explanatory Text" xfId="19"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Input" xfId="12" builtinId="20" customBuiltin="1"/>
    <cellStyle name="Linked Cell" xfId="15" builtinId="24" customBuiltin="1"/>
    <cellStyle name="Neutral" xfId="11" builtinId="28" customBuiltin="1"/>
    <cellStyle name="Normal" xfId="0" builtinId="0"/>
    <cellStyle name="Note" xfId="18" builtinId="10" customBuiltin="1"/>
    <cellStyle name="Output" xfId="13" builtinId="21" customBuiltin="1"/>
    <cellStyle name="Percent" xfId="3" builtinId="5"/>
    <cellStyle name="Title" xfId="4" builtinId="15" customBuiltin="1"/>
    <cellStyle name="Total" xfId="20" builtinId="25" customBuiltin="1"/>
    <cellStyle name="Warning Text" xfId="17" builtinId="11" customBuiltin="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'Company Summary W Graphs'!$A$7</c:f>
              <c:strCache>
                <c:ptCount val="1"/>
                <c:pt idx="0">
                  <c:v>Ending Cash </c:v>
                </c:pt>
              </c:strCache>
            </c:strRef>
          </c:tx>
          <c:spPr>
            <a:ln w="22225" cap="rnd">
              <a:solidFill>
                <a:schemeClr val="accent1"/>
              </a:solidFill>
            </a:ln>
            <a:effectLst>
              <a:glow rad="139700">
                <a:schemeClr val="accent1">
                  <a:satMod val="175000"/>
                  <a:alpha val="14000"/>
                </a:schemeClr>
              </a:glow>
            </a:effectLst>
          </c:spPr>
          <c:marker>
            <c:symbol val="none"/>
          </c:marker>
          <c:cat>
            <c:strRef>
              <c:f>'Company Summary W Graphs'!$B$6:$BI$6</c:f>
              <c:strCache>
                <c:ptCount val="60"/>
                <c:pt idx="0">
                  <c:v>Year 1 Jan</c:v>
                </c:pt>
                <c:pt idx="1">
                  <c:v>Year 1 Feb</c:v>
                </c:pt>
                <c:pt idx="2">
                  <c:v>Year 1 Mar</c:v>
                </c:pt>
                <c:pt idx="3">
                  <c:v>Year 1 Apr</c:v>
                </c:pt>
                <c:pt idx="4">
                  <c:v>Year 1 May</c:v>
                </c:pt>
                <c:pt idx="5">
                  <c:v>Year 1 Jun</c:v>
                </c:pt>
                <c:pt idx="6">
                  <c:v>Year 1 Jul</c:v>
                </c:pt>
                <c:pt idx="7">
                  <c:v>Year 1 Aug</c:v>
                </c:pt>
                <c:pt idx="8">
                  <c:v>Year 1 Sep</c:v>
                </c:pt>
                <c:pt idx="9">
                  <c:v>Year 1 Oct</c:v>
                </c:pt>
                <c:pt idx="10">
                  <c:v>Year 1 Nov</c:v>
                </c:pt>
                <c:pt idx="11">
                  <c:v>Year 1 Dec</c:v>
                </c:pt>
                <c:pt idx="12">
                  <c:v>Year 2 Jan</c:v>
                </c:pt>
                <c:pt idx="13">
                  <c:v>Year 2 Feb</c:v>
                </c:pt>
                <c:pt idx="14">
                  <c:v>Year 2 Mar</c:v>
                </c:pt>
                <c:pt idx="15">
                  <c:v>Year 2 Apr</c:v>
                </c:pt>
                <c:pt idx="16">
                  <c:v>Year 2 May</c:v>
                </c:pt>
                <c:pt idx="17">
                  <c:v>Year 2 Jun</c:v>
                </c:pt>
                <c:pt idx="18">
                  <c:v>Year 2 Jul</c:v>
                </c:pt>
                <c:pt idx="19">
                  <c:v>Year 2 Aug</c:v>
                </c:pt>
                <c:pt idx="20">
                  <c:v>Year 2 Sep</c:v>
                </c:pt>
                <c:pt idx="21">
                  <c:v>Year 2 Oct</c:v>
                </c:pt>
                <c:pt idx="22">
                  <c:v>Year 2 Nov</c:v>
                </c:pt>
                <c:pt idx="23">
                  <c:v>Year 2 Dec</c:v>
                </c:pt>
                <c:pt idx="24">
                  <c:v>Year 3 Jan</c:v>
                </c:pt>
                <c:pt idx="25">
                  <c:v>Year 3 Feb</c:v>
                </c:pt>
                <c:pt idx="26">
                  <c:v>Year 3 Mar</c:v>
                </c:pt>
                <c:pt idx="27">
                  <c:v>Year 3 Apr</c:v>
                </c:pt>
                <c:pt idx="28">
                  <c:v>Year 3 May</c:v>
                </c:pt>
                <c:pt idx="29">
                  <c:v>Year 3 Jun</c:v>
                </c:pt>
                <c:pt idx="30">
                  <c:v>Year 3 Jul</c:v>
                </c:pt>
                <c:pt idx="31">
                  <c:v>Year 3 Aug</c:v>
                </c:pt>
                <c:pt idx="32">
                  <c:v>Year 3 Sep</c:v>
                </c:pt>
                <c:pt idx="33">
                  <c:v>Year 3 Oct</c:v>
                </c:pt>
                <c:pt idx="34">
                  <c:v>Year 3 Nov</c:v>
                </c:pt>
                <c:pt idx="35">
                  <c:v>Year 3 Dec</c:v>
                </c:pt>
                <c:pt idx="36">
                  <c:v>Year 4 Jan</c:v>
                </c:pt>
                <c:pt idx="37">
                  <c:v>Year 4 Feb</c:v>
                </c:pt>
                <c:pt idx="38">
                  <c:v>Year 4 Mar</c:v>
                </c:pt>
                <c:pt idx="39">
                  <c:v>Year 4 Apr</c:v>
                </c:pt>
                <c:pt idx="40">
                  <c:v>Year 4 May</c:v>
                </c:pt>
                <c:pt idx="41">
                  <c:v>Year 4 Jun</c:v>
                </c:pt>
                <c:pt idx="42">
                  <c:v>Year 4 Jul</c:v>
                </c:pt>
                <c:pt idx="43">
                  <c:v>Year 4 Aug</c:v>
                </c:pt>
                <c:pt idx="44">
                  <c:v>Year 4 Sep</c:v>
                </c:pt>
                <c:pt idx="45">
                  <c:v>Year 4 Oct</c:v>
                </c:pt>
                <c:pt idx="46">
                  <c:v>Year 4 Nov</c:v>
                </c:pt>
                <c:pt idx="47">
                  <c:v>Year 4 Dec</c:v>
                </c:pt>
                <c:pt idx="48">
                  <c:v>Year 5 Jan</c:v>
                </c:pt>
                <c:pt idx="49">
                  <c:v>Year 5 Feb</c:v>
                </c:pt>
                <c:pt idx="50">
                  <c:v>Year 5 Mar</c:v>
                </c:pt>
                <c:pt idx="51">
                  <c:v>Year 5 Apr</c:v>
                </c:pt>
                <c:pt idx="52">
                  <c:v>Year 5 May</c:v>
                </c:pt>
                <c:pt idx="53">
                  <c:v>Year 5 Jun</c:v>
                </c:pt>
                <c:pt idx="54">
                  <c:v>Year 5 Jul</c:v>
                </c:pt>
                <c:pt idx="55">
                  <c:v>Year 5 Aug</c:v>
                </c:pt>
                <c:pt idx="56">
                  <c:v>Year 5 Sep</c:v>
                </c:pt>
                <c:pt idx="57">
                  <c:v>Year 5 Oct</c:v>
                </c:pt>
                <c:pt idx="58">
                  <c:v>Year 5 Nov</c:v>
                </c:pt>
                <c:pt idx="59">
                  <c:v>Year 5 Dec</c:v>
                </c:pt>
              </c:strCache>
            </c:strRef>
          </c:cat>
          <c:val>
            <c:numRef>
              <c:f>'Company Summary W Graphs'!$B$7:$BI$7</c:f>
              <c:numCache>
                <c:formatCode>_("$"* #,##0_);_("$"* \(#,##0\);_("$"* "-"_);_(@_)</c:formatCode>
                <c:ptCount val="60"/>
                <c:pt idx="0">
                  <c:v>617172.5680945632</c:v>
                </c:pt>
                <c:pt idx="1">
                  <c:v>512345.13618912647</c:v>
                </c:pt>
                <c:pt idx="2">
                  <c:v>407517.70428368973</c:v>
                </c:pt>
                <c:pt idx="3">
                  <c:v>288173.60571158631</c:v>
                </c:pt>
                <c:pt idx="4">
                  <c:v>168829.50713948288</c:v>
                </c:pt>
                <c:pt idx="5">
                  <c:v>33968.741900712805</c:v>
                </c:pt>
                <c:pt idx="6">
                  <c:v>-97229.023338057275</c:v>
                </c:pt>
                <c:pt idx="7">
                  <c:v>-227457.78857682736</c:v>
                </c:pt>
                <c:pt idx="8">
                  <c:v>-361361.38714893081</c:v>
                </c:pt>
                <c:pt idx="9">
                  <c:v>2005361.514278966</c:v>
                </c:pt>
                <c:pt idx="10">
                  <c:v>1873406.4157068627</c:v>
                </c:pt>
                <c:pt idx="11">
                  <c:v>1738832.9838014261</c:v>
                </c:pt>
                <c:pt idx="12">
                  <c:v>1552694.1352293228</c:v>
                </c:pt>
                <c:pt idx="13">
                  <c:v>1387343.5866572196</c:v>
                </c:pt>
                <c:pt idx="14">
                  <c:v>1207295.3380851164</c:v>
                </c:pt>
                <c:pt idx="15">
                  <c:v>995125.27701301302</c:v>
                </c:pt>
                <c:pt idx="16">
                  <c:v>783243.07531590958</c:v>
                </c:pt>
                <c:pt idx="17">
                  <c:v>559631.56929588958</c:v>
                </c:pt>
                <c:pt idx="18">
                  <c:v>331237.68957014033</c:v>
                </c:pt>
                <c:pt idx="19">
                  <c:v>109072.90745337546</c:v>
                </c:pt>
                <c:pt idx="20">
                  <c:v>-132139.90217395587</c:v>
                </c:pt>
                <c:pt idx="21">
                  <c:v>8630837.2018126175</c:v>
                </c:pt>
                <c:pt idx="22">
                  <c:v>8397789.4725937918</c:v>
                </c:pt>
                <c:pt idx="23">
                  <c:v>8166599.571009296</c:v>
                </c:pt>
                <c:pt idx="24">
                  <c:v>7956205.8609408485</c:v>
                </c:pt>
                <c:pt idx="25">
                  <c:v>7775902.1016574781</c:v>
                </c:pt>
                <c:pt idx="26">
                  <c:v>7595158.1605885448</c:v>
                </c:pt>
                <c:pt idx="27">
                  <c:v>7436229.8961447701</c:v>
                </c:pt>
                <c:pt idx="28">
                  <c:v>7278614.8484074119</c:v>
                </c:pt>
                <c:pt idx="29">
                  <c:v>7125230.644461791</c:v>
                </c:pt>
                <c:pt idx="30">
                  <c:v>6992147.4114974951</c:v>
                </c:pt>
                <c:pt idx="31">
                  <c:v>6864273.172646923</c:v>
                </c:pt>
                <c:pt idx="32">
                  <c:v>6752650.7338657603</c:v>
                </c:pt>
                <c:pt idx="33">
                  <c:v>6660548.1201574774</c:v>
                </c:pt>
                <c:pt idx="34">
                  <c:v>6588286.7527757185</c:v>
                </c:pt>
                <c:pt idx="35">
                  <c:v>6554663.3590368107</c:v>
                </c:pt>
                <c:pt idx="36">
                  <c:v>6530521.436224631</c:v>
                </c:pt>
                <c:pt idx="37">
                  <c:v>6573280.6194082545</c:v>
                </c:pt>
                <c:pt idx="38">
                  <c:v>6664225.4255773937</c:v>
                </c:pt>
                <c:pt idx="39">
                  <c:v>6788803.2622555466</c:v>
                </c:pt>
                <c:pt idx="40">
                  <c:v>6957920.4806848811</c:v>
                </c:pt>
                <c:pt idx="41">
                  <c:v>7183643.3496900089</c:v>
                </c:pt>
                <c:pt idx="42">
                  <c:v>7459521.3949016836</c:v>
                </c:pt>
                <c:pt idx="43">
                  <c:v>7776336.0366084343</c:v>
                </c:pt>
                <c:pt idx="44">
                  <c:v>8131156.2261675149</c:v>
                </c:pt>
                <c:pt idx="45">
                  <c:v>8548310.647569811</c:v>
                </c:pt>
                <c:pt idx="46">
                  <c:v>9009812.8174164109</c:v>
                </c:pt>
                <c:pt idx="47">
                  <c:v>9541652.6832274087</c:v>
                </c:pt>
                <c:pt idx="48">
                  <c:v>10318233.421249548</c:v>
                </c:pt>
                <c:pt idx="49">
                  <c:v>11205780.326130953</c:v>
                </c:pt>
                <c:pt idx="50">
                  <c:v>12197102.542944076</c:v>
                </c:pt>
                <c:pt idx="51">
                  <c:v>13299713.724523662</c:v>
                </c:pt>
                <c:pt idx="52">
                  <c:v>14517283.128161114</c:v>
                </c:pt>
                <c:pt idx="53">
                  <c:v>15850429.650839426</c:v>
                </c:pt>
                <c:pt idx="54">
                  <c:v>17309838.26122994</c:v>
                </c:pt>
                <c:pt idx="55">
                  <c:v>18904619.728289038</c:v>
                </c:pt>
                <c:pt idx="56">
                  <c:v>20631423.046284713</c:v>
                </c:pt>
                <c:pt idx="57">
                  <c:v>22510143.35607459</c:v>
                </c:pt>
                <c:pt idx="58">
                  <c:v>24541678.162447922</c:v>
                </c:pt>
                <c:pt idx="59">
                  <c:v>26735190.047334753</c:v>
                </c:pt>
              </c:numCache>
            </c:numRef>
          </c:val>
          <c:smooth val="0"/>
          <c:extLst>
            <c:ext xmlns:c16="http://schemas.microsoft.com/office/drawing/2014/chart" uri="{C3380CC4-5D6E-409C-BE32-E72D297353CC}">
              <c16:uniqueId val="{00000000-DFF5-4D26-A008-3730FA160646}"/>
            </c:ext>
          </c:extLst>
        </c:ser>
        <c:dLbls>
          <c:showLegendKey val="0"/>
          <c:showVal val="0"/>
          <c:showCatName val="0"/>
          <c:showSerName val="0"/>
          <c:showPercent val="0"/>
          <c:showBubbleSize val="0"/>
        </c:dLbls>
        <c:smooth val="0"/>
        <c:axId val="1361981568"/>
        <c:axId val="1359947856"/>
      </c:lineChart>
      <c:catAx>
        <c:axId val="13619815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9947856"/>
        <c:crosses val="autoZero"/>
        <c:auto val="1"/>
        <c:lblAlgn val="ctr"/>
        <c:lblOffset val="100"/>
        <c:noMultiLvlLbl val="0"/>
      </c:catAx>
      <c:valAx>
        <c:axId val="13599478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1981568"/>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'Company Summary W Graphs'!$A$8</c:f>
              <c:strCache>
                <c:ptCount val="1"/>
                <c:pt idx="0">
                  <c:v>Op Income</c:v>
                </c:pt>
              </c:strCache>
            </c:strRef>
          </c:tx>
          <c:spPr>
            <a:ln w="22225" cap="rnd">
              <a:solidFill>
                <a:schemeClr val="accent1"/>
              </a:solidFill>
            </a:ln>
            <a:effectLst>
              <a:glow rad="139700">
                <a:schemeClr val="accent1">
                  <a:satMod val="175000"/>
                  <a:alpha val="14000"/>
                </a:schemeClr>
              </a:glow>
            </a:effectLst>
          </c:spPr>
          <c:marker>
            <c:symbol val="none"/>
          </c:marker>
          <c:cat>
            <c:strRef>
              <c:f>'Company Summary W Graphs'!$B$6:$BI$6</c:f>
              <c:strCache>
                <c:ptCount val="60"/>
                <c:pt idx="0">
                  <c:v>Year 1 Jan</c:v>
                </c:pt>
                <c:pt idx="1">
                  <c:v>Year 1 Feb</c:v>
                </c:pt>
                <c:pt idx="2">
                  <c:v>Year 1 Mar</c:v>
                </c:pt>
                <c:pt idx="3">
                  <c:v>Year 1 Apr</c:v>
                </c:pt>
                <c:pt idx="4">
                  <c:v>Year 1 May</c:v>
                </c:pt>
                <c:pt idx="5">
                  <c:v>Year 1 Jun</c:v>
                </c:pt>
                <c:pt idx="6">
                  <c:v>Year 1 Jul</c:v>
                </c:pt>
                <c:pt idx="7">
                  <c:v>Year 1 Aug</c:v>
                </c:pt>
                <c:pt idx="8">
                  <c:v>Year 1 Sep</c:v>
                </c:pt>
                <c:pt idx="9">
                  <c:v>Year 1 Oct</c:v>
                </c:pt>
                <c:pt idx="10">
                  <c:v>Year 1 Nov</c:v>
                </c:pt>
                <c:pt idx="11">
                  <c:v>Year 1 Dec</c:v>
                </c:pt>
                <c:pt idx="12">
                  <c:v>Year 2 Jan</c:v>
                </c:pt>
                <c:pt idx="13">
                  <c:v>Year 2 Feb</c:v>
                </c:pt>
                <c:pt idx="14">
                  <c:v>Year 2 Mar</c:v>
                </c:pt>
                <c:pt idx="15">
                  <c:v>Year 2 Apr</c:v>
                </c:pt>
                <c:pt idx="16">
                  <c:v>Year 2 May</c:v>
                </c:pt>
                <c:pt idx="17">
                  <c:v>Year 2 Jun</c:v>
                </c:pt>
                <c:pt idx="18">
                  <c:v>Year 2 Jul</c:v>
                </c:pt>
                <c:pt idx="19">
                  <c:v>Year 2 Aug</c:v>
                </c:pt>
                <c:pt idx="20">
                  <c:v>Year 2 Sep</c:v>
                </c:pt>
                <c:pt idx="21">
                  <c:v>Year 2 Oct</c:v>
                </c:pt>
                <c:pt idx="22">
                  <c:v>Year 2 Nov</c:v>
                </c:pt>
                <c:pt idx="23">
                  <c:v>Year 2 Dec</c:v>
                </c:pt>
                <c:pt idx="24">
                  <c:v>Year 3 Jan</c:v>
                </c:pt>
                <c:pt idx="25">
                  <c:v>Year 3 Feb</c:v>
                </c:pt>
                <c:pt idx="26">
                  <c:v>Year 3 Mar</c:v>
                </c:pt>
                <c:pt idx="27">
                  <c:v>Year 3 Apr</c:v>
                </c:pt>
                <c:pt idx="28">
                  <c:v>Year 3 May</c:v>
                </c:pt>
                <c:pt idx="29">
                  <c:v>Year 3 Jun</c:v>
                </c:pt>
                <c:pt idx="30">
                  <c:v>Year 3 Jul</c:v>
                </c:pt>
                <c:pt idx="31">
                  <c:v>Year 3 Aug</c:v>
                </c:pt>
                <c:pt idx="32">
                  <c:v>Year 3 Sep</c:v>
                </c:pt>
                <c:pt idx="33">
                  <c:v>Year 3 Oct</c:v>
                </c:pt>
                <c:pt idx="34">
                  <c:v>Year 3 Nov</c:v>
                </c:pt>
                <c:pt idx="35">
                  <c:v>Year 3 Dec</c:v>
                </c:pt>
                <c:pt idx="36">
                  <c:v>Year 4 Jan</c:v>
                </c:pt>
                <c:pt idx="37">
                  <c:v>Year 4 Feb</c:v>
                </c:pt>
                <c:pt idx="38">
                  <c:v>Year 4 Mar</c:v>
                </c:pt>
                <c:pt idx="39">
                  <c:v>Year 4 Apr</c:v>
                </c:pt>
                <c:pt idx="40">
                  <c:v>Year 4 May</c:v>
                </c:pt>
                <c:pt idx="41">
                  <c:v>Year 4 Jun</c:v>
                </c:pt>
                <c:pt idx="42">
                  <c:v>Year 4 Jul</c:v>
                </c:pt>
                <c:pt idx="43">
                  <c:v>Year 4 Aug</c:v>
                </c:pt>
                <c:pt idx="44">
                  <c:v>Year 4 Sep</c:v>
                </c:pt>
                <c:pt idx="45">
                  <c:v>Year 4 Oct</c:v>
                </c:pt>
                <c:pt idx="46">
                  <c:v>Year 4 Nov</c:v>
                </c:pt>
                <c:pt idx="47">
                  <c:v>Year 4 Dec</c:v>
                </c:pt>
                <c:pt idx="48">
                  <c:v>Year 5 Jan</c:v>
                </c:pt>
                <c:pt idx="49">
                  <c:v>Year 5 Feb</c:v>
                </c:pt>
                <c:pt idx="50">
                  <c:v>Year 5 Mar</c:v>
                </c:pt>
                <c:pt idx="51">
                  <c:v>Year 5 Apr</c:v>
                </c:pt>
                <c:pt idx="52">
                  <c:v>Year 5 May</c:v>
                </c:pt>
                <c:pt idx="53">
                  <c:v>Year 5 Jun</c:v>
                </c:pt>
                <c:pt idx="54">
                  <c:v>Year 5 Jul</c:v>
                </c:pt>
                <c:pt idx="55">
                  <c:v>Year 5 Aug</c:v>
                </c:pt>
                <c:pt idx="56">
                  <c:v>Year 5 Sep</c:v>
                </c:pt>
                <c:pt idx="57">
                  <c:v>Year 5 Oct</c:v>
                </c:pt>
                <c:pt idx="58">
                  <c:v>Year 5 Nov</c:v>
                </c:pt>
                <c:pt idx="59">
                  <c:v>Year 5 Dec</c:v>
                </c:pt>
              </c:strCache>
            </c:strRef>
          </c:cat>
          <c:val>
            <c:numRef>
              <c:f>'Company Summary W Graphs'!$B$8:$BI$8</c:f>
              <c:numCache>
                <c:formatCode>_("$"* #,##0_);_("$"* \(#,##0\);_("$"* "-"_);_(@_)</c:formatCode>
                <c:ptCount val="60"/>
                <c:pt idx="0">
                  <c:v>-128508.33333333333</c:v>
                </c:pt>
                <c:pt idx="1">
                  <c:v>-128508.33333333333</c:v>
                </c:pt>
                <c:pt idx="2">
                  <c:v>-128508.33333333333</c:v>
                </c:pt>
                <c:pt idx="3">
                  <c:v>-143025</c:v>
                </c:pt>
                <c:pt idx="4">
                  <c:v>-143025</c:v>
                </c:pt>
                <c:pt idx="5">
                  <c:v>-158541.66666666666</c:v>
                </c:pt>
                <c:pt idx="6">
                  <c:v>-154683.66666666666</c:v>
                </c:pt>
                <c:pt idx="7">
                  <c:v>-153825.66666666666</c:v>
                </c:pt>
                <c:pt idx="8">
                  <c:v>-157535.5</c:v>
                </c:pt>
                <c:pt idx="9">
                  <c:v>-156917.5</c:v>
                </c:pt>
                <c:pt idx="10">
                  <c:v>-155559.5</c:v>
                </c:pt>
                <c:pt idx="11">
                  <c:v>-158190.33333333331</c:v>
                </c:pt>
                <c:pt idx="12">
                  <c:v>-192831.25</c:v>
                </c:pt>
                <c:pt idx="13">
                  <c:v>-188381.25</c:v>
                </c:pt>
                <c:pt idx="14">
                  <c:v>-203251.25</c:v>
                </c:pt>
                <c:pt idx="15">
                  <c:v>-235472.5625</c:v>
                </c:pt>
                <c:pt idx="16">
                  <c:v>-235339.00312499999</c:v>
                </c:pt>
                <c:pt idx="17">
                  <c:v>-247097.3074479166</c:v>
                </c:pt>
                <c:pt idx="18">
                  <c:v>-251620.88115364581</c:v>
                </c:pt>
                <c:pt idx="19">
                  <c:v>-245441.88354466145</c:v>
                </c:pt>
                <c:pt idx="20">
                  <c:v>-235614.56105522788</c:v>
                </c:pt>
                <c:pt idx="21">
                  <c:v>-231651.4974413226</c:v>
                </c:pt>
                <c:pt idx="22">
                  <c:v>-227465.28064672201</c:v>
                </c:pt>
                <c:pt idx="23">
                  <c:v>-225674.75301239145</c:v>
                </c:pt>
                <c:pt idx="24">
                  <c:v>-176898.51149634441</c:v>
                </c:pt>
                <c:pt idx="25">
                  <c:v>-173601.01071126637</c:v>
                </c:pt>
                <c:pt idx="26">
                  <c:v>-174827.34249682963</c:v>
                </c:pt>
                <c:pt idx="27">
                  <c:v>-152571.66587167111</c:v>
                </c:pt>
                <c:pt idx="28">
                  <c:v>-151124.24916525465</c:v>
                </c:pt>
                <c:pt idx="29">
                  <c:v>-147001.20537351741</c:v>
                </c:pt>
                <c:pt idx="30">
                  <c:v>-126746.03439219325</c:v>
                </c:pt>
                <c:pt idx="31">
                  <c:v>-121570.54027846968</c:v>
                </c:pt>
                <c:pt idx="32">
                  <c:v>-105029.04020905984</c:v>
                </c:pt>
                <c:pt idx="33">
                  <c:v>-85211.115136179491</c:v>
                </c:pt>
                <c:pt idx="34">
                  <c:v>-65864.568809655146</c:v>
                </c:pt>
                <c:pt idx="35">
                  <c:v>-26317.59516680456</c:v>
                </c:pt>
                <c:pt idx="36">
                  <c:v>12872.62715818861</c:v>
                </c:pt>
                <c:pt idx="37">
                  <c:v>64862.087811395642</c:v>
                </c:pt>
                <c:pt idx="38">
                  <c:v>124041.99272279872</c:v>
                </c:pt>
                <c:pt idx="39">
                  <c:v>165029.455379772</c:v>
                </c:pt>
                <c:pt idx="40">
                  <c:v>221556.5307529273</c:v>
                </c:pt>
                <c:pt idx="41">
                  <c:v>292406.49114474026</c:v>
                </c:pt>
                <c:pt idx="42">
                  <c:v>356965.90788947733</c:v>
                </c:pt>
                <c:pt idx="43">
                  <c:v>407289.02463811799</c:v>
                </c:pt>
                <c:pt idx="44">
                  <c:v>454307.13055752381</c:v>
                </c:pt>
                <c:pt idx="45">
                  <c:v>533275.64177290001</c:v>
                </c:pt>
                <c:pt idx="46">
                  <c:v>588344.72438237828</c:v>
                </c:pt>
                <c:pt idx="47">
                  <c:v>677405.54237233044</c:v>
                </c:pt>
                <c:pt idx="48">
                  <c:v>1001238.0069909471</c:v>
                </c:pt>
                <c:pt idx="49">
                  <c:v>1128610.1415820818</c:v>
                </c:pt>
                <c:pt idx="50">
                  <c:v>1255120.009520561</c:v>
                </c:pt>
                <c:pt idx="51">
                  <c:v>1395051.2458559638</c:v>
                </c:pt>
                <c:pt idx="52">
                  <c:v>1539214.7315081372</c:v>
                </c:pt>
                <c:pt idx="53">
                  <c:v>1683802.5164429191</c:v>
                </c:pt>
                <c:pt idx="54">
                  <c:v>1842560.3156244401</c:v>
                </c:pt>
                <c:pt idx="55">
                  <c:v>2012712.504765037</c:v>
                </c:pt>
                <c:pt idx="56">
                  <c:v>2177587.1158626638</c:v>
                </c:pt>
                <c:pt idx="57">
                  <c:v>2369138.3325151717</c:v>
                </c:pt>
                <c:pt idx="58">
                  <c:v>2560518.9850003058</c:v>
                </c:pt>
                <c:pt idx="59">
                  <c:v>2763780.5451096958</c:v>
                </c:pt>
              </c:numCache>
            </c:numRef>
          </c:val>
          <c:smooth val="0"/>
          <c:extLst>
            <c:ext xmlns:c16="http://schemas.microsoft.com/office/drawing/2014/chart" uri="{C3380CC4-5D6E-409C-BE32-E72D297353CC}">
              <c16:uniqueId val="{00000000-2B8B-4135-BDE0-361119208351}"/>
            </c:ext>
          </c:extLst>
        </c:ser>
        <c:dLbls>
          <c:showLegendKey val="0"/>
          <c:showVal val="0"/>
          <c:showCatName val="0"/>
          <c:showSerName val="0"/>
          <c:showPercent val="0"/>
          <c:showBubbleSize val="0"/>
        </c:dLbls>
        <c:smooth val="0"/>
        <c:axId val="1361981568"/>
        <c:axId val="1359947856"/>
      </c:lineChart>
      <c:catAx>
        <c:axId val="13619815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9947856"/>
        <c:crosses val="autoZero"/>
        <c:auto val="1"/>
        <c:lblAlgn val="ctr"/>
        <c:lblOffset val="100"/>
        <c:noMultiLvlLbl val="0"/>
      </c:catAx>
      <c:valAx>
        <c:axId val="13599478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1981568"/>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Expenses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1"/>
          <c:order val="1"/>
          <c:tx>
            <c:strRef>
              <c:f>'Company Summary W Graphs'!$A$12</c:f>
              <c:strCache>
                <c:ptCount val="1"/>
                <c:pt idx="0">
                  <c:v>R&amp;D</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'Company Summary W Graphs'!$B$10:$BI$10</c:f>
              <c:strCache>
                <c:ptCount val="60"/>
                <c:pt idx="0">
                  <c:v>Year 1 Jan</c:v>
                </c:pt>
                <c:pt idx="1">
                  <c:v>Year 1 Feb</c:v>
                </c:pt>
                <c:pt idx="2">
                  <c:v>Year 1 Mar</c:v>
                </c:pt>
                <c:pt idx="3">
                  <c:v>Year 1 Apr</c:v>
                </c:pt>
                <c:pt idx="4">
                  <c:v>Year 1 May</c:v>
                </c:pt>
                <c:pt idx="5">
                  <c:v>Year 1 Jun</c:v>
                </c:pt>
                <c:pt idx="6">
                  <c:v>Year 1 Jul</c:v>
                </c:pt>
                <c:pt idx="7">
                  <c:v>Year 1 Aug</c:v>
                </c:pt>
                <c:pt idx="8">
                  <c:v>Year 1 Sep</c:v>
                </c:pt>
                <c:pt idx="9">
                  <c:v>Year 1 Oct</c:v>
                </c:pt>
                <c:pt idx="10">
                  <c:v>Year 1 Nov</c:v>
                </c:pt>
                <c:pt idx="11">
                  <c:v>Year 1 Dec</c:v>
                </c:pt>
                <c:pt idx="12">
                  <c:v>Year 2 Jan</c:v>
                </c:pt>
                <c:pt idx="13">
                  <c:v>Year 2 Feb</c:v>
                </c:pt>
                <c:pt idx="14">
                  <c:v>Year 2 Mar</c:v>
                </c:pt>
                <c:pt idx="15">
                  <c:v>Year 2 Apr</c:v>
                </c:pt>
                <c:pt idx="16">
                  <c:v>Year 2 May</c:v>
                </c:pt>
                <c:pt idx="17">
                  <c:v>Year 2 Jun</c:v>
                </c:pt>
                <c:pt idx="18">
                  <c:v>Year 2 Jul</c:v>
                </c:pt>
                <c:pt idx="19">
                  <c:v>Year 2 Aug</c:v>
                </c:pt>
                <c:pt idx="20">
                  <c:v>Year 2 Sep</c:v>
                </c:pt>
                <c:pt idx="21">
                  <c:v>Year 2 Oct</c:v>
                </c:pt>
                <c:pt idx="22">
                  <c:v>Year 2 Nov</c:v>
                </c:pt>
                <c:pt idx="23">
                  <c:v>Year 2 Dec</c:v>
                </c:pt>
                <c:pt idx="24">
                  <c:v>Year 3 Jan</c:v>
                </c:pt>
                <c:pt idx="25">
                  <c:v>Year 3 Feb</c:v>
                </c:pt>
                <c:pt idx="26">
                  <c:v>Year 3 Mar</c:v>
                </c:pt>
                <c:pt idx="27">
                  <c:v>Year 3 Apr</c:v>
                </c:pt>
                <c:pt idx="28">
                  <c:v>Year 3 May</c:v>
                </c:pt>
                <c:pt idx="29">
                  <c:v>Year 3 Jun</c:v>
                </c:pt>
                <c:pt idx="30">
                  <c:v>Year 3 Jul</c:v>
                </c:pt>
                <c:pt idx="31">
                  <c:v>Year 3 Aug</c:v>
                </c:pt>
                <c:pt idx="32">
                  <c:v>Year 3 Sep</c:v>
                </c:pt>
                <c:pt idx="33">
                  <c:v>Year 3 Oct</c:v>
                </c:pt>
                <c:pt idx="34">
                  <c:v>Year 3 Nov</c:v>
                </c:pt>
                <c:pt idx="35">
                  <c:v>Year 3 Dec</c:v>
                </c:pt>
                <c:pt idx="36">
                  <c:v>Year 4 Jan</c:v>
                </c:pt>
                <c:pt idx="37">
                  <c:v>Year 4 Feb</c:v>
                </c:pt>
                <c:pt idx="38">
                  <c:v>Year 4 Mar</c:v>
                </c:pt>
                <c:pt idx="39">
                  <c:v>Year 4 Apr</c:v>
                </c:pt>
                <c:pt idx="40">
                  <c:v>Year 4 May</c:v>
                </c:pt>
                <c:pt idx="41">
                  <c:v>Year 4 Jun</c:v>
                </c:pt>
                <c:pt idx="42">
                  <c:v>Year 4 Jul</c:v>
                </c:pt>
                <c:pt idx="43">
                  <c:v>Year 4 Aug</c:v>
                </c:pt>
                <c:pt idx="44">
                  <c:v>Year 4 Sep</c:v>
                </c:pt>
                <c:pt idx="45">
                  <c:v>Year 4 Oct</c:v>
                </c:pt>
                <c:pt idx="46">
                  <c:v>Year 4 Nov</c:v>
                </c:pt>
                <c:pt idx="47">
                  <c:v>Year 4 Dec</c:v>
                </c:pt>
                <c:pt idx="48">
                  <c:v>Year 5 Jan</c:v>
                </c:pt>
                <c:pt idx="49">
                  <c:v>Year 5 Feb</c:v>
                </c:pt>
                <c:pt idx="50">
                  <c:v>Year 5 Mar</c:v>
                </c:pt>
                <c:pt idx="51">
                  <c:v>Year 5 Apr</c:v>
                </c:pt>
                <c:pt idx="52">
                  <c:v>Year 5 May</c:v>
                </c:pt>
                <c:pt idx="53">
                  <c:v>Year 5 Jun</c:v>
                </c:pt>
                <c:pt idx="54">
                  <c:v>Year 5 Jul</c:v>
                </c:pt>
                <c:pt idx="55">
                  <c:v>Year 5 Aug</c:v>
                </c:pt>
                <c:pt idx="56">
                  <c:v>Year 5 Sep</c:v>
                </c:pt>
                <c:pt idx="57">
                  <c:v>Year 5 Oct</c:v>
                </c:pt>
                <c:pt idx="58">
                  <c:v>Year 5 Nov</c:v>
                </c:pt>
                <c:pt idx="59">
                  <c:v>Year 5 Dec</c:v>
                </c:pt>
              </c:strCache>
            </c:strRef>
          </c:cat>
          <c:val>
            <c:numRef>
              <c:f>'Company Summary W Graphs'!$B$12:$BI$12</c:f>
              <c:numCache>
                <c:formatCode>_("$"* #,##0_);_("$"* \(#,##0\);_("$"* "-"_);_(@_)</c:formatCode>
                <c:ptCount val="60"/>
                <c:pt idx="0">
                  <c:v>16516.666666666668</c:v>
                </c:pt>
                <c:pt idx="1">
                  <c:v>16516.666666666668</c:v>
                </c:pt>
                <c:pt idx="2">
                  <c:v>16516.666666666668</c:v>
                </c:pt>
                <c:pt idx="3">
                  <c:v>31033.333333333336</c:v>
                </c:pt>
                <c:pt idx="4">
                  <c:v>31033.333333333336</c:v>
                </c:pt>
                <c:pt idx="5">
                  <c:v>45550</c:v>
                </c:pt>
                <c:pt idx="6">
                  <c:v>45550</c:v>
                </c:pt>
                <c:pt idx="7">
                  <c:v>45550</c:v>
                </c:pt>
                <c:pt idx="8">
                  <c:v>45550</c:v>
                </c:pt>
                <c:pt idx="9">
                  <c:v>45550</c:v>
                </c:pt>
                <c:pt idx="10">
                  <c:v>45550</c:v>
                </c:pt>
                <c:pt idx="11">
                  <c:v>45550</c:v>
                </c:pt>
                <c:pt idx="12">
                  <c:v>62049.166666666672</c:v>
                </c:pt>
                <c:pt idx="13">
                  <c:v>62049.166666666672</c:v>
                </c:pt>
                <c:pt idx="14">
                  <c:v>78090.833333333343</c:v>
                </c:pt>
                <c:pt idx="15">
                  <c:v>92099.166666666686</c:v>
                </c:pt>
                <c:pt idx="16">
                  <c:v>92099.166666666686</c:v>
                </c:pt>
                <c:pt idx="17">
                  <c:v>106920.83333333334</c:v>
                </c:pt>
                <c:pt idx="18">
                  <c:v>119687.50000000001</c:v>
                </c:pt>
                <c:pt idx="19">
                  <c:v>119687.50000000001</c:v>
                </c:pt>
                <c:pt idx="20">
                  <c:v>119687.50000000001</c:v>
                </c:pt>
                <c:pt idx="21">
                  <c:v>119687.50000000001</c:v>
                </c:pt>
                <c:pt idx="22">
                  <c:v>119687.50000000001</c:v>
                </c:pt>
                <c:pt idx="23">
                  <c:v>119687.50000000001</c:v>
                </c:pt>
                <c:pt idx="24">
                  <c:v>124986.87500000001</c:v>
                </c:pt>
                <c:pt idx="25">
                  <c:v>135436.875</c:v>
                </c:pt>
                <c:pt idx="26">
                  <c:v>149953.54166666669</c:v>
                </c:pt>
                <c:pt idx="27">
                  <c:v>149953.54166666669</c:v>
                </c:pt>
                <c:pt idx="28">
                  <c:v>166583.54166666669</c:v>
                </c:pt>
                <c:pt idx="29">
                  <c:v>183133.54166666669</c:v>
                </c:pt>
                <c:pt idx="30">
                  <c:v>183133.54166666669</c:v>
                </c:pt>
                <c:pt idx="31">
                  <c:v>197650.20833333337</c:v>
                </c:pt>
                <c:pt idx="32">
                  <c:v>206575.20833333337</c:v>
                </c:pt>
                <c:pt idx="33">
                  <c:v>216945.20833333337</c:v>
                </c:pt>
                <c:pt idx="34">
                  <c:v>216945.20833333337</c:v>
                </c:pt>
                <c:pt idx="35">
                  <c:v>216945.20833333337</c:v>
                </c:pt>
                <c:pt idx="36">
                  <c:v>257719.13541666669</c:v>
                </c:pt>
                <c:pt idx="37">
                  <c:v>257719.13541666669</c:v>
                </c:pt>
                <c:pt idx="38">
                  <c:v>257719.13541666669</c:v>
                </c:pt>
                <c:pt idx="39">
                  <c:v>257719.13541666669</c:v>
                </c:pt>
                <c:pt idx="40">
                  <c:v>272235.80208333337</c:v>
                </c:pt>
                <c:pt idx="41">
                  <c:v>272235.80208333337</c:v>
                </c:pt>
                <c:pt idx="42">
                  <c:v>288277.46875</c:v>
                </c:pt>
                <c:pt idx="43">
                  <c:v>303810.80208333331</c:v>
                </c:pt>
                <c:pt idx="44">
                  <c:v>318632.46875</c:v>
                </c:pt>
                <c:pt idx="45">
                  <c:v>318632.46875</c:v>
                </c:pt>
                <c:pt idx="46">
                  <c:v>333149.13541666669</c:v>
                </c:pt>
                <c:pt idx="47">
                  <c:v>333149.13541666669</c:v>
                </c:pt>
                <c:pt idx="48">
                  <c:v>348211.59218749998</c:v>
                </c:pt>
                <c:pt idx="49">
                  <c:v>348211.59218749998</c:v>
                </c:pt>
                <c:pt idx="50">
                  <c:v>348211.59218749998</c:v>
                </c:pt>
                <c:pt idx="51">
                  <c:v>348211.59218749998</c:v>
                </c:pt>
                <c:pt idx="52">
                  <c:v>348211.59218749998</c:v>
                </c:pt>
                <c:pt idx="53">
                  <c:v>348211.59218749998</c:v>
                </c:pt>
                <c:pt idx="54">
                  <c:v>348211.59218749998</c:v>
                </c:pt>
                <c:pt idx="55">
                  <c:v>348211.59218749998</c:v>
                </c:pt>
                <c:pt idx="56">
                  <c:v>348211.59218749998</c:v>
                </c:pt>
                <c:pt idx="57">
                  <c:v>348211.59218749998</c:v>
                </c:pt>
                <c:pt idx="58">
                  <c:v>348211.59218749998</c:v>
                </c:pt>
                <c:pt idx="59">
                  <c:v>348211.59218749998</c:v>
                </c:pt>
              </c:numCache>
            </c:numRef>
          </c:val>
          <c:smooth val="0"/>
          <c:extLst>
            <c:ext xmlns:c16="http://schemas.microsoft.com/office/drawing/2014/chart" uri="{C3380CC4-5D6E-409C-BE32-E72D297353CC}">
              <c16:uniqueId val="{00000001-8431-43BF-8B81-98226C1A96D1}"/>
            </c:ext>
          </c:extLst>
        </c:ser>
        <c:ser>
          <c:idx val="2"/>
          <c:order val="2"/>
          <c:tx>
            <c:strRef>
              <c:f>'Company Summary W Graphs'!$A$13</c:f>
              <c:strCache>
                <c:ptCount val="1"/>
                <c:pt idx="0">
                  <c:v>Marketing</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'Company Summary W Graphs'!$B$10:$BI$10</c:f>
              <c:strCache>
                <c:ptCount val="60"/>
                <c:pt idx="0">
                  <c:v>Year 1 Jan</c:v>
                </c:pt>
                <c:pt idx="1">
                  <c:v>Year 1 Feb</c:v>
                </c:pt>
                <c:pt idx="2">
                  <c:v>Year 1 Mar</c:v>
                </c:pt>
                <c:pt idx="3">
                  <c:v>Year 1 Apr</c:v>
                </c:pt>
                <c:pt idx="4">
                  <c:v>Year 1 May</c:v>
                </c:pt>
                <c:pt idx="5">
                  <c:v>Year 1 Jun</c:v>
                </c:pt>
                <c:pt idx="6">
                  <c:v>Year 1 Jul</c:v>
                </c:pt>
                <c:pt idx="7">
                  <c:v>Year 1 Aug</c:v>
                </c:pt>
                <c:pt idx="8">
                  <c:v>Year 1 Sep</c:v>
                </c:pt>
                <c:pt idx="9">
                  <c:v>Year 1 Oct</c:v>
                </c:pt>
                <c:pt idx="10">
                  <c:v>Year 1 Nov</c:v>
                </c:pt>
                <c:pt idx="11">
                  <c:v>Year 1 Dec</c:v>
                </c:pt>
                <c:pt idx="12">
                  <c:v>Year 2 Jan</c:v>
                </c:pt>
                <c:pt idx="13">
                  <c:v>Year 2 Feb</c:v>
                </c:pt>
                <c:pt idx="14">
                  <c:v>Year 2 Mar</c:v>
                </c:pt>
                <c:pt idx="15">
                  <c:v>Year 2 Apr</c:v>
                </c:pt>
                <c:pt idx="16">
                  <c:v>Year 2 May</c:v>
                </c:pt>
                <c:pt idx="17">
                  <c:v>Year 2 Jun</c:v>
                </c:pt>
                <c:pt idx="18">
                  <c:v>Year 2 Jul</c:v>
                </c:pt>
                <c:pt idx="19">
                  <c:v>Year 2 Aug</c:v>
                </c:pt>
                <c:pt idx="20">
                  <c:v>Year 2 Sep</c:v>
                </c:pt>
                <c:pt idx="21">
                  <c:v>Year 2 Oct</c:v>
                </c:pt>
                <c:pt idx="22">
                  <c:v>Year 2 Nov</c:v>
                </c:pt>
                <c:pt idx="23">
                  <c:v>Year 2 Dec</c:v>
                </c:pt>
                <c:pt idx="24">
                  <c:v>Year 3 Jan</c:v>
                </c:pt>
                <c:pt idx="25">
                  <c:v>Year 3 Feb</c:v>
                </c:pt>
                <c:pt idx="26">
                  <c:v>Year 3 Mar</c:v>
                </c:pt>
                <c:pt idx="27">
                  <c:v>Year 3 Apr</c:v>
                </c:pt>
                <c:pt idx="28">
                  <c:v>Year 3 May</c:v>
                </c:pt>
                <c:pt idx="29">
                  <c:v>Year 3 Jun</c:v>
                </c:pt>
                <c:pt idx="30">
                  <c:v>Year 3 Jul</c:v>
                </c:pt>
                <c:pt idx="31">
                  <c:v>Year 3 Aug</c:v>
                </c:pt>
                <c:pt idx="32">
                  <c:v>Year 3 Sep</c:v>
                </c:pt>
                <c:pt idx="33">
                  <c:v>Year 3 Oct</c:v>
                </c:pt>
                <c:pt idx="34">
                  <c:v>Year 3 Nov</c:v>
                </c:pt>
                <c:pt idx="35">
                  <c:v>Year 3 Dec</c:v>
                </c:pt>
                <c:pt idx="36">
                  <c:v>Year 4 Jan</c:v>
                </c:pt>
                <c:pt idx="37">
                  <c:v>Year 4 Feb</c:v>
                </c:pt>
                <c:pt idx="38">
                  <c:v>Year 4 Mar</c:v>
                </c:pt>
                <c:pt idx="39">
                  <c:v>Year 4 Apr</c:v>
                </c:pt>
                <c:pt idx="40">
                  <c:v>Year 4 May</c:v>
                </c:pt>
                <c:pt idx="41">
                  <c:v>Year 4 Jun</c:v>
                </c:pt>
                <c:pt idx="42">
                  <c:v>Year 4 Jul</c:v>
                </c:pt>
                <c:pt idx="43">
                  <c:v>Year 4 Aug</c:v>
                </c:pt>
                <c:pt idx="44">
                  <c:v>Year 4 Sep</c:v>
                </c:pt>
                <c:pt idx="45">
                  <c:v>Year 4 Oct</c:v>
                </c:pt>
                <c:pt idx="46">
                  <c:v>Year 4 Nov</c:v>
                </c:pt>
                <c:pt idx="47">
                  <c:v>Year 4 Dec</c:v>
                </c:pt>
                <c:pt idx="48">
                  <c:v>Year 5 Jan</c:v>
                </c:pt>
                <c:pt idx="49">
                  <c:v>Year 5 Feb</c:v>
                </c:pt>
                <c:pt idx="50">
                  <c:v>Year 5 Mar</c:v>
                </c:pt>
                <c:pt idx="51">
                  <c:v>Year 5 Apr</c:v>
                </c:pt>
                <c:pt idx="52">
                  <c:v>Year 5 May</c:v>
                </c:pt>
                <c:pt idx="53">
                  <c:v>Year 5 Jun</c:v>
                </c:pt>
                <c:pt idx="54">
                  <c:v>Year 5 Jul</c:v>
                </c:pt>
                <c:pt idx="55">
                  <c:v>Year 5 Aug</c:v>
                </c:pt>
                <c:pt idx="56">
                  <c:v>Year 5 Sep</c:v>
                </c:pt>
                <c:pt idx="57">
                  <c:v>Year 5 Oct</c:v>
                </c:pt>
                <c:pt idx="58">
                  <c:v>Year 5 Nov</c:v>
                </c:pt>
                <c:pt idx="59">
                  <c:v>Year 5 Dec</c:v>
                </c:pt>
              </c:strCache>
            </c:strRef>
          </c:cat>
          <c:val>
            <c:numRef>
              <c:f>'Company Summary W Graphs'!$B$13:$BI$13</c:f>
              <c:numCache>
                <c:formatCode>_("$"* #,##0_);_("$"* \(#,##0\);_("$"* "-"_);_(@_)</c:formatCode>
                <c:ptCount val="60"/>
                <c:pt idx="0">
                  <c:v>12750</c:v>
                </c:pt>
                <c:pt idx="1">
                  <c:v>12750</c:v>
                </c:pt>
                <c:pt idx="2">
                  <c:v>12750</c:v>
                </c:pt>
                <c:pt idx="3">
                  <c:v>12750</c:v>
                </c:pt>
                <c:pt idx="4">
                  <c:v>12750</c:v>
                </c:pt>
                <c:pt idx="5">
                  <c:v>12750</c:v>
                </c:pt>
                <c:pt idx="6">
                  <c:v>12750</c:v>
                </c:pt>
                <c:pt idx="7">
                  <c:v>12750</c:v>
                </c:pt>
                <c:pt idx="8">
                  <c:v>12750</c:v>
                </c:pt>
                <c:pt idx="9">
                  <c:v>12750</c:v>
                </c:pt>
                <c:pt idx="10">
                  <c:v>12750</c:v>
                </c:pt>
                <c:pt idx="11">
                  <c:v>12750</c:v>
                </c:pt>
                <c:pt idx="12">
                  <c:v>22525</c:v>
                </c:pt>
                <c:pt idx="13">
                  <c:v>22525</c:v>
                </c:pt>
                <c:pt idx="14">
                  <c:v>22525</c:v>
                </c:pt>
                <c:pt idx="15">
                  <c:v>22525</c:v>
                </c:pt>
                <c:pt idx="16">
                  <c:v>22525</c:v>
                </c:pt>
                <c:pt idx="17">
                  <c:v>22525</c:v>
                </c:pt>
                <c:pt idx="18">
                  <c:v>22525</c:v>
                </c:pt>
                <c:pt idx="19">
                  <c:v>22525</c:v>
                </c:pt>
                <c:pt idx="20">
                  <c:v>22525</c:v>
                </c:pt>
                <c:pt idx="21">
                  <c:v>22525</c:v>
                </c:pt>
                <c:pt idx="22">
                  <c:v>22525</c:v>
                </c:pt>
                <c:pt idx="23">
                  <c:v>22525</c:v>
                </c:pt>
                <c:pt idx="24">
                  <c:v>28483.333333333332</c:v>
                </c:pt>
                <c:pt idx="25">
                  <c:v>28483.333333333332</c:v>
                </c:pt>
                <c:pt idx="26">
                  <c:v>28483.333333333332</c:v>
                </c:pt>
                <c:pt idx="27">
                  <c:v>28483.333333333332</c:v>
                </c:pt>
                <c:pt idx="28">
                  <c:v>28483.333333333332</c:v>
                </c:pt>
                <c:pt idx="29">
                  <c:v>28483.333333333332</c:v>
                </c:pt>
                <c:pt idx="30">
                  <c:v>28483.333333333332</c:v>
                </c:pt>
                <c:pt idx="31">
                  <c:v>28483.333333333332</c:v>
                </c:pt>
                <c:pt idx="32">
                  <c:v>28483.333333333332</c:v>
                </c:pt>
                <c:pt idx="33">
                  <c:v>28483.333333333332</c:v>
                </c:pt>
                <c:pt idx="34">
                  <c:v>28483.333333333332</c:v>
                </c:pt>
                <c:pt idx="35">
                  <c:v>28483.333333333332</c:v>
                </c:pt>
                <c:pt idx="36">
                  <c:v>33775</c:v>
                </c:pt>
                <c:pt idx="37">
                  <c:v>33775</c:v>
                </c:pt>
                <c:pt idx="38">
                  <c:v>33775</c:v>
                </c:pt>
                <c:pt idx="39">
                  <c:v>33775</c:v>
                </c:pt>
                <c:pt idx="40">
                  <c:v>33775</c:v>
                </c:pt>
                <c:pt idx="41">
                  <c:v>33775</c:v>
                </c:pt>
                <c:pt idx="42">
                  <c:v>33775</c:v>
                </c:pt>
                <c:pt idx="43">
                  <c:v>33775</c:v>
                </c:pt>
                <c:pt idx="44">
                  <c:v>33775</c:v>
                </c:pt>
                <c:pt idx="45">
                  <c:v>33775</c:v>
                </c:pt>
                <c:pt idx="46">
                  <c:v>33775</c:v>
                </c:pt>
                <c:pt idx="47">
                  <c:v>33775</c:v>
                </c:pt>
                <c:pt idx="48">
                  <c:v>38650</c:v>
                </c:pt>
                <c:pt idx="49">
                  <c:v>38650</c:v>
                </c:pt>
                <c:pt idx="50">
                  <c:v>38650</c:v>
                </c:pt>
                <c:pt idx="51">
                  <c:v>38650</c:v>
                </c:pt>
                <c:pt idx="52">
                  <c:v>38650</c:v>
                </c:pt>
                <c:pt idx="53">
                  <c:v>38650</c:v>
                </c:pt>
                <c:pt idx="54">
                  <c:v>38650</c:v>
                </c:pt>
                <c:pt idx="55">
                  <c:v>38650</c:v>
                </c:pt>
                <c:pt idx="56">
                  <c:v>38650</c:v>
                </c:pt>
                <c:pt idx="57">
                  <c:v>38650</c:v>
                </c:pt>
                <c:pt idx="58">
                  <c:v>38650</c:v>
                </c:pt>
                <c:pt idx="59">
                  <c:v>38650</c:v>
                </c:pt>
              </c:numCache>
            </c:numRef>
          </c:val>
          <c:smooth val="0"/>
          <c:extLst>
            <c:ext xmlns:c16="http://schemas.microsoft.com/office/drawing/2014/chart" uri="{C3380CC4-5D6E-409C-BE32-E72D297353CC}">
              <c16:uniqueId val="{00000002-8431-43BF-8B81-98226C1A96D1}"/>
            </c:ext>
          </c:extLst>
        </c:ser>
        <c:ser>
          <c:idx val="3"/>
          <c:order val="3"/>
          <c:tx>
            <c:strRef>
              <c:f>'Company Summary W Graphs'!$A$14</c:f>
              <c:strCache>
                <c:ptCount val="1"/>
                <c:pt idx="0">
                  <c:v>G&amp;A</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'Company Summary W Graphs'!$B$10:$BI$10</c:f>
              <c:strCache>
                <c:ptCount val="60"/>
                <c:pt idx="0">
                  <c:v>Year 1 Jan</c:v>
                </c:pt>
                <c:pt idx="1">
                  <c:v>Year 1 Feb</c:v>
                </c:pt>
                <c:pt idx="2">
                  <c:v>Year 1 Mar</c:v>
                </c:pt>
                <c:pt idx="3">
                  <c:v>Year 1 Apr</c:v>
                </c:pt>
                <c:pt idx="4">
                  <c:v>Year 1 May</c:v>
                </c:pt>
                <c:pt idx="5">
                  <c:v>Year 1 Jun</c:v>
                </c:pt>
                <c:pt idx="6">
                  <c:v>Year 1 Jul</c:v>
                </c:pt>
                <c:pt idx="7">
                  <c:v>Year 1 Aug</c:v>
                </c:pt>
                <c:pt idx="8">
                  <c:v>Year 1 Sep</c:v>
                </c:pt>
                <c:pt idx="9">
                  <c:v>Year 1 Oct</c:v>
                </c:pt>
                <c:pt idx="10">
                  <c:v>Year 1 Nov</c:v>
                </c:pt>
                <c:pt idx="11">
                  <c:v>Year 1 Dec</c:v>
                </c:pt>
                <c:pt idx="12">
                  <c:v>Year 2 Jan</c:v>
                </c:pt>
                <c:pt idx="13">
                  <c:v>Year 2 Feb</c:v>
                </c:pt>
                <c:pt idx="14">
                  <c:v>Year 2 Mar</c:v>
                </c:pt>
                <c:pt idx="15">
                  <c:v>Year 2 Apr</c:v>
                </c:pt>
                <c:pt idx="16">
                  <c:v>Year 2 May</c:v>
                </c:pt>
                <c:pt idx="17">
                  <c:v>Year 2 Jun</c:v>
                </c:pt>
                <c:pt idx="18">
                  <c:v>Year 2 Jul</c:v>
                </c:pt>
                <c:pt idx="19">
                  <c:v>Year 2 Aug</c:v>
                </c:pt>
                <c:pt idx="20">
                  <c:v>Year 2 Sep</c:v>
                </c:pt>
                <c:pt idx="21">
                  <c:v>Year 2 Oct</c:v>
                </c:pt>
                <c:pt idx="22">
                  <c:v>Year 2 Nov</c:v>
                </c:pt>
                <c:pt idx="23">
                  <c:v>Year 2 Dec</c:v>
                </c:pt>
                <c:pt idx="24">
                  <c:v>Year 3 Jan</c:v>
                </c:pt>
                <c:pt idx="25">
                  <c:v>Year 3 Feb</c:v>
                </c:pt>
                <c:pt idx="26">
                  <c:v>Year 3 Mar</c:v>
                </c:pt>
                <c:pt idx="27">
                  <c:v>Year 3 Apr</c:v>
                </c:pt>
                <c:pt idx="28">
                  <c:v>Year 3 May</c:v>
                </c:pt>
                <c:pt idx="29">
                  <c:v>Year 3 Jun</c:v>
                </c:pt>
                <c:pt idx="30">
                  <c:v>Year 3 Jul</c:v>
                </c:pt>
                <c:pt idx="31">
                  <c:v>Year 3 Aug</c:v>
                </c:pt>
                <c:pt idx="32">
                  <c:v>Year 3 Sep</c:v>
                </c:pt>
                <c:pt idx="33">
                  <c:v>Year 3 Oct</c:v>
                </c:pt>
                <c:pt idx="34">
                  <c:v>Year 3 Nov</c:v>
                </c:pt>
                <c:pt idx="35">
                  <c:v>Year 3 Dec</c:v>
                </c:pt>
                <c:pt idx="36">
                  <c:v>Year 4 Jan</c:v>
                </c:pt>
                <c:pt idx="37">
                  <c:v>Year 4 Feb</c:v>
                </c:pt>
                <c:pt idx="38">
                  <c:v>Year 4 Mar</c:v>
                </c:pt>
                <c:pt idx="39">
                  <c:v>Year 4 Apr</c:v>
                </c:pt>
                <c:pt idx="40">
                  <c:v>Year 4 May</c:v>
                </c:pt>
                <c:pt idx="41">
                  <c:v>Year 4 Jun</c:v>
                </c:pt>
                <c:pt idx="42">
                  <c:v>Year 4 Jul</c:v>
                </c:pt>
                <c:pt idx="43">
                  <c:v>Year 4 Aug</c:v>
                </c:pt>
                <c:pt idx="44">
                  <c:v>Year 4 Sep</c:v>
                </c:pt>
                <c:pt idx="45">
                  <c:v>Year 4 Oct</c:v>
                </c:pt>
                <c:pt idx="46">
                  <c:v>Year 4 Nov</c:v>
                </c:pt>
                <c:pt idx="47">
                  <c:v>Year 4 Dec</c:v>
                </c:pt>
                <c:pt idx="48">
                  <c:v>Year 5 Jan</c:v>
                </c:pt>
                <c:pt idx="49">
                  <c:v>Year 5 Feb</c:v>
                </c:pt>
                <c:pt idx="50">
                  <c:v>Year 5 Mar</c:v>
                </c:pt>
                <c:pt idx="51">
                  <c:v>Year 5 Apr</c:v>
                </c:pt>
                <c:pt idx="52">
                  <c:v>Year 5 May</c:v>
                </c:pt>
                <c:pt idx="53">
                  <c:v>Year 5 Jun</c:v>
                </c:pt>
                <c:pt idx="54">
                  <c:v>Year 5 Jul</c:v>
                </c:pt>
                <c:pt idx="55">
                  <c:v>Year 5 Aug</c:v>
                </c:pt>
                <c:pt idx="56">
                  <c:v>Year 5 Sep</c:v>
                </c:pt>
                <c:pt idx="57">
                  <c:v>Year 5 Oct</c:v>
                </c:pt>
                <c:pt idx="58">
                  <c:v>Year 5 Nov</c:v>
                </c:pt>
                <c:pt idx="59">
                  <c:v>Year 5 Dec</c:v>
                </c:pt>
              </c:strCache>
            </c:strRef>
          </c:cat>
          <c:val>
            <c:numRef>
              <c:f>'Company Summary W Graphs'!$B$14:$BI$14</c:f>
              <c:numCache>
                <c:formatCode>_("$"* #,##0_);_("$"* \(#,##0\);_("$"* "-"_);_(@_)</c:formatCode>
                <c:ptCount val="60"/>
                <c:pt idx="0">
                  <c:v>98741.666666666657</c:v>
                </c:pt>
                <c:pt idx="1">
                  <c:v>98741.666666666657</c:v>
                </c:pt>
                <c:pt idx="2">
                  <c:v>98741.666666666657</c:v>
                </c:pt>
                <c:pt idx="3">
                  <c:v>98741.666666666657</c:v>
                </c:pt>
                <c:pt idx="4">
                  <c:v>98741.666666666657</c:v>
                </c:pt>
                <c:pt idx="5">
                  <c:v>98741.666666666657</c:v>
                </c:pt>
                <c:pt idx="6">
                  <c:v>98741.666666666657</c:v>
                </c:pt>
                <c:pt idx="7">
                  <c:v>98741.666666666657</c:v>
                </c:pt>
                <c:pt idx="8">
                  <c:v>103214.99999999999</c:v>
                </c:pt>
                <c:pt idx="9">
                  <c:v>103214.99999999999</c:v>
                </c:pt>
                <c:pt idx="10">
                  <c:v>103214.99999999999</c:v>
                </c:pt>
                <c:pt idx="11">
                  <c:v>106798.33333333333</c:v>
                </c:pt>
                <c:pt idx="12">
                  <c:v>131263.33333333334</c:v>
                </c:pt>
                <c:pt idx="13">
                  <c:v>131263.33333333334</c:v>
                </c:pt>
                <c:pt idx="14">
                  <c:v>138446.66666666666</c:v>
                </c:pt>
                <c:pt idx="15">
                  <c:v>162338.33333333331</c:v>
                </c:pt>
                <c:pt idx="16">
                  <c:v>165338.33333333331</c:v>
                </c:pt>
                <c:pt idx="17">
                  <c:v>165338.33333333331</c:v>
                </c:pt>
                <c:pt idx="18">
                  <c:v>165338.33333333331</c:v>
                </c:pt>
                <c:pt idx="19">
                  <c:v>165338.33333333331</c:v>
                </c:pt>
                <c:pt idx="20">
                  <c:v>164588.33333333334</c:v>
                </c:pt>
                <c:pt idx="21">
                  <c:v>164588.33333333334</c:v>
                </c:pt>
                <c:pt idx="22">
                  <c:v>169588.33333333331</c:v>
                </c:pt>
                <c:pt idx="23">
                  <c:v>174588.33333333331</c:v>
                </c:pt>
                <c:pt idx="24">
                  <c:v>188720</c:v>
                </c:pt>
                <c:pt idx="25">
                  <c:v>188720</c:v>
                </c:pt>
                <c:pt idx="26">
                  <c:v>188720</c:v>
                </c:pt>
                <c:pt idx="27">
                  <c:v>188720</c:v>
                </c:pt>
                <c:pt idx="28">
                  <c:v>193720</c:v>
                </c:pt>
                <c:pt idx="29">
                  <c:v>193720</c:v>
                </c:pt>
                <c:pt idx="30">
                  <c:v>193720</c:v>
                </c:pt>
                <c:pt idx="31">
                  <c:v>193720</c:v>
                </c:pt>
                <c:pt idx="32">
                  <c:v>193720</c:v>
                </c:pt>
                <c:pt idx="33">
                  <c:v>193720</c:v>
                </c:pt>
                <c:pt idx="34">
                  <c:v>193720</c:v>
                </c:pt>
                <c:pt idx="35">
                  <c:v>193720</c:v>
                </c:pt>
                <c:pt idx="36">
                  <c:v>250545</c:v>
                </c:pt>
                <c:pt idx="37">
                  <c:v>250545</c:v>
                </c:pt>
                <c:pt idx="38">
                  <c:v>250545</c:v>
                </c:pt>
                <c:pt idx="39">
                  <c:v>250545</c:v>
                </c:pt>
                <c:pt idx="40">
                  <c:v>237545</c:v>
                </c:pt>
                <c:pt idx="41">
                  <c:v>222545</c:v>
                </c:pt>
                <c:pt idx="42">
                  <c:v>227545</c:v>
                </c:pt>
                <c:pt idx="43">
                  <c:v>227545</c:v>
                </c:pt>
                <c:pt idx="44">
                  <c:v>227545</c:v>
                </c:pt>
                <c:pt idx="45">
                  <c:v>227545</c:v>
                </c:pt>
                <c:pt idx="46">
                  <c:v>227545</c:v>
                </c:pt>
                <c:pt idx="47">
                  <c:v>227545</c:v>
                </c:pt>
                <c:pt idx="48">
                  <c:v>227545</c:v>
                </c:pt>
                <c:pt idx="49">
                  <c:v>227545</c:v>
                </c:pt>
                <c:pt idx="50">
                  <c:v>227545</c:v>
                </c:pt>
                <c:pt idx="51">
                  <c:v>227545</c:v>
                </c:pt>
                <c:pt idx="52">
                  <c:v>227545</c:v>
                </c:pt>
                <c:pt idx="53">
                  <c:v>227545</c:v>
                </c:pt>
                <c:pt idx="54">
                  <c:v>227545</c:v>
                </c:pt>
                <c:pt idx="55">
                  <c:v>227545</c:v>
                </c:pt>
                <c:pt idx="56">
                  <c:v>227545</c:v>
                </c:pt>
                <c:pt idx="57">
                  <c:v>227545</c:v>
                </c:pt>
                <c:pt idx="58">
                  <c:v>227545</c:v>
                </c:pt>
                <c:pt idx="59">
                  <c:v>227545</c:v>
                </c:pt>
              </c:numCache>
            </c:numRef>
          </c:val>
          <c:smooth val="0"/>
          <c:extLst>
            <c:ext xmlns:c16="http://schemas.microsoft.com/office/drawing/2014/chart" uri="{C3380CC4-5D6E-409C-BE32-E72D297353CC}">
              <c16:uniqueId val="{00000003-8431-43BF-8B81-98226C1A96D1}"/>
            </c:ext>
          </c:extLst>
        </c:ser>
        <c:ser>
          <c:idx val="4"/>
          <c:order val="4"/>
          <c:tx>
            <c:strRef>
              <c:f>'Company Summary W Graphs'!$A$15</c:f>
              <c:strCache>
                <c:ptCount val="1"/>
                <c:pt idx="0">
                  <c:v>Sales</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val>
            <c:numRef>
              <c:f>'Company Summary W Graphs'!$B$15:$BI$15</c:f>
              <c:numCache>
                <c:formatCode>_("$"* #,##0_);_("$"* \(#,##0\);_("$"* "-"_);_(@_)</c:formatCode>
                <c:ptCount val="60"/>
                <c:pt idx="0">
                  <c:v>500</c:v>
                </c:pt>
                <c:pt idx="1">
                  <c:v>500</c:v>
                </c:pt>
                <c:pt idx="2">
                  <c:v>500</c:v>
                </c:pt>
                <c:pt idx="3">
                  <c:v>500</c:v>
                </c:pt>
                <c:pt idx="4">
                  <c:v>500</c:v>
                </c:pt>
                <c:pt idx="5">
                  <c:v>500</c:v>
                </c:pt>
                <c:pt idx="6">
                  <c:v>500</c:v>
                </c:pt>
                <c:pt idx="7">
                  <c:v>500</c:v>
                </c:pt>
                <c:pt idx="8">
                  <c:v>500</c:v>
                </c:pt>
                <c:pt idx="9">
                  <c:v>500</c:v>
                </c:pt>
                <c:pt idx="10">
                  <c:v>500</c:v>
                </c:pt>
                <c:pt idx="11">
                  <c:v>500</c:v>
                </c:pt>
                <c:pt idx="12">
                  <c:v>22312.5</c:v>
                </c:pt>
                <c:pt idx="13">
                  <c:v>22837.5</c:v>
                </c:pt>
                <c:pt idx="14">
                  <c:v>22863.75</c:v>
                </c:pt>
                <c:pt idx="15">
                  <c:v>22891.3125</c:v>
                </c:pt>
                <c:pt idx="16">
                  <c:v>22920.253124999996</c:v>
                </c:pt>
                <c:pt idx="17">
                  <c:v>22950.640781249997</c:v>
                </c:pt>
                <c:pt idx="18">
                  <c:v>22982.547820312499</c:v>
                </c:pt>
                <c:pt idx="19">
                  <c:v>23016.050211328122</c:v>
                </c:pt>
                <c:pt idx="20">
                  <c:v>23051.227721894527</c:v>
                </c:pt>
                <c:pt idx="21">
                  <c:v>23088.164107989254</c:v>
                </c:pt>
                <c:pt idx="22">
                  <c:v>23126.947313388719</c:v>
                </c:pt>
                <c:pt idx="23">
                  <c:v>23167.669679058152</c:v>
                </c:pt>
                <c:pt idx="24">
                  <c:v>32413.55316301106</c:v>
                </c:pt>
                <c:pt idx="25">
                  <c:v>33328.927377932981</c:v>
                </c:pt>
                <c:pt idx="26">
                  <c:v>33419.592496829631</c:v>
                </c:pt>
                <c:pt idx="27">
                  <c:v>33514.79087167111</c:v>
                </c:pt>
                <c:pt idx="28">
                  <c:v>33614.749165254667</c:v>
                </c:pt>
                <c:pt idx="29">
                  <c:v>33719.705373517398</c:v>
                </c:pt>
                <c:pt idx="30">
                  <c:v>33829.909392193273</c:v>
                </c:pt>
                <c:pt idx="31">
                  <c:v>33945.623611802941</c:v>
                </c:pt>
                <c:pt idx="32">
                  <c:v>34067.123542393078</c:v>
                </c:pt>
                <c:pt idx="33">
                  <c:v>34194.698469512739</c:v>
                </c:pt>
                <c:pt idx="34">
                  <c:v>34328.652142988372</c:v>
                </c:pt>
                <c:pt idx="35">
                  <c:v>34469.303500137794</c:v>
                </c:pt>
                <c:pt idx="36">
                  <c:v>51713.862425144689</c:v>
                </c:pt>
                <c:pt idx="37">
                  <c:v>53839.401771937664</c:v>
                </c:pt>
                <c:pt idx="38">
                  <c:v>54100.746860534549</c:v>
                </c:pt>
                <c:pt idx="39">
                  <c:v>54375.159203561285</c:v>
                </c:pt>
                <c:pt idx="40">
                  <c:v>54663.292163739352</c:v>
                </c:pt>
                <c:pt idx="41">
                  <c:v>54965.831771926314</c:v>
                </c:pt>
                <c:pt idx="42">
                  <c:v>55283.498360522637</c:v>
                </c:pt>
                <c:pt idx="43">
                  <c:v>55617.048278548762</c:v>
                </c:pt>
                <c:pt idx="44">
                  <c:v>55967.2756924762</c:v>
                </c:pt>
                <c:pt idx="45">
                  <c:v>56335.01447710002</c:v>
                </c:pt>
                <c:pt idx="46">
                  <c:v>56721.140200955015</c:v>
                </c:pt>
                <c:pt idx="47">
                  <c:v>57126.572211002764</c:v>
                </c:pt>
                <c:pt idx="48">
                  <c:v>66155.400821552903</c:v>
                </c:pt>
                <c:pt idx="49">
                  <c:v>70168.266230418216</c:v>
                </c:pt>
                <c:pt idx="50">
                  <c:v>70815.898291939127</c:v>
                </c:pt>
                <c:pt idx="51">
                  <c:v>71495.911956536103</c:v>
                </c:pt>
                <c:pt idx="52">
                  <c:v>72209.926304362889</c:v>
                </c:pt>
                <c:pt idx="53">
                  <c:v>72959.641369581019</c:v>
                </c:pt>
                <c:pt idx="54">
                  <c:v>73746.842188060094</c:v>
                </c:pt>
                <c:pt idx="55">
                  <c:v>74573.403047463085</c:v>
                </c:pt>
                <c:pt idx="56">
                  <c:v>75441.291949836275</c:v>
                </c:pt>
                <c:pt idx="57">
                  <c:v>76352.575297328076</c:v>
                </c:pt>
                <c:pt idx="58">
                  <c:v>77309.422812194491</c:v>
                </c:pt>
                <c:pt idx="59">
                  <c:v>78314.112702804181</c:v>
                </c:pt>
              </c:numCache>
            </c:numRef>
          </c:val>
          <c:smooth val="0"/>
          <c:extLst>
            <c:ext xmlns:c16="http://schemas.microsoft.com/office/drawing/2014/chart" uri="{C3380CC4-5D6E-409C-BE32-E72D297353CC}">
              <c16:uniqueId val="{00000000-D32B-4B8E-8DCF-D5CB7A7AD1D8}"/>
            </c:ext>
          </c:extLst>
        </c:ser>
        <c:dLbls>
          <c:showLegendKey val="0"/>
          <c:showVal val="0"/>
          <c:showCatName val="0"/>
          <c:showSerName val="0"/>
          <c:showPercent val="0"/>
          <c:showBubbleSize val="0"/>
        </c:dLbls>
        <c:smooth val="0"/>
        <c:axId val="1694375776"/>
        <c:axId val="1694377216"/>
        <c:extLst>
          <c:ext xmlns:c15="http://schemas.microsoft.com/office/drawing/2012/chart" uri="{02D57815-91ED-43cb-92C2-25804820EDAC}">
            <c15:filteredLineSeries>
              <c15:ser>
                <c:idx val="0"/>
                <c:order val="0"/>
                <c:tx>
                  <c:strRef>
                    <c:extLst>
                      <c:ext uri="{02D57815-91ED-43cb-92C2-25804820EDAC}">
                        <c15:formulaRef>
                          <c15:sqref>'Company Summary W Graphs'!$A$11</c15:sqref>
                        </c15:formulaRef>
                      </c:ext>
                    </c:extLst>
                    <c:strCache>
                      <c:ptCount val="1"/>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extLst>
                      <c:ext uri="{02D57815-91ED-43cb-92C2-25804820EDAC}">
                        <c15:formulaRef>
                          <c15:sqref>'Company Summary W Graphs'!$B$10:$BI$10</c15:sqref>
                        </c15:formulaRef>
                      </c:ext>
                    </c:extLst>
                    <c:strCache>
                      <c:ptCount val="60"/>
                      <c:pt idx="0">
                        <c:v>Year 1 Jan</c:v>
                      </c:pt>
                      <c:pt idx="1">
                        <c:v>Year 1 Feb</c:v>
                      </c:pt>
                      <c:pt idx="2">
                        <c:v>Year 1 Mar</c:v>
                      </c:pt>
                      <c:pt idx="3">
                        <c:v>Year 1 Apr</c:v>
                      </c:pt>
                      <c:pt idx="4">
                        <c:v>Year 1 May</c:v>
                      </c:pt>
                      <c:pt idx="5">
                        <c:v>Year 1 Jun</c:v>
                      </c:pt>
                      <c:pt idx="6">
                        <c:v>Year 1 Jul</c:v>
                      </c:pt>
                      <c:pt idx="7">
                        <c:v>Year 1 Aug</c:v>
                      </c:pt>
                      <c:pt idx="8">
                        <c:v>Year 1 Sep</c:v>
                      </c:pt>
                      <c:pt idx="9">
                        <c:v>Year 1 Oct</c:v>
                      </c:pt>
                      <c:pt idx="10">
                        <c:v>Year 1 Nov</c:v>
                      </c:pt>
                      <c:pt idx="11">
                        <c:v>Year 1 Dec</c:v>
                      </c:pt>
                      <c:pt idx="12">
                        <c:v>Year 2 Jan</c:v>
                      </c:pt>
                      <c:pt idx="13">
                        <c:v>Year 2 Feb</c:v>
                      </c:pt>
                      <c:pt idx="14">
                        <c:v>Year 2 Mar</c:v>
                      </c:pt>
                      <c:pt idx="15">
                        <c:v>Year 2 Apr</c:v>
                      </c:pt>
                      <c:pt idx="16">
                        <c:v>Year 2 May</c:v>
                      </c:pt>
                      <c:pt idx="17">
                        <c:v>Year 2 Jun</c:v>
                      </c:pt>
                      <c:pt idx="18">
                        <c:v>Year 2 Jul</c:v>
                      </c:pt>
                      <c:pt idx="19">
                        <c:v>Year 2 Aug</c:v>
                      </c:pt>
                      <c:pt idx="20">
                        <c:v>Year 2 Sep</c:v>
                      </c:pt>
                      <c:pt idx="21">
                        <c:v>Year 2 Oct</c:v>
                      </c:pt>
                      <c:pt idx="22">
                        <c:v>Year 2 Nov</c:v>
                      </c:pt>
                      <c:pt idx="23">
                        <c:v>Year 2 Dec</c:v>
                      </c:pt>
                      <c:pt idx="24">
                        <c:v>Year 3 Jan</c:v>
                      </c:pt>
                      <c:pt idx="25">
                        <c:v>Year 3 Feb</c:v>
                      </c:pt>
                      <c:pt idx="26">
                        <c:v>Year 3 Mar</c:v>
                      </c:pt>
                      <c:pt idx="27">
                        <c:v>Year 3 Apr</c:v>
                      </c:pt>
                      <c:pt idx="28">
                        <c:v>Year 3 May</c:v>
                      </c:pt>
                      <c:pt idx="29">
                        <c:v>Year 3 Jun</c:v>
                      </c:pt>
                      <c:pt idx="30">
                        <c:v>Year 3 Jul</c:v>
                      </c:pt>
                      <c:pt idx="31">
                        <c:v>Year 3 Aug</c:v>
                      </c:pt>
                      <c:pt idx="32">
                        <c:v>Year 3 Sep</c:v>
                      </c:pt>
                      <c:pt idx="33">
                        <c:v>Year 3 Oct</c:v>
                      </c:pt>
                      <c:pt idx="34">
                        <c:v>Year 3 Nov</c:v>
                      </c:pt>
                      <c:pt idx="35">
                        <c:v>Year 3 Dec</c:v>
                      </c:pt>
                      <c:pt idx="36">
                        <c:v>Year 4 Jan</c:v>
                      </c:pt>
                      <c:pt idx="37">
                        <c:v>Year 4 Feb</c:v>
                      </c:pt>
                      <c:pt idx="38">
                        <c:v>Year 4 Mar</c:v>
                      </c:pt>
                      <c:pt idx="39">
                        <c:v>Year 4 Apr</c:v>
                      </c:pt>
                      <c:pt idx="40">
                        <c:v>Year 4 May</c:v>
                      </c:pt>
                      <c:pt idx="41">
                        <c:v>Year 4 Jun</c:v>
                      </c:pt>
                      <c:pt idx="42">
                        <c:v>Year 4 Jul</c:v>
                      </c:pt>
                      <c:pt idx="43">
                        <c:v>Year 4 Aug</c:v>
                      </c:pt>
                      <c:pt idx="44">
                        <c:v>Year 4 Sep</c:v>
                      </c:pt>
                      <c:pt idx="45">
                        <c:v>Year 4 Oct</c:v>
                      </c:pt>
                      <c:pt idx="46">
                        <c:v>Year 4 Nov</c:v>
                      </c:pt>
                      <c:pt idx="47">
                        <c:v>Year 4 Dec</c:v>
                      </c:pt>
                      <c:pt idx="48">
                        <c:v>Year 5 Jan</c:v>
                      </c:pt>
                      <c:pt idx="49">
                        <c:v>Year 5 Feb</c:v>
                      </c:pt>
                      <c:pt idx="50">
                        <c:v>Year 5 Mar</c:v>
                      </c:pt>
                      <c:pt idx="51">
                        <c:v>Year 5 Apr</c:v>
                      </c:pt>
                      <c:pt idx="52">
                        <c:v>Year 5 May</c:v>
                      </c:pt>
                      <c:pt idx="53">
                        <c:v>Year 5 Jun</c:v>
                      </c:pt>
                      <c:pt idx="54">
                        <c:v>Year 5 Jul</c:v>
                      </c:pt>
                      <c:pt idx="55">
                        <c:v>Year 5 Aug</c:v>
                      </c:pt>
                      <c:pt idx="56">
                        <c:v>Year 5 Sep</c:v>
                      </c:pt>
                      <c:pt idx="57">
                        <c:v>Year 5 Oct</c:v>
                      </c:pt>
                      <c:pt idx="58">
                        <c:v>Year 5 Nov</c:v>
                      </c:pt>
                      <c:pt idx="59">
                        <c:v>Year 5 Dec</c:v>
                      </c:pt>
                    </c:strCache>
                  </c:strRef>
                </c:cat>
                <c:val>
                  <c:numRef>
                    <c:extLst>
                      <c:ext uri="{02D57815-91ED-43cb-92C2-25804820EDAC}">
                        <c15:formulaRef>
                          <c15:sqref>'Company Summary W Graphs'!$B$11:$BI$11</c15:sqref>
                        </c15:formulaRef>
                      </c:ext>
                    </c:extLst>
                    <c:numCache>
                      <c:formatCode>General</c:formatCode>
                      <c:ptCount val="60"/>
                    </c:numCache>
                  </c:numRef>
                </c:val>
                <c:smooth val="0"/>
                <c:extLst>
                  <c:ext xmlns:c16="http://schemas.microsoft.com/office/drawing/2014/chart" uri="{C3380CC4-5D6E-409C-BE32-E72D297353CC}">
                    <c16:uniqueId val="{00000000-8431-43BF-8B81-98226C1A96D1}"/>
                  </c:ext>
                </c:extLst>
              </c15:ser>
            </c15:filteredLineSeries>
          </c:ext>
        </c:extLst>
      </c:lineChart>
      <c:catAx>
        <c:axId val="16943757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4377216"/>
        <c:crosses val="autoZero"/>
        <c:auto val="1"/>
        <c:lblAlgn val="ctr"/>
        <c:lblOffset val="100"/>
        <c:noMultiLvlLbl val="0"/>
      </c:catAx>
      <c:valAx>
        <c:axId val="1694377216"/>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4375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'Company Summary W Graphs'!$A$9</c:f>
              <c:strCache>
                <c:ptCount val="1"/>
                <c:pt idx="0">
                  <c:v>Rev</c:v>
                </c:pt>
              </c:strCache>
            </c:strRef>
          </c:tx>
          <c:spPr>
            <a:ln w="22225" cap="rnd">
              <a:solidFill>
                <a:schemeClr val="accent1"/>
              </a:solidFill>
            </a:ln>
            <a:effectLst>
              <a:glow rad="139700">
                <a:schemeClr val="accent1">
                  <a:satMod val="175000"/>
                  <a:alpha val="14000"/>
                </a:schemeClr>
              </a:glow>
            </a:effectLst>
          </c:spPr>
          <c:marker>
            <c:symbol val="none"/>
          </c:marker>
          <c:cat>
            <c:strRef>
              <c:f>'Company Summary W Graphs'!$B$6:$BI$6</c:f>
              <c:strCache>
                <c:ptCount val="60"/>
                <c:pt idx="0">
                  <c:v>Year 1 Jan</c:v>
                </c:pt>
                <c:pt idx="1">
                  <c:v>Year 1 Feb</c:v>
                </c:pt>
                <c:pt idx="2">
                  <c:v>Year 1 Mar</c:v>
                </c:pt>
                <c:pt idx="3">
                  <c:v>Year 1 Apr</c:v>
                </c:pt>
                <c:pt idx="4">
                  <c:v>Year 1 May</c:v>
                </c:pt>
                <c:pt idx="5">
                  <c:v>Year 1 Jun</c:v>
                </c:pt>
                <c:pt idx="6">
                  <c:v>Year 1 Jul</c:v>
                </c:pt>
                <c:pt idx="7">
                  <c:v>Year 1 Aug</c:v>
                </c:pt>
                <c:pt idx="8">
                  <c:v>Year 1 Sep</c:v>
                </c:pt>
                <c:pt idx="9">
                  <c:v>Year 1 Oct</c:v>
                </c:pt>
                <c:pt idx="10">
                  <c:v>Year 1 Nov</c:v>
                </c:pt>
                <c:pt idx="11">
                  <c:v>Year 1 Dec</c:v>
                </c:pt>
                <c:pt idx="12">
                  <c:v>Year 2 Jan</c:v>
                </c:pt>
                <c:pt idx="13">
                  <c:v>Year 2 Feb</c:v>
                </c:pt>
                <c:pt idx="14">
                  <c:v>Year 2 Mar</c:v>
                </c:pt>
                <c:pt idx="15">
                  <c:v>Year 2 Apr</c:v>
                </c:pt>
                <c:pt idx="16">
                  <c:v>Year 2 May</c:v>
                </c:pt>
                <c:pt idx="17">
                  <c:v>Year 2 Jun</c:v>
                </c:pt>
                <c:pt idx="18">
                  <c:v>Year 2 Jul</c:v>
                </c:pt>
                <c:pt idx="19">
                  <c:v>Year 2 Aug</c:v>
                </c:pt>
                <c:pt idx="20">
                  <c:v>Year 2 Sep</c:v>
                </c:pt>
                <c:pt idx="21">
                  <c:v>Year 2 Oct</c:v>
                </c:pt>
                <c:pt idx="22">
                  <c:v>Year 2 Nov</c:v>
                </c:pt>
                <c:pt idx="23">
                  <c:v>Year 2 Dec</c:v>
                </c:pt>
                <c:pt idx="24">
                  <c:v>Year 3 Jan</c:v>
                </c:pt>
                <c:pt idx="25">
                  <c:v>Year 3 Feb</c:v>
                </c:pt>
                <c:pt idx="26">
                  <c:v>Year 3 Mar</c:v>
                </c:pt>
                <c:pt idx="27">
                  <c:v>Year 3 Apr</c:v>
                </c:pt>
                <c:pt idx="28">
                  <c:v>Year 3 May</c:v>
                </c:pt>
                <c:pt idx="29">
                  <c:v>Year 3 Jun</c:v>
                </c:pt>
                <c:pt idx="30">
                  <c:v>Year 3 Jul</c:v>
                </c:pt>
                <c:pt idx="31">
                  <c:v>Year 3 Aug</c:v>
                </c:pt>
                <c:pt idx="32">
                  <c:v>Year 3 Sep</c:v>
                </c:pt>
                <c:pt idx="33">
                  <c:v>Year 3 Oct</c:v>
                </c:pt>
                <c:pt idx="34">
                  <c:v>Year 3 Nov</c:v>
                </c:pt>
                <c:pt idx="35">
                  <c:v>Year 3 Dec</c:v>
                </c:pt>
                <c:pt idx="36">
                  <c:v>Year 4 Jan</c:v>
                </c:pt>
                <c:pt idx="37">
                  <c:v>Year 4 Feb</c:v>
                </c:pt>
                <c:pt idx="38">
                  <c:v>Year 4 Mar</c:v>
                </c:pt>
                <c:pt idx="39">
                  <c:v>Year 4 Apr</c:v>
                </c:pt>
                <c:pt idx="40">
                  <c:v>Year 4 May</c:v>
                </c:pt>
                <c:pt idx="41">
                  <c:v>Year 4 Jun</c:v>
                </c:pt>
                <c:pt idx="42">
                  <c:v>Year 4 Jul</c:v>
                </c:pt>
                <c:pt idx="43">
                  <c:v>Year 4 Aug</c:v>
                </c:pt>
                <c:pt idx="44">
                  <c:v>Year 4 Sep</c:v>
                </c:pt>
                <c:pt idx="45">
                  <c:v>Year 4 Oct</c:v>
                </c:pt>
                <c:pt idx="46">
                  <c:v>Year 4 Nov</c:v>
                </c:pt>
                <c:pt idx="47">
                  <c:v>Year 4 Dec</c:v>
                </c:pt>
                <c:pt idx="48">
                  <c:v>Year 5 Jan</c:v>
                </c:pt>
                <c:pt idx="49">
                  <c:v>Year 5 Feb</c:v>
                </c:pt>
                <c:pt idx="50">
                  <c:v>Year 5 Mar</c:v>
                </c:pt>
                <c:pt idx="51">
                  <c:v>Year 5 Apr</c:v>
                </c:pt>
                <c:pt idx="52">
                  <c:v>Year 5 May</c:v>
                </c:pt>
                <c:pt idx="53">
                  <c:v>Year 5 Jun</c:v>
                </c:pt>
                <c:pt idx="54">
                  <c:v>Year 5 Jul</c:v>
                </c:pt>
                <c:pt idx="55">
                  <c:v>Year 5 Aug</c:v>
                </c:pt>
                <c:pt idx="56">
                  <c:v>Year 5 Sep</c:v>
                </c:pt>
                <c:pt idx="57">
                  <c:v>Year 5 Oct</c:v>
                </c:pt>
                <c:pt idx="58">
                  <c:v>Year 5 Nov</c:v>
                </c:pt>
                <c:pt idx="59">
                  <c:v>Year 5 Dec</c:v>
                </c:pt>
              </c:strCache>
            </c:strRef>
          </c:cat>
          <c:val>
            <c:numRef>
              <c:f>'Company Summary W Graphs'!$B$9:$BI$9</c:f>
              <c:numCache>
                <c:formatCode>_("$"* #,##0_);_("$"* \(#,##0\);_("$"* "-"_);_(@_)</c:formatCode>
                <c:ptCount val="60"/>
                <c:pt idx="0">
                  <c:v>0</c:v>
                </c:pt>
                <c:pt idx="1">
                  <c:v>0</c:v>
                </c:pt>
                <c:pt idx="2">
                  <c:v>0</c:v>
                </c:pt>
                <c:pt idx="3">
                  <c:v>0</c:v>
                </c:pt>
                <c:pt idx="4">
                  <c:v>0</c:v>
                </c:pt>
                <c:pt idx="5">
                  <c:v>0</c:v>
                </c:pt>
                <c:pt idx="6">
                  <c:v>3900</c:v>
                </c:pt>
                <c:pt idx="7">
                  <c:v>4800</c:v>
                </c:pt>
                <c:pt idx="8">
                  <c:v>5600</c:v>
                </c:pt>
                <c:pt idx="9">
                  <c:v>6250</c:v>
                </c:pt>
                <c:pt idx="10">
                  <c:v>7650</c:v>
                </c:pt>
                <c:pt idx="11">
                  <c:v>8650</c:v>
                </c:pt>
                <c:pt idx="12">
                  <c:v>48220</c:v>
                </c:pt>
                <c:pt idx="13">
                  <c:v>53310</c:v>
                </c:pt>
                <c:pt idx="14">
                  <c:v>61850</c:v>
                </c:pt>
                <c:pt idx="15">
                  <c:v>67710</c:v>
                </c:pt>
                <c:pt idx="16">
                  <c:v>71020</c:v>
                </c:pt>
                <c:pt idx="17">
                  <c:v>74260</c:v>
                </c:pt>
                <c:pt idx="18">
                  <c:v>82690</c:v>
                </c:pt>
                <c:pt idx="19">
                  <c:v>89080</c:v>
                </c:pt>
                <c:pt idx="20">
                  <c:v>98385</c:v>
                </c:pt>
                <c:pt idx="21">
                  <c:v>102570</c:v>
                </c:pt>
                <c:pt idx="22">
                  <c:v>112000</c:v>
                </c:pt>
                <c:pt idx="23">
                  <c:v>119035</c:v>
                </c:pt>
                <c:pt idx="24">
                  <c:v>206150</c:v>
                </c:pt>
                <c:pt idx="25">
                  <c:v>221400</c:v>
                </c:pt>
                <c:pt idx="26">
                  <c:v>235300</c:v>
                </c:pt>
                <c:pt idx="27">
                  <c:v>258270</c:v>
                </c:pt>
                <c:pt idx="28">
                  <c:v>282110</c:v>
                </c:pt>
                <c:pt idx="29">
                  <c:v>303620</c:v>
                </c:pt>
                <c:pt idx="30">
                  <c:v>324680</c:v>
                </c:pt>
                <c:pt idx="31">
                  <c:v>345160</c:v>
                </c:pt>
                <c:pt idx="32">
                  <c:v>371550</c:v>
                </c:pt>
                <c:pt idx="33">
                  <c:v>402720</c:v>
                </c:pt>
                <c:pt idx="34">
                  <c:v>423040</c:v>
                </c:pt>
                <c:pt idx="35">
                  <c:v>463710</c:v>
                </c:pt>
                <c:pt idx="36">
                  <c:v>631850</c:v>
                </c:pt>
                <c:pt idx="37">
                  <c:v>688190</c:v>
                </c:pt>
                <c:pt idx="38">
                  <c:v>749940</c:v>
                </c:pt>
                <c:pt idx="39">
                  <c:v>793630</c:v>
                </c:pt>
                <c:pt idx="40">
                  <c:v>854460</c:v>
                </c:pt>
                <c:pt idx="41">
                  <c:v>913230</c:v>
                </c:pt>
                <c:pt idx="42">
                  <c:v>1002140</c:v>
                </c:pt>
                <c:pt idx="43">
                  <c:v>1071340</c:v>
                </c:pt>
                <c:pt idx="44">
                  <c:v>1136540</c:v>
                </c:pt>
                <c:pt idx="45">
                  <c:v>1219230</c:v>
                </c:pt>
                <c:pt idx="46">
                  <c:v>1292450</c:v>
                </c:pt>
                <c:pt idx="47">
                  <c:v>1385660</c:v>
                </c:pt>
                <c:pt idx="48">
                  <c:v>1761250</c:v>
                </c:pt>
                <c:pt idx="49">
                  <c:v>1898870</c:v>
                </c:pt>
                <c:pt idx="50">
                  <c:v>2032610</c:v>
                </c:pt>
                <c:pt idx="51">
                  <c:v>2180120</c:v>
                </c:pt>
                <c:pt idx="52">
                  <c:v>2332200</c:v>
                </c:pt>
                <c:pt idx="53">
                  <c:v>2485100</c:v>
                </c:pt>
                <c:pt idx="54">
                  <c:v>2652590</c:v>
                </c:pt>
                <c:pt idx="55">
                  <c:v>2832010</c:v>
                </c:pt>
                <c:pt idx="56">
                  <c:v>3006470</c:v>
                </c:pt>
                <c:pt idx="57">
                  <c:v>3208270</c:v>
                </c:pt>
                <c:pt idx="58">
                  <c:v>3410270</c:v>
                </c:pt>
                <c:pt idx="59">
                  <c:v>3624740</c:v>
                </c:pt>
              </c:numCache>
            </c:numRef>
          </c:val>
          <c:smooth val="0"/>
          <c:extLst>
            <c:ext xmlns:c16="http://schemas.microsoft.com/office/drawing/2014/chart" uri="{C3380CC4-5D6E-409C-BE32-E72D297353CC}">
              <c16:uniqueId val="{00000000-5748-4B8C-8CBC-5AC295ED3FF6}"/>
            </c:ext>
          </c:extLst>
        </c:ser>
        <c:dLbls>
          <c:showLegendKey val="0"/>
          <c:showVal val="0"/>
          <c:showCatName val="0"/>
          <c:showSerName val="0"/>
          <c:showPercent val="0"/>
          <c:showBubbleSize val="0"/>
        </c:dLbls>
        <c:smooth val="0"/>
        <c:axId val="1361981568"/>
        <c:axId val="1359947856"/>
      </c:lineChart>
      <c:catAx>
        <c:axId val="13619815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9947856"/>
        <c:crosses val="autoZero"/>
        <c:auto val="1"/>
        <c:lblAlgn val="ctr"/>
        <c:lblOffset val="100"/>
        <c:noMultiLvlLbl val="0"/>
      </c:catAx>
      <c:valAx>
        <c:axId val="13599478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1981568"/>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 Income Vs Ending Cash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'Summary P&amp;L'!$C$82</c:f>
              <c:strCache>
                <c:ptCount val="1"/>
                <c:pt idx="0">
                  <c:v>Net Income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 P&amp;L'!$E$55:$I$55</c:f>
              <c:strCache>
                <c:ptCount val="5"/>
                <c:pt idx="0">
                  <c:v>Year 1</c:v>
                </c:pt>
                <c:pt idx="1">
                  <c:v>Year 2</c:v>
                </c:pt>
                <c:pt idx="2">
                  <c:v>Year 3</c:v>
                </c:pt>
                <c:pt idx="3">
                  <c:v>Year 4</c:v>
                </c:pt>
                <c:pt idx="4">
                  <c:v>Year 5</c:v>
                </c:pt>
              </c:strCache>
            </c:strRef>
          </c:cat>
          <c:val>
            <c:numRef>
              <c:f>'Summary P&amp;L'!$E$82:$I$82</c:f>
              <c:numCache>
                <c:formatCode>_(* #,##0_);_(* \(#,##0\);_(* "-"_);_(@_)</c:formatCode>
                <c:ptCount val="5"/>
                <c:pt idx="0">
                  <c:v>-1790897.9906839659</c:v>
                </c:pt>
                <c:pt idx="1">
                  <c:v>-2743394.7760514542</c:v>
                </c:pt>
                <c:pt idx="2">
                  <c:v>-1531308.499257979</c:v>
                </c:pt>
                <c:pt idx="3">
                  <c:v>3098988.1981068491</c:v>
                </c:pt>
                <c:pt idx="4">
                  <c:v>17367342.81522131</c:v>
                </c:pt>
              </c:numCache>
            </c:numRef>
          </c:val>
          <c:extLst>
            <c:ext xmlns:c16="http://schemas.microsoft.com/office/drawing/2014/chart" uri="{C3380CC4-5D6E-409C-BE32-E72D297353CC}">
              <c16:uniqueId val="{00000000-8037-4E30-93E8-3D373F59DAA3}"/>
            </c:ext>
          </c:extLst>
        </c:ser>
        <c:ser>
          <c:idx val="1"/>
          <c:order val="1"/>
          <c:tx>
            <c:strRef>
              <c:f>'Summary P&amp;L'!$C$91</c:f>
              <c:strCache>
                <c:ptCount val="1"/>
                <c:pt idx="0">
                  <c:v>Ending Cash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 P&amp;L'!$E$55:$I$55</c:f>
              <c:strCache>
                <c:ptCount val="5"/>
                <c:pt idx="0">
                  <c:v>Year 1</c:v>
                </c:pt>
                <c:pt idx="1">
                  <c:v>Year 2</c:v>
                </c:pt>
                <c:pt idx="2">
                  <c:v>Year 3</c:v>
                </c:pt>
                <c:pt idx="3">
                  <c:v>Year 4</c:v>
                </c:pt>
                <c:pt idx="4">
                  <c:v>Year 5</c:v>
                </c:pt>
              </c:strCache>
            </c:strRef>
          </c:cat>
          <c:val>
            <c:numRef>
              <c:f>'Summary P&amp;L'!$E$91:$I$91</c:f>
              <c:numCache>
                <c:formatCode>_("$"* #,##0_);_("$"* \(#,##0\);_("$"* "-"_);_(@_)</c:formatCode>
                <c:ptCount val="5"/>
                <c:pt idx="0">
                  <c:v>1738832.9838014257</c:v>
                </c:pt>
                <c:pt idx="1">
                  <c:v>8166599.5710092969</c:v>
                </c:pt>
                <c:pt idx="2">
                  <c:v>6554663.3590368098</c:v>
                </c:pt>
                <c:pt idx="3">
                  <c:v>9541652.6832274068</c:v>
                </c:pt>
                <c:pt idx="4">
                  <c:v>26735190.047334753</c:v>
                </c:pt>
              </c:numCache>
            </c:numRef>
          </c:val>
          <c:extLst>
            <c:ext xmlns:c16="http://schemas.microsoft.com/office/drawing/2014/chart" uri="{C3380CC4-5D6E-409C-BE32-E72D297353CC}">
              <c16:uniqueId val="{00000001-8037-4E30-93E8-3D373F59DAA3}"/>
            </c:ext>
          </c:extLst>
        </c:ser>
        <c:dLbls>
          <c:showLegendKey val="0"/>
          <c:showVal val="0"/>
          <c:showCatName val="0"/>
          <c:showSerName val="0"/>
          <c:showPercent val="0"/>
          <c:showBubbleSize val="0"/>
        </c:dLbls>
        <c:gapWidth val="100"/>
        <c:overlap val="-24"/>
        <c:axId val="472781888"/>
        <c:axId val="472782368"/>
      </c:barChart>
      <c:catAx>
        <c:axId val="472781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782368"/>
        <c:crosses val="autoZero"/>
        <c:auto val="1"/>
        <c:lblAlgn val="ctr"/>
        <c:lblOffset val="100"/>
        <c:noMultiLvlLbl val="0"/>
      </c:catAx>
      <c:valAx>
        <c:axId val="472782368"/>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781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Revenue Versus Expenses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'Summary P&amp;L'!$D$57</c:f>
              <c:strCache>
                <c:ptCount val="1"/>
                <c:pt idx="0">
                  <c:v>Total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 P&amp;L'!$E$55:$I$55</c:f>
              <c:strCache>
                <c:ptCount val="5"/>
                <c:pt idx="0">
                  <c:v>Year 1</c:v>
                </c:pt>
                <c:pt idx="1">
                  <c:v>Year 2</c:v>
                </c:pt>
                <c:pt idx="2">
                  <c:v>Year 3</c:v>
                </c:pt>
                <c:pt idx="3">
                  <c:v>Year 4</c:v>
                </c:pt>
                <c:pt idx="4">
                  <c:v>Year 5</c:v>
                </c:pt>
              </c:strCache>
            </c:strRef>
          </c:cat>
          <c:val>
            <c:numRef>
              <c:f>'Summary P&amp;L'!$E$57:$I$57</c:f>
              <c:numCache>
                <c:formatCode>_(* #,##0_);_(* \(#,##0\);_(* "-"??_);_(@_)</c:formatCode>
                <c:ptCount val="5"/>
                <c:pt idx="0">
                  <c:v>36850</c:v>
                </c:pt>
                <c:pt idx="1">
                  <c:v>980130</c:v>
                </c:pt>
                <c:pt idx="2">
                  <c:v>3837710</c:v>
                </c:pt>
                <c:pt idx="3">
                  <c:v>11738660</c:v>
                </c:pt>
                <c:pt idx="4">
                  <c:v>31424500</c:v>
                </c:pt>
              </c:numCache>
            </c:numRef>
          </c:val>
          <c:extLst>
            <c:ext xmlns:c16="http://schemas.microsoft.com/office/drawing/2014/chart" uri="{C3380CC4-5D6E-409C-BE32-E72D297353CC}">
              <c16:uniqueId val="{00000000-B342-4972-A6FE-DB20DD49DF55}"/>
            </c:ext>
          </c:extLst>
        </c:ser>
        <c:ser>
          <c:idx val="1"/>
          <c:order val="1"/>
          <c:tx>
            <c:strRef>
              <c:f>'Summary P&amp;L'!$D$65</c:f>
              <c:strCache>
                <c:ptCount val="1"/>
                <c:pt idx="0">
                  <c:v>Total Operating Expense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 P&amp;L'!$E$55:$I$55</c:f>
              <c:strCache>
                <c:ptCount val="5"/>
                <c:pt idx="0">
                  <c:v>Year 1</c:v>
                </c:pt>
                <c:pt idx="1">
                  <c:v>Year 2</c:v>
                </c:pt>
                <c:pt idx="2">
                  <c:v>Year 3</c:v>
                </c:pt>
                <c:pt idx="3">
                  <c:v>Year 4</c:v>
                </c:pt>
                <c:pt idx="4">
                  <c:v>Year 5</c:v>
                </c:pt>
              </c:strCache>
            </c:strRef>
          </c:cat>
          <c:val>
            <c:numRef>
              <c:f>'Summary P&amp;L'!$E$65:$I$65</c:f>
              <c:numCache>
                <c:formatCode>_(* #,##0_);_(* \(#,##0\);_(* "-"??_);_(@_)</c:formatCode>
                <c:ptCount val="5"/>
                <c:pt idx="0">
                  <c:v>1794343.3333333333</c:v>
                </c:pt>
                <c:pt idx="1">
                  <c:v>3654960.2299268879</c:v>
                </c:pt>
                <c:pt idx="2">
                  <c:v>5199529.1291072452</c:v>
                </c:pt>
                <c:pt idx="3">
                  <c:v>7364548.4684174499</c:v>
                </c:pt>
                <c:pt idx="4">
                  <c:v>8252421.7992220754</c:v>
                </c:pt>
              </c:numCache>
            </c:numRef>
          </c:val>
          <c:extLst>
            <c:ext xmlns:c16="http://schemas.microsoft.com/office/drawing/2014/chart" uri="{C3380CC4-5D6E-409C-BE32-E72D297353CC}">
              <c16:uniqueId val="{00000001-B342-4972-A6FE-DB20DD49DF55}"/>
            </c:ext>
          </c:extLst>
        </c:ser>
        <c:dLbls>
          <c:showLegendKey val="0"/>
          <c:showVal val="0"/>
          <c:showCatName val="0"/>
          <c:showSerName val="0"/>
          <c:showPercent val="0"/>
          <c:showBubbleSize val="0"/>
        </c:dLbls>
        <c:gapWidth val="100"/>
        <c:overlap val="-24"/>
        <c:axId val="1430582752"/>
        <c:axId val="1430584192"/>
      </c:barChart>
      <c:catAx>
        <c:axId val="14305827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0584192"/>
        <c:crosses val="autoZero"/>
        <c:auto val="1"/>
        <c:lblAlgn val="ctr"/>
        <c:lblOffset val="100"/>
        <c:noMultiLvlLbl val="0"/>
      </c:catAx>
      <c:valAx>
        <c:axId val="1430584192"/>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0582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 Vs Exepenses 5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'Summary P&amp;L'!$D$5</c:f>
              <c:strCache>
                <c:ptCount val="1"/>
                <c:pt idx="0">
                  <c:v>Total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'Summary P&amp;L'!$E$1:$X$1</c:f>
              <c:strCache>
                <c:ptCount val="20"/>
                <c:pt idx="0">
                  <c:v>Year 1 Q1</c:v>
                </c:pt>
                <c:pt idx="1">
                  <c:v>Year 1 Q2</c:v>
                </c:pt>
                <c:pt idx="2">
                  <c:v>Year 1 Q3</c:v>
                </c:pt>
                <c:pt idx="3">
                  <c:v>Year 1 Q4</c:v>
                </c:pt>
                <c:pt idx="4">
                  <c:v>Year 2 Q1</c:v>
                </c:pt>
                <c:pt idx="5">
                  <c:v>Year 2 Q2</c:v>
                </c:pt>
                <c:pt idx="6">
                  <c:v>Year 2 Q3</c:v>
                </c:pt>
                <c:pt idx="7">
                  <c:v>Year 2 Q4</c:v>
                </c:pt>
                <c:pt idx="8">
                  <c:v>Year 3 Q1</c:v>
                </c:pt>
                <c:pt idx="9">
                  <c:v>Year 3 Q2</c:v>
                </c:pt>
                <c:pt idx="10">
                  <c:v>Year 3 Q3</c:v>
                </c:pt>
                <c:pt idx="11">
                  <c:v>Year 3 Q4</c:v>
                </c:pt>
                <c:pt idx="12">
                  <c:v>Year 4 Q1</c:v>
                </c:pt>
                <c:pt idx="13">
                  <c:v>Year 4 Q2</c:v>
                </c:pt>
                <c:pt idx="14">
                  <c:v>Year 4 Q3</c:v>
                </c:pt>
                <c:pt idx="15">
                  <c:v>Year 4 Q4</c:v>
                </c:pt>
                <c:pt idx="16">
                  <c:v>Year 5 Q1</c:v>
                </c:pt>
                <c:pt idx="17">
                  <c:v>Year 5 Q2</c:v>
                </c:pt>
                <c:pt idx="18">
                  <c:v>Year 5 Q3</c:v>
                </c:pt>
                <c:pt idx="19">
                  <c:v>Year 5 Q4</c:v>
                </c:pt>
              </c:strCache>
            </c:strRef>
          </c:cat>
          <c:val>
            <c:numRef>
              <c:f>'Summary P&amp;L'!$E$5:$X$5</c:f>
              <c:numCache>
                <c:formatCode>_(* #,##0_);_(* \(#,##0\);_(* "-"??_);_(@_)</c:formatCode>
                <c:ptCount val="20"/>
                <c:pt idx="0">
                  <c:v>0</c:v>
                </c:pt>
                <c:pt idx="1">
                  <c:v>0</c:v>
                </c:pt>
                <c:pt idx="2">
                  <c:v>14300</c:v>
                </c:pt>
                <c:pt idx="3">
                  <c:v>22550</c:v>
                </c:pt>
                <c:pt idx="4">
                  <c:v>163380</c:v>
                </c:pt>
                <c:pt idx="5">
                  <c:v>212990</c:v>
                </c:pt>
                <c:pt idx="6">
                  <c:v>270155</c:v>
                </c:pt>
                <c:pt idx="7">
                  <c:v>333605</c:v>
                </c:pt>
                <c:pt idx="8">
                  <c:v>662850</c:v>
                </c:pt>
                <c:pt idx="9">
                  <c:v>844000</c:v>
                </c:pt>
                <c:pt idx="10">
                  <c:v>1041390</c:v>
                </c:pt>
                <c:pt idx="11">
                  <c:v>1289470</c:v>
                </c:pt>
                <c:pt idx="12">
                  <c:v>2069980</c:v>
                </c:pt>
                <c:pt idx="13">
                  <c:v>2561320</c:v>
                </c:pt>
                <c:pt idx="14">
                  <c:v>3210020</c:v>
                </c:pt>
                <c:pt idx="15">
                  <c:v>3897340</c:v>
                </c:pt>
                <c:pt idx="16">
                  <c:v>5692730</c:v>
                </c:pt>
                <c:pt idx="17">
                  <c:v>6997420</c:v>
                </c:pt>
                <c:pt idx="18">
                  <c:v>8491070</c:v>
                </c:pt>
                <c:pt idx="19">
                  <c:v>10243280</c:v>
                </c:pt>
              </c:numCache>
            </c:numRef>
          </c:val>
          <c:smooth val="0"/>
          <c:extLst>
            <c:ext xmlns:c16="http://schemas.microsoft.com/office/drawing/2014/chart" uri="{C3380CC4-5D6E-409C-BE32-E72D297353CC}">
              <c16:uniqueId val="{00000000-AB80-4FDC-8F8E-9D3DD4A8F0E2}"/>
            </c:ext>
          </c:extLst>
        </c:ser>
        <c:ser>
          <c:idx val="1"/>
          <c:order val="1"/>
          <c:tx>
            <c:strRef>
              <c:f>'Summary P&amp;L'!$D$9</c:f>
              <c:strCache>
                <c:ptCount val="1"/>
                <c:pt idx="0">
                  <c:v>R&amp;D</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'Summary P&amp;L'!$E$1:$X$1</c:f>
              <c:strCache>
                <c:ptCount val="20"/>
                <c:pt idx="0">
                  <c:v>Year 1 Q1</c:v>
                </c:pt>
                <c:pt idx="1">
                  <c:v>Year 1 Q2</c:v>
                </c:pt>
                <c:pt idx="2">
                  <c:v>Year 1 Q3</c:v>
                </c:pt>
                <c:pt idx="3">
                  <c:v>Year 1 Q4</c:v>
                </c:pt>
                <c:pt idx="4">
                  <c:v>Year 2 Q1</c:v>
                </c:pt>
                <c:pt idx="5">
                  <c:v>Year 2 Q2</c:v>
                </c:pt>
                <c:pt idx="6">
                  <c:v>Year 2 Q3</c:v>
                </c:pt>
                <c:pt idx="7">
                  <c:v>Year 2 Q4</c:v>
                </c:pt>
                <c:pt idx="8">
                  <c:v>Year 3 Q1</c:v>
                </c:pt>
                <c:pt idx="9">
                  <c:v>Year 3 Q2</c:v>
                </c:pt>
                <c:pt idx="10">
                  <c:v>Year 3 Q3</c:v>
                </c:pt>
                <c:pt idx="11">
                  <c:v>Year 3 Q4</c:v>
                </c:pt>
                <c:pt idx="12">
                  <c:v>Year 4 Q1</c:v>
                </c:pt>
                <c:pt idx="13">
                  <c:v>Year 4 Q2</c:v>
                </c:pt>
                <c:pt idx="14">
                  <c:v>Year 4 Q3</c:v>
                </c:pt>
                <c:pt idx="15">
                  <c:v>Year 4 Q4</c:v>
                </c:pt>
                <c:pt idx="16">
                  <c:v>Year 5 Q1</c:v>
                </c:pt>
                <c:pt idx="17">
                  <c:v>Year 5 Q2</c:v>
                </c:pt>
                <c:pt idx="18">
                  <c:v>Year 5 Q3</c:v>
                </c:pt>
                <c:pt idx="19">
                  <c:v>Year 5 Q4</c:v>
                </c:pt>
              </c:strCache>
            </c:strRef>
          </c:cat>
          <c:val>
            <c:numRef>
              <c:f>'Summary P&amp;L'!$E$9:$X$9</c:f>
              <c:numCache>
                <c:formatCode>_(* #,##0_);_(* \(#,##0\);_(* "-"??_);_(@_)</c:formatCode>
                <c:ptCount val="20"/>
                <c:pt idx="0">
                  <c:v>49550</c:v>
                </c:pt>
                <c:pt idx="1">
                  <c:v>107616.66666666667</c:v>
                </c:pt>
                <c:pt idx="2">
                  <c:v>136650</c:v>
                </c:pt>
                <c:pt idx="3">
                  <c:v>136650</c:v>
                </c:pt>
                <c:pt idx="4">
                  <c:v>202189.16666666669</c:v>
                </c:pt>
                <c:pt idx="5">
                  <c:v>291119.16666666674</c:v>
                </c:pt>
                <c:pt idx="6">
                  <c:v>359062.50000000006</c:v>
                </c:pt>
                <c:pt idx="7">
                  <c:v>359062.50000000006</c:v>
                </c:pt>
                <c:pt idx="8">
                  <c:v>410377.29166666669</c:v>
                </c:pt>
                <c:pt idx="9">
                  <c:v>499670.62500000006</c:v>
                </c:pt>
                <c:pt idx="10">
                  <c:v>587358.95833333349</c:v>
                </c:pt>
                <c:pt idx="11">
                  <c:v>650835.62500000012</c:v>
                </c:pt>
                <c:pt idx="12">
                  <c:v>773157.40625</c:v>
                </c:pt>
                <c:pt idx="13">
                  <c:v>802190.73958333337</c:v>
                </c:pt>
                <c:pt idx="14">
                  <c:v>910720.73958333326</c:v>
                </c:pt>
                <c:pt idx="15">
                  <c:v>984930.73958333349</c:v>
                </c:pt>
                <c:pt idx="16">
                  <c:v>1044634.7765624999</c:v>
                </c:pt>
                <c:pt idx="17">
                  <c:v>1044634.7765624999</c:v>
                </c:pt>
                <c:pt idx="18">
                  <c:v>1044634.7765624999</c:v>
                </c:pt>
                <c:pt idx="19">
                  <c:v>1044634.7765624999</c:v>
                </c:pt>
              </c:numCache>
            </c:numRef>
          </c:val>
          <c:smooth val="0"/>
          <c:extLst>
            <c:ext xmlns:c16="http://schemas.microsoft.com/office/drawing/2014/chart" uri="{C3380CC4-5D6E-409C-BE32-E72D297353CC}">
              <c16:uniqueId val="{00000001-AB80-4FDC-8F8E-9D3DD4A8F0E2}"/>
            </c:ext>
          </c:extLst>
        </c:ser>
        <c:ser>
          <c:idx val="2"/>
          <c:order val="2"/>
          <c:tx>
            <c:strRef>
              <c:f>'Summary P&amp;L'!$D$10</c:f>
              <c:strCache>
                <c:ptCount val="1"/>
                <c:pt idx="0">
                  <c:v>Marketing</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'Summary P&amp;L'!$E$1:$X$1</c:f>
              <c:strCache>
                <c:ptCount val="20"/>
                <c:pt idx="0">
                  <c:v>Year 1 Q1</c:v>
                </c:pt>
                <c:pt idx="1">
                  <c:v>Year 1 Q2</c:v>
                </c:pt>
                <c:pt idx="2">
                  <c:v>Year 1 Q3</c:v>
                </c:pt>
                <c:pt idx="3">
                  <c:v>Year 1 Q4</c:v>
                </c:pt>
                <c:pt idx="4">
                  <c:v>Year 2 Q1</c:v>
                </c:pt>
                <c:pt idx="5">
                  <c:v>Year 2 Q2</c:v>
                </c:pt>
                <c:pt idx="6">
                  <c:v>Year 2 Q3</c:v>
                </c:pt>
                <c:pt idx="7">
                  <c:v>Year 2 Q4</c:v>
                </c:pt>
                <c:pt idx="8">
                  <c:v>Year 3 Q1</c:v>
                </c:pt>
                <c:pt idx="9">
                  <c:v>Year 3 Q2</c:v>
                </c:pt>
                <c:pt idx="10">
                  <c:v>Year 3 Q3</c:v>
                </c:pt>
                <c:pt idx="11">
                  <c:v>Year 3 Q4</c:v>
                </c:pt>
                <c:pt idx="12">
                  <c:v>Year 4 Q1</c:v>
                </c:pt>
                <c:pt idx="13">
                  <c:v>Year 4 Q2</c:v>
                </c:pt>
                <c:pt idx="14">
                  <c:v>Year 4 Q3</c:v>
                </c:pt>
                <c:pt idx="15">
                  <c:v>Year 4 Q4</c:v>
                </c:pt>
                <c:pt idx="16">
                  <c:v>Year 5 Q1</c:v>
                </c:pt>
                <c:pt idx="17">
                  <c:v>Year 5 Q2</c:v>
                </c:pt>
                <c:pt idx="18">
                  <c:v>Year 5 Q3</c:v>
                </c:pt>
                <c:pt idx="19">
                  <c:v>Year 5 Q4</c:v>
                </c:pt>
              </c:strCache>
            </c:strRef>
          </c:cat>
          <c:val>
            <c:numRef>
              <c:f>'Summary P&amp;L'!$E$10:$X$10</c:f>
              <c:numCache>
                <c:formatCode>_(* #,##0_);_(* \(#,##0\);_(* "-"??_);_(@_)</c:formatCode>
                <c:ptCount val="20"/>
                <c:pt idx="0">
                  <c:v>38250</c:v>
                </c:pt>
                <c:pt idx="1">
                  <c:v>38250</c:v>
                </c:pt>
                <c:pt idx="2">
                  <c:v>38250</c:v>
                </c:pt>
                <c:pt idx="3">
                  <c:v>38250</c:v>
                </c:pt>
                <c:pt idx="4">
                  <c:v>67575</c:v>
                </c:pt>
                <c:pt idx="5">
                  <c:v>67575</c:v>
                </c:pt>
                <c:pt idx="6">
                  <c:v>67575</c:v>
                </c:pt>
                <c:pt idx="7">
                  <c:v>67575</c:v>
                </c:pt>
                <c:pt idx="8">
                  <c:v>85450</c:v>
                </c:pt>
                <c:pt idx="9">
                  <c:v>85450</c:v>
                </c:pt>
                <c:pt idx="10">
                  <c:v>85450</c:v>
                </c:pt>
                <c:pt idx="11">
                  <c:v>85450</c:v>
                </c:pt>
                <c:pt idx="12">
                  <c:v>101325</c:v>
                </c:pt>
                <c:pt idx="13">
                  <c:v>101325</c:v>
                </c:pt>
                <c:pt idx="14">
                  <c:v>101325</c:v>
                </c:pt>
                <c:pt idx="15">
                  <c:v>101325</c:v>
                </c:pt>
                <c:pt idx="16">
                  <c:v>115950</c:v>
                </c:pt>
                <c:pt idx="17">
                  <c:v>115950</c:v>
                </c:pt>
                <c:pt idx="18">
                  <c:v>115950</c:v>
                </c:pt>
                <c:pt idx="19">
                  <c:v>115950</c:v>
                </c:pt>
              </c:numCache>
            </c:numRef>
          </c:val>
          <c:smooth val="0"/>
          <c:extLst>
            <c:ext xmlns:c16="http://schemas.microsoft.com/office/drawing/2014/chart" uri="{C3380CC4-5D6E-409C-BE32-E72D297353CC}">
              <c16:uniqueId val="{00000002-AB80-4FDC-8F8E-9D3DD4A8F0E2}"/>
            </c:ext>
          </c:extLst>
        </c:ser>
        <c:ser>
          <c:idx val="3"/>
          <c:order val="3"/>
          <c:tx>
            <c:strRef>
              <c:f>'Summary P&amp;L'!$D$11</c:f>
              <c:strCache>
                <c:ptCount val="1"/>
                <c:pt idx="0">
                  <c:v>G&amp;A</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'Summary P&amp;L'!$E$1:$X$1</c:f>
              <c:strCache>
                <c:ptCount val="20"/>
                <c:pt idx="0">
                  <c:v>Year 1 Q1</c:v>
                </c:pt>
                <c:pt idx="1">
                  <c:v>Year 1 Q2</c:v>
                </c:pt>
                <c:pt idx="2">
                  <c:v>Year 1 Q3</c:v>
                </c:pt>
                <c:pt idx="3">
                  <c:v>Year 1 Q4</c:v>
                </c:pt>
                <c:pt idx="4">
                  <c:v>Year 2 Q1</c:v>
                </c:pt>
                <c:pt idx="5">
                  <c:v>Year 2 Q2</c:v>
                </c:pt>
                <c:pt idx="6">
                  <c:v>Year 2 Q3</c:v>
                </c:pt>
                <c:pt idx="7">
                  <c:v>Year 2 Q4</c:v>
                </c:pt>
                <c:pt idx="8">
                  <c:v>Year 3 Q1</c:v>
                </c:pt>
                <c:pt idx="9">
                  <c:v>Year 3 Q2</c:v>
                </c:pt>
                <c:pt idx="10">
                  <c:v>Year 3 Q3</c:v>
                </c:pt>
                <c:pt idx="11">
                  <c:v>Year 3 Q4</c:v>
                </c:pt>
                <c:pt idx="12">
                  <c:v>Year 4 Q1</c:v>
                </c:pt>
                <c:pt idx="13">
                  <c:v>Year 4 Q2</c:v>
                </c:pt>
                <c:pt idx="14">
                  <c:v>Year 4 Q3</c:v>
                </c:pt>
                <c:pt idx="15">
                  <c:v>Year 4 Q4</c:v>
                </c:pt>
                <c:pt idx="16">
                  <c:v>Year 5 Q1</c:v>
                </c:pt>
                <c:pt idx="17">
                  <c:v>Year 5 Q2</c:v>
                </c:pt>
                <c:pt idx="18">
                  <c:v>Year 5 Q3</c:v>
                </c:pt>
                <c:pt idx="19">
                  <c:v>Year 5 Q4</c:v>
                </c:pt>
              </c:strCache>
            </c:strRef>
          </c:cat>
          <c:val>
            <c:numRef>
              <c:f>'Summary P&amp;L'!$E$11:$X$11</c:f>
              <c:numCache>
                <c:formatCode>_(* #,##0_);_(* \(#,##0\);_(* "-"??_);_(@_)</c:formatCode>
                <c:ptCount val="20"/>
                <c:pt idx="0">
                  <c:v>296225</c:v>
                </c:pt>
                <c:pt idx="1">
                  <c:v>296225</c:v>
                </c:pt>
                <c:pt idx="2">
                  <c:v>300698.33333333331</c:v>
                </c:pt>
                <c:pt idx="3">
                  <c:v>313228.33333333331</c:v>
                </c:pt>
                <c:pt idx="4">
                  <c:v>400973.33333333337</c:v>
                </c:pt>
                <c:pt idx="5">
                  <c:v>493014.99999999994</c:v>
                </c:pt>
                <c:pt idx="6">
                  <c:v>495265</c:v>
                </c:pt>
                <c:pt idx="7">
                  <c:v>508764.99999999994</c:v>
                </c:pt>
                <c:pt idx="8">
                  <c:v>566160</c:v>
                </c:pt>
                <c:pt idx="9">
                  <c:v>576160</c:v>
                </c:pt>
                <c:pt idx="10">
                  <c:v>581160</c:v>
                </c:pt>
                <c:pt idx="11">
                  <c:v>581160</c:v>
                </c:pt>
                <c:pt idx="12">
                  <c:v>751635</c:v>
                </c:pt>
                <c:pt idx="13">
                  <c:v>710635</c:v>
                </c:pt>
                <c:pt idx="14">
                  <c:v>682635</c:v>
                </c:pt>
                <c:pt idx="15">
                  <c:v>682635</c:v>
                </c:pt>
                <c:pt idx="16">
                  <c:v>682635</c:v>
                </c:pt>
                <c:pt idx="17">
                  <c:v>682635</c:v>
                </c:pt>
                <c:pt idx="18">
                  <c:v>682635</c:v>
                </c:pt>
                <c:pt idx="19">
                  <c:v>682635</c:v>
                </c:pt>
              </c:numCache>
            </c:numRef>
          </c:val>
          <c:smooth val="0"/>
          <c:extLst>
            <c:ext xmlns:c16="http://schemas.microsoft.com/office/drawing/2014/chart" uri="{C3380CC4-5D6E-409C-BE32-E72D297353CC}">
              <c16:uniqueId val="{00000003-AB80-4FDC-8F8E-9D3DD4A8F0E2}"/>
            </c:ext>
          </c:extLst>
        </c:ser>
        <c:ser>
          <c:idx val="4"/>
          <c:order val="4"/>
          <c:tx>
            <c:strRef>
              <c:f>'Summary P&amp;L'!$D$13</c:f>
              <c:strCache>
                <c:ptCount val="1"/>
                <c:pt idx="0">
                  <c:v>Total Operating Expense</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val>
            <c:numRef>
              <c:f>'Summary P&amp;L'!$E$13:$X$13</c:f>
              <c:numCache>
                <c:formatCode>_(* #,##0_);_(* \(#,##0\);_(* "-"??_);_(@_)</c:formatCode>
                <c:ptCount val="20"/>
                <c:pt idx="0">
                  <c:v>384025</c:v>
                </c:pt>
                <c:pt idx="1">
                  <c:v>443591.66666666663</c:v>
                </c:pt>
                <c:pt idx="2">
                  <c:v>477098.33333333331</c:v>
                </c:pt>
                <c:pt idx="3">
                  <c:v>489628.33333333331</c:v>
                </c:pt>
                <c:pt idx="4">
                  <c:v>738751.25</c:v>
                </c:pt>
                <c:pt idx="5">
                  <c:v>920471.37307291664</c:v>
                </c:pt>
                <c:pt idx="6">
                  <c:v>990952.32575353514</c:v>
                </c:pt>
                <c:pt idx="7">
                  <c:v>1004785.2811004361</c:v>
                </c:pt>
                <c:pt idx="8">
                  <c:v>1161149.3647044403</c:v>
                </c:pt>
                <c:pt idx="9">
                  <c:v>1262129.8704104433</c:v>
                </c:pt>
                <c:pt idx="10">
                  <c:v>1355811.6148797227</c:v>
                </c:pt>
                <c:pt idx="11">
                  <c:v>1420438.2791126391</c:v>
                </c:pt>
                <c:pt idx="12">
                  <c:v>1785771.4173076171</c:v>
                </c:pt>
                <c:pt idx="13">
                  <c:v>1778155.0227225604</c:v>
                </c:pt>
                <c:pt idx="14">
                  <c:v>1861548.561914881</c:v>
                </c:pt>
                <c:pt idx="15">
                  <c:v>1939073.466472391</c:v>
                </c:pt>
                <c:pt idx="16">
                  <c:v>2050359.3419064102</c:v>
                </c:pt>
                <c:pt idx="17">
                  <c:v>2059885.2561929799</c:v>
                </c:pt>
                <c:pt idx="18">
                  <c:v>2066981.3137478591</c:v>
                </c:pt>
                <c:pt idx="19">
                  <c:v>2075195.8873748267</c:v>
                </c:pt>
              </c:numCache>
            </c:numRef>
          </c:val>
          <c:smooth val="0"/>
          <c:extLst>
            <c:ext xmlns:c16="http://schemas.microsoft.com/office/drawing/2014/chart" uri="{C3380CC4-5D6E-409C-BE32-E72D297353CC}">
              <c16:uniqueId val="{00000005-AB80-4FDC-8F8E-9D3DD4A8F0E2}"/>
            </c:ext>
          </c:extLst>
        </c:ser>
        <c:dLbls>
          <c:showLegendKey val="0"/>
          <c:showVal val="0"/>
          <c:showCatName val="0"/>
          <c:showSerName val="0"/>
          <c:showPercent val="0"/>
          <c:showBubbleSize val="0"/>
        </c:dLbls>
        <c:smooth val="0"/>
        <c:axId val="491696688"/>
        <c:axId val="491697168"/>
      </c:lineChart>
      <c:catAx>
        <c:axId val="4916966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1697168"/>
        <c:crosses val="autoZero"/>
        <c:auto val="1"/>
        <c:lblAlgn val="ctr"/>
        <c:lblOffset val="100"/>
        <c:noMultiLvlLbl val="0"/>
      </c:catAx>
      <c:valAx>
        <c:axId val="491697168"/>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1696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 Vs Exepenses 4.5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'Summary P&amp;L'!$D$5</c:f>
              <c:strCache>
                <c:ptCount val="1"/>
                <c:pt idx="0">
                  <c:v>Total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'Summary P&amp;L'!$E$1:$X$1</c15:sqref>
                  </c15:fullRef>
                </c:ext>
              </c:extLst>
              <c:f>'Summary P&amp;L'!$E$1:$V$1</c:f>
              <c:strCache>
                <c:ptCount val="18"/>
                <c:pt idx="0">
                  <c:v>Year 1 Q1</c:v>
                </c:pt>
                <c:pt idx="1">
                  <c:v>Year 1 Q2</c:v>
                </c:pt>
                <c:pt idx="2">
                  <c:v>Year 1 Q3</c:v>
                </c:pt>
                <c:pt idx="3">
                  <c:v>Year 1 Q4</c:v>
                </c:pt>
                <c:pt idx="4">
                  <c:v>Year 2 Q1</c:v>
                </c:pt>
                <c:pt idx="5">
                  <c:v>Year 2 Q2</c:v>
                </c:pt>
                <c:pt idx="6">
                  <c:v>Year 2 Q3</c:v>
                </c:pt>
                <c:pt idx="7">
                  <c:v>Year 2 Q4</c:v>
                </c:pt>
                <c:pt idx="8">
                  <c:v>Year 3 Q1</c:v>
                </c:pt>
                <c:pt idx="9">
                  <c:v>Year 3 Q2</c:v>
                </c:pt>
                <c:pt idx="10">
                  <c:v>Year 3 Q3</c:v>
                </c:pt>
                <c:pt idx="11">
                  <c:v>Year 3 Q4</c:v>
                </c:pt>
                <c:pt idx="12">
                  <c:v>Year 4 Q1</c:v>
                </c:pt>
                <c:pt idx="13">
                  <c:v>Year 4 Q2</c:v>
                </c:pt>
                <c:pt idx="14">
                  <c:v>Year 4 Q3</c:v>
                </c:pt>
                <c:pt idx="15">
                  <c:v>Year 4 Q4</c:v>
                </c:pt>
                <c:pt idx="16">
                  <c:v>Year 5 Q1</c:v>
                </c:pt>
                <c:pt idx="17">
                  <c:v>Year 5 Q2</c:v>
                </c:pt>
              </c:strCache>
            </c:strRef>
          </c:cat>
          <c:val>
            <c:numRef>
              <c:extLst>
                <c:ext xmlns:c15="http://schemas.microsoft.com/office/drawing/2012/chart" uri="{02D57815-91ED-43cb-92C2-25804820EDAC}">
                  <c15:fullRef>
                    <c15:sqref>'Summary P&amp;L'!$E$5:$X$5</c15:sqref>
                  </c15:fullRef>
                </c:ext>
              </c:extLst>
              <c:f>'Summary P&amp;L'!$E$5:$V$5</c:f>
              <c:numCache>
                <c:formatCode>_(* #,##0_);_(* \(#,##0\);_(* "-"??_);_(@_)</c:formatCode>
                <c:ptCount val="18"/>
                <c:pt idx="0">
                  <c:v>0</c:v>
                </c:pt>
                <c:pt idx="1">
                  <c:v>0</c:v>
                </c:pt>
                <c:pt idx="2">
                  <c:v>14300</c:v>
                </c:pt>
                <c:pt idx="3">
                  <c:v>22550</c:v>
                </c:pt>
                <c:pt idx="4">
                  <c:v>163380</c:v>
                </c:pt>
                <c:pt idx="5">
                  <c:v>212990</c:v>
                </c:pt>
                <c:pt idx="6">
                  <c:v>270155</c:v>
                </c:pt>
                <c:pt idx="7">
                  <c:v>333605</c:v>
                </c:pt>
                <c:pt idx="8">
                  <c:v>662850</c:v>
                </c:pt>
                <c:pt idx="9">
                  <c:v>844000</c:v>
                </c:pt>
                <c:pt idx="10">
                  <c:v>1041390</c:v>
                </c:pt>
                <c:pt idx="11">
                  <c:v>1289470</c:v>
                </c:pt>
                <c:pt idx="12">
                  <c:v>2069980</c:v>
                </c:pt>
                <c:pt idx="13">
                  <c:v>2561320</c:v>
                </c:pt>
                <c:pt idx="14">
                  <c:v>3210020</c:v>
                </c:pt>
                <c:pt idx="15">
                  <c:v>3897340</c:v>
                </c:pt>
                <c:pt idx="16">
                  <c:v>5692730</c:v>
                </c:pt>
                <c:pt idx="17">
                  <c:v>6997420</c:v>
                </c:pt>
              </c:numCache>
            </c:numRef>
          </c:val>
          <c:smooth val="0"/>
          <c:extLst>
            <c:ext xmlns:c16="http://schemas.microsoft.com/office/drawing/2014/chart" uri="{C3380CC4-5D6E-409C-BE32-E72D297353CC}">
              <c16:uniqueId val="{00000000-2C37-4A96-A1F5-970B6FE9EA53}"/>
            </c:ext>
          </c:extLst>
        </c:ser>
        <c:ser>
          <c:idx val="1"/>
          <c:order val="1"/>
          <c:tx>
            <c:strRef>
              <c:f>'Summary P&amp;L'!$D$9</c:f>
              <c:strCache>
                <c:ptCount val="1"/>
                <c:pt idx="0">
                  <c:v>R&amp;D</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'Summary P&amp;L'!$E$1:$X$1</c15:sqref>
                  </c15:fullRef>
                </c:ext>
              </c:extLst>
              <c:f>'Summary P&amp;L'!$E$1:$V$1</c:f>
              <c:strCache>
                <c:ptCount val="18"/>
                <c:pt idx="0">
                  <c:v>Year 1 Q1</c:v>
                </c:pt>
                <c:pt idx="1">
                  <c:v>Year 1 Q2</c:v>
                </c:pt>
                <c:pt idx="2">
                  <c:v>Year 1 Q3</c:v>
                </c:pt>
                <c:pt idx="3">
                  <c:v>Year 1 Q4</c:v>
                </c:pt>
                <c:pt idx="4">
                  <c:v>Year 2 Q1</c:v>
                </c:pt>
                <c:pt idx="5">
                  <c:v>Year 2 Q2</c:v>
                </c:pt>
                <c:pt idx="6">
                  <c:v>Year 2 Q3</c:v>
                </c:pt>
                <c:pt idx="7">
                  <c:v>Year 2 Q4</c:v>
                </c:pt>
                <c:pt idx="8">
                  <c:v>Year 3 Q1</c:v>
                </c:pt>
                <c:pt idx="9">
                  <c:v>Year 3 Q2</c:v>
                </c:pt>
                <c:pt idx="10">
                  <c:v>Year 3 Q3</c:v>
                </c:pt>
                <c:pt idx="11">
                  <c:v>Year 3 Q4</c:v>
                </c:pt>
                <c:pt idx="12">
                  <c:v>Year 4 Q1</c:v>
                </c:pt>
                <c:pt idx="13">
                  <c:v>Year 4 Q2</c:v>
                </c:pt>
                <c:pt idx="14">
                  <c:v>Year 4 Q3</c:v>
                </c:pt>
                <c:pt idx="15">
                  <c:v>Year 4 Q4</c:v>
                </c:pt>
                <c:pt idx="16">
                  <c:v>Year 5 Q1</c:v>
                </c:pt>
                <c:pt idx="17">
                  <c:v>Year 5 Q2</c:v>
                </c:pt>
              </c:strCache>
            </c:strRef>
          </c:cat>
          <c:val>
            <c:numRef>
              <c:extLst>
                <c:ext xmlns:c15="http://schemas.microsoft.com/office/drawing/2012/chart" uri="{02D57815-91ED-43cb-92C2-25804820EDAC}">
                  <c15:fullRef>
                    <c15:sqref>'Summary P&amp;L'!$E$9:$X$9</c15:sqref>
                  </c15:fullRef>
                </c:ext>
              </c:extLst>
              <c:f>'Summary P&amp;L'!$E$9:$V$9</c:f>
              <c:numCache>
                <c:formatCode>_(* #,##0_);_(* \(#,##0\);_(* "-"??_);_(@_)</c:formatCode>
                <c:ptCount val="18"/>
                <c:pt idx="0">
                  <c:v>49550</c:v>
                </c:pt>
                <c:pt idx="1">
                  <c:v>107616.66666666667</c:v>
                </c:pt>
                <c:pt idx="2">
                  <c:v>136650</c:v>
                </c:pt>
                <c:pt idx="3">
                  <c:v>136650</c:v>
                </c:pt>
                <c:pt idx="4">
                  <c:v>202189.16666666669</c:v>
                </c:pt>
                <c:pt idx="5">
                  <c:v>291119.16666666674</c:v>
                </c:pt>
                <c:pt idx="6">
                  <c:v>359062.50000000006</c:v>
                </c:pt>
                <c:pt idx="7">
                  <c:v>359062.50000000006</c:v>
                </c:pt>
                <c:pt idx="8">
                  <c:v>410377.29166666669</c:v>
                </c:pt>
                <c:pt idx="9">
                  <c:v>499670.62500000006</c:v>
                </c:pt>
                <c:pt idx="10">
                  <c:v>587358.95833333349</c:v>
                </c:pt>
                <c:pt idx="11">
                  <c:v>650835.62500000012</c:v>
                </c:pt>
                <c:pt idx="12">
                  <c:v>773157.40625</c:v>
                </c:pt>
                <c:pt idx="13">
                  <c:v>802190.73958333337</c:v>
                </c:pt>
                <c:pt idx="14">
                  <c:v>910720.73958333326</c:v>
                </c:pt>
                <c:pt idx="15">
                  <c:v>984930.73958333349</c:v>
                </c:pt>
                <c:pt idx="16">
                  <c:v>1044634.7765624999</c:v>
                </c:pt>
                <c:pt idx="17">
                  <c:v>1044634.7765624999</c:v>
                </c:pt>
              </c:numCache>
            </c:numRef>
          </c:val>
          <c:smooth val="0"/>
          <c:extLst>
            <c:ext xmlns:c16="http://schemas.microsoft.com/office/drawing/2014/chart" uri="{C3380CC4-5D6E-409C-BE32-E72D297353CC}">
              <c16:uniqueId val="{00000001-2C37-4A96-A1F5-970B6FE9EA53}"/>
            </c:ext>
          </c:extLst>
        </c:ser>
        <c:ser>
          <c:idx val="2"/>
          <c:order val="2"/>
          <c:tx>
            <c:strRef>
              <c:f>'Summary P&amp;L'!$D$10</c:f>
              <c:strCache>
                <c:ptCount val="1"/>
                <c:pt idx="0">
                  <c:v>Marketing</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'Summary P&amp;L'!$E$1:$X$1</c15:sqref>
                  </c15:fullRef>
                </c:ext>
              </c:extLst>
              <c:f>'Summary P&amp;L'!$E$1:$V$1</c:f>
              <c:strCache>
                <c:ptCount val="18"/>
                <c:pt idx="0">
                  <c:v>Year 1 Q1</c:v>
                </c:pt>
                <c:pt idx="1">
                  <c:v>Year 1 Q2</c:v>
                </c:pt>
                <c:pt idx="2">
                  <c:v>Year 1 Q3</c:v>
                </c:pt>
                <c:pt idx="3">
                  <c:v>Year 1 Q4</c:v>
                </c:pt>
                <c:pt idx="4">
                  <c:v>Year 2 Q1</c:v>
                </c:pt>
                <c:pt idx="5">
                  <c:v>Year 2 Q2</c:v>
                </c:pt>
                <c:pt idx="6">
                  <c:v>Year 2 Q3</c:v>
                </c:pt>
                <c:pt idx="7">
                  <c:v>Year 2 Q4</c:v>
                </c:pt>
                <c:pt idx="8">
                  <c:v>Year 3 Q1</c:v>
                </c:pt>
                <c:pt idx="9">
                  <c:v>Year 3 Q2</c:v>
                </c:pt>
                <c:pt idx="10">
                  <c:v>Year 3 Q3</c:v>
                </c:pt>
                <c:pt idx="11">
                  <c:v>Year 3 Q4</c:v>
                </c:pt>
                <c:pt idx="12">
                  <c:v>Year 4 Q1</c:v>
                </c:pt>
                <c:pt idx="13">
                  <c:v>Year 4 Q2</c:v>
                </c:pt>
                <c:pt idx="14">
                  <c:v>Year 4 Q3</c:v>
                </c:pt>
                <c:pt idx="15">
                  <c:v>Year 4 Q4</c:v>
                </c:pt>
                <c:pt idx="16">
                  <c:v>Year 5 Q1</c:v>
                </c:pt>
                <c:pt idx="17">
                  <c:v>Year 5 Q2</c:v>
                </c:pt>
              </c:strCache>
            </c:strRef>
          </c:cat>
          <c:val>
            <c:numRef>
              <c:extLst>
                <c:ext xmlns:c15="http://schemas.microsoft.com/office/drawing/2012/chart" uri="{02D57815-91ED-43cb-92C2-25804820EDAC}">
                  <c15:fullRef>
                    <c15:sqref>'Summary P&amp;L'!$E$10:$X$10</c15:sqref>
                  </c15:fullRef>
                </c:ext>
              </c:extLst>
              <c:f>'Summary P&amp;L'!$E$10:$V$10</c:f>
              <c:numCache>
                <c:formatCode>_(* #,##0_);_(* \(#,##0\);_(* "-"??_);_(@_)</c:formatCode>
                <c:ptCount val="18"/>
                <c:pt idx="0">
                  <c:v>38250</c:v>
                </c:pt>
                <c:pt idx="1">
                  <c:v>38250</c:v>
                </c:pt>
                <c:pt idx="2">
                  <c:v>38250</c:v>
                </c:pt>
                <c:pt idx="3">
                  <c:v>38250</c:v>
                </c:pt>
                <c:pt idx="4">
                  <c:v>67575</c:v>
                </c:pt>
                <c:pt idx="5">
                  <c:v>67575</c:v>
                </c:pt>
                <c:pt idx="6">
                  <c:v>67575</c:v>
                </c:pt>
                <c:pt idx="7">
                  <c:v>67575</c:v>
                </c:pt>
                <c:pt idx="8">
                  <c:v>85450</c:v>
                </c:pt>
                <c:pt idx="9">
                  <c:v>85450</c:v>
                </c:pt>
                <c:pt idx="10">
                  <c:v>85450</c:v>
                </c:pt>
                <c:pt idx="11">
                  <c:v>85450</c:v>
                </c:pt>
                <c:pt idx="12">
                  <c:v>101325</c:v>
                </c:pt>
                <c:pt idx="13">
                  <c:v>101325</c:v>
                </c:pt>
                <c:pt idx="14">
                  <c:v>101325</c:v>
                </c:pt>
                <c:pt idx="15">
                  <c:v>101325</c:v>
                </c:pt>
                <c:pt idx="16">
                  <c:v>115950</c:v>
                </c:pt>
                <c:pt idx="17">
                  <c:v>115950</c:v>
                </c:pt>
              </c:numCache>
            </c:numRef>
          </c:val>
          <c:smooth val="0"/>
          <c:extLst>
            <c:ext xmlns:c16="http://schemas.microsoft.com/office/drawing/2014/chart" uri="{C3380CC4-5D6E-409C-BE32-E72D297353CC}">
              <c16:uniqueId val="{00000002-2C37-4A96-A1F5-970B6FE9EA53}"/>
            </c:ext>
          </c:extLst>
        </c:ser>
        <c:ser>
          <c:idx val="3"/>
          <c:order val="3"/>
          <c:tx>
            <c:strRef>
              <c:f>'Summary P&amp;L'!$D$11</c:f>
              <c:strCache>
                <c:ptCount val="1"/>
                <c:pt idx="0">
                  <c:v>G&amp;A</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extLst>
                <c:ext xmlns:c15="http://schemas.microsoft.com/office/drawing/2012/chart" uri="{02D57815-91ED-43cb-92C2-25804820EDAC}">
                  <c15:fullRef>
                    <c15:sqref>'Summary P&amp;L'!$E$1:$X$1</c15:sqref>
                  </c15:fullRef>
                </c:ext>
              </c:extLst>
              <c:f>'Summary P&amp;L'!$E$1:$V$1</c:f>
              <c:strCache>
                <c:ptCount val="18"/>
                <c:pt idx="0">
                  <c:v>Year 1 Q1</c:v>
                </c:pt>
                <c:pt idx="1">
                  <c:v>Year 1 Q2</c:v>
                </c:pt>
                <c:pt idx="2">
                  <c:v>Year 1 Q3</c:v>
                </c:pt>
                <c:pt idx="3">
                  <c:v>Year 1 Q4</c:v>
                </c:pt>
                <c:pt idx="4">
                  <c:v>Year 2 Q1</c:v>
                </c:pt>
                <c:pt idx="5">
                  <c:v>Year 2 Q2</c:v>
                </c:pt>
                <c:pt idx="6">
                  <c:v>Year 2 Q3</c:v>
                </c:pt>
                <c:pt idx="7">
                  <c:v>Year 2 Q4</c:v>
                </c:pt>
                <c:pt idx="8">
                  <c:v>Year 3 Q1</c:v>
                </c:pt>
                <c:pt idx="9">
                  <c:v>Year 3 Q2</c:v>
                </c:pt>
                <c:pt idx="10">
                  <c:v>Year 3 Q3</c:v>
                </c:pt>
                <c:pt idx="11">
                  <c:v>Year 3 Q4</c:v>
                </c:pt>
                <c:pt idx="12">
                  <c:v>Year 4 Q1</c:v>
                </c:pt>
                <c:pt idx="13">
                  <c:v>Year 4 Q2</c:v>
                </c:pt>
                <c:pt idx="14">
                  <c:v>Year 4 Q3</c:v>
                </c:pt>
                <c:pt idx="15">
                  <c:v>Year 4 Q4</c:v>
                </c:pt>
                <c:pt idx="16">
                  <c:v>Year 5 Q1</c:v>
                </c:pt>
                <c:pt idx="17">
                  <c:v>Year 5 Q2</c:v>
                </c:pt>
              </c:strCache>
            </c:strRef>
          </c:cat>
          <c:val>
            <c:numRef>
              <c:extLst>
                <c:ext xmlns:c15="http://schemas.microsoft.com/office/drawing/2012/chart" uri="{02D57815-91ED-43cb-92C2-25804820EDAC}">
                  <c15:fullRef>
                    <c15:sqref>'Summary P&amp;L'!$E$11:$X$11</c15:sqref>
                  </c15:fullRef>
                </c:ext>
              </c:extLst>
              <c:f>'Summary P&amp;L'!$E$11:$V$11</c:f>
              <c:numCache>
                <c:formatCode>_(* #,##0_);_(* \(#,##0\);_(* "-"??_);_(@_)</c:formatCode>
                <c:ptCount val="18"/>
                <c:pt idx="0">
                  <c:v>296225</c:v>
                </c:pt>
                <c:pt idx="1">
                  <c:v>296225</c:v>
                </c:pt>
                <c:pt idx="2">
                  <c:v>300698.33333333331</c:v>
                </c:pt>
                <c:pt idx="3">
                  <c:v>313228.33333333331</c:v>
                </c:pt>
                <c:pt idx="4">
                  <c:v>400973.33333333337</c:v>
                </c:pt>
                <c:pt idx="5">
                  <c:v>493014.99999999994</c:v>
                </c:pt>
                <c:pt idx="6">
                  <c:v>495265</c:v>
                </c:pt>
                <c:pt idx="7">
                  <c:v>508764.99999999994</c:v>
                </c:pt>
                <c:pt idx="8">
                  <c:v>566160</c:v>
                </c:pt>
                <c:pt idx="9">
                  <c:v>576160</c:v>
                </c:pt>
                <c:pt idx="10">
                  <c:v>581160</c:v>
                </c:pt>
                <c:pt idx="11">
                  <c:v>581160</c:v>
                </c:pt>
                <c:pt idx="12">
                  <c:v>751635</c:v>
                </c:pt>
                <c:pt idx="13">
                  <c:v>710635</c:v>
                </c:pt>
                <c:pt idx="14">
                  <c:v>682635</c:v>
                </c:pt>
                <c:pt idx="15">
                  <c:v>682635</c:v>
                </c:pt>
                <c:pt idx="16">
                  <c:v>682635</c:v>
                </c:pt>
                <c:pt idx="17">
                  <c:v>682635</c:v>
                </c:pt>
              </c:numCache>
            </c:numRef>
          </c:val>
          <c:smooth val="0"/>
          <c:extLst>
            <c:ext xmlns:c16="http://schemas.microsoft.com/office/drawing/2014/chart" uri="{C3380CC4-5D6E-409C-BE32-E72D297353CC}">
              <c16:uniqueId val="{00000003-2C37-4A96-A1F5-970B6FE9EA53}"/>
            </c:ext>
          </c:extLst>
        </c:ser>
        <c:ser>
          <c:idx val="4"/>
          <c:order val="4"/>
          <c:tx>
            <c:strRef>
              <c:f>'Summary P&amp;L'!$D$13</c:f>
              <c:strCache>
                <c:ptCount val="1"/>
                <c:pt idx="0">
                  <c:v>Total Operating Expense</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strLit>
              <c:ptCount val="18"/>
              <c:pt idx="0">
                <c:v>Year 1 Q1</c:v>
              </c:pt>
              <c:pt idx="1">
                <c:v>Year 1 Q2</c:v>
              </c:pt>
              <c:pt idx="2">
                <c:v>Year 1 Q3</c:v>
              </c:pt>
              <c:pt idx="3">
                <c:v>Year 1 Q4</c:v>
              </c:pt>
              <c:pt idx="4">
                <c:v>Year 2 Q1</c:v>
              </c:pt>
              <c:pt idx="5">
                <c:v>Year 2 Q2</c:v>
              </c:pt>
              <c:pt idx="6">
                <c:v>Year 2 Q3</c:v>
              </c:pt>
              <c:pt idx="7">
                <c:v>Year 2 Q4</c:v>
              </c:pt>
              <c:pt idx="8">
                <c:v>Year 3 Q1</c:v>
              </c:pt>
              <c:pt idx="9">
                <c:v>Year 3 Q2</c:v>
              </c:pt>
              <c:pt idx="10">
                <c:v>Year 3 Q3</c:v>
              </c:pt>
              <c:pt idx="11">
                <c:v>Year 3 Q4</c:v>
              </c:pt>
              <c:pt idx="12">
                <c:v>Year 4 Q1</c:v>
              </c:pt>
              <c:pt idx="13">
                <c:v>Year 4 Q2</c:v>
              </c:pt>
              <c:pt idx="14">
                <c:v>Year 4 Q3</c:v>
              </c:pt>
              <c:pt idx="15">
                <c:v>Year 4 Q4</c:v>
              </c:pt>
              <c:pt idx="16">
                <c:v>Year 5 Q1</c:v>
              </c:pt>
              <c:pt idx="17">
                <c:v>Year 5 Q2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'Summary P&amp;L'!$E$13:$X$13</c15:sqref>
                  </c15:fullRef>
                </c:ext>
              </c:extLst>
              <c:f>'Summary P&amp;L'!$E$13:$V$13</c:f>
              <c:numCache>
                <c:formatCode>_(* #,##0_);_(* \(#,##0\);_(* "-"??_);_(@_)</c:formatCode>
                <c:ptCount val="18"/>
                <c:pt idx="0">
                  <c:v>384025</c:v>
                </c:pt>
                <c:pt idx="1">
                  <c:v>443591.66666666663</c:v>
                </c:pt>
                <c:pt idx="2">
                  <c:v>477098.33333333331</c:v>
                </c:pt>
                <c:pt idx="3">
                  <c:v>489628.33333333331</c:v>
                </c:pt>
                <c:pt idx="4">
                  <c:v>738751.25</c:v>
                </c:pt>
                <c:pt idx="5">
                  <c:v>920471.37307291664</c:v>
                </c:pt>
                <c:pt idx="6">
                  <c:v>990952.32575353514</c:v>
                </c:pt>
                <c:pt idx="7">
                  <c:v>1004785.2811004361</c:v>
                </c:pt>
                <c:pt idx="8">
                  <c:v>1161149.3647044403</c:v>
                </c:pt>
                <c:pt idx="9">
                  <c:v>1262129.8704104433</c:v>
                </c:pt>
                <c:pt idx="10">
                  <c:v>1355811.6148797227</c:v>
                </c:pt>
                <c:pt idx="11">
                  <c:v>1420438.2791126391</c:v>
                </c:pt>
                <c:pt idx="12">
                  <c:v>1785771.4173076171</c:v>
                </c:pt>
                <c:pt idx="13">
                  <c:v>1778155.0227225604</c:v>
                </c:pt>
                <c:pt idx="14">
                  <c:v>1861548.561914881</c:v>
                </c:pt>
                <c:pt idx="15">
                  <c:v>1939073.466472391</c:v>
                </c:pt>
                <c:pt idx="16">
                  <c:v>2050359.3419064102</c:v>
                </c:pt>
                <c:pt idx="17">
                  <c:v>2059885.2561929799</c:v>
                </c:pt>
              </c:numCache>
            </c:numRef>
          </c:val>
          <c:smooth val="0"/>
          <c:extLst>
            <c:ext xmlns:c16="http://schemas.microsoft.com/office/drawing/2014/chart" uri="{C3380CC4-5D6E-409C-BE32-E72D297353CC}">
              <c16:uniqueId val="{00000004-2C37-4A96-A1F5-970B6FE9EA53}"/>
            </c:ext>
          </c:extLst>
        </c:ser>
        <c:dLbls>
          <c:showLegendKey val="0"/>
          <c:showVal val="0"/>
          <c:showCatName val="0"/>
          <c:showSerName val="0"/>
          <c:showPercent val="0"/>
          <c:showBubbleSize val="0"/>
        </c:dLbls>
        <c:smooth val="0"/>
        <c:axId val="491696688"/>
        <c:axId val="491697168"/>
      </c:lineChart>
      <c:catAx>
        <c:axId val="4916966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1697168"/>
        <c:crosses val="autoZero"/>
        <c:auto val="1"/>
        <c:lblAlgn val="ctr"/>
        <c:lblOffset val="100"/>
        <c:noMultiLvlLbl val="0"/>
      </c:catAx>
      <c:valAx>
        <c:axId val="491697168"/>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1696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strRef>
              <c:f>'Summary P&amp;L'!$D$108</c:f>
              <c:strCache>
                <c:ptCount val="1"/>
                <c:pt idx="0">
                  <c:v>Yearly Change in CF</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 P&amp;L'!$E$55:$I$55</c:f>
              <c:strCache>
                <c:ptCount val="5"/>
                <c:pt idx="0">
                  <c:v>Year 1</c:v>
                </c:pt>
                <c:pt idx="1">
                  <c:v>Year 2</c:v>
                </c:pt>
                <c:pt idx="2">
                  <c:v>Year 3</c:v>
                </c:pt>
                <c:pt idx="3">
                  <c:v>Year 4</c:v>
                </c:pt>
                <c:pt idx="4">
                  <c:v>Year 5</c:v>
                </c:pt>
              </c:strCache>
            </c:strRef>
          </c:cat>
          <c:val>
            <c:numRef>
              <c:f>'Summary P&amp;L'!$E$108:$I$108</c:f>
              <c:numCache>
                <c:formatCode>_("$"* #,##0_);_("$"* \(#,##0\);_("$"* "-"_);_(@_)</c:formatCode>
                <c:ptCount val="5"/>
                <c:pt idx="0">
                  <c:v>1738832.9838014257</c:v>
                </c:pt>
                <c:pt idx="1">
                  <c:v>6427766.5872078715</c:v>
                </c:pt>
                <c:pt idx="2">
                  <c:v>-1611936.2119724872</c:v>
                </c:pt>
                <c:pt idx="3">
                  <c:v>2986989.324190597</c:v>
                </c:pt>
                <c:pt idx="4">
                  <c:v>17193537.364107348</c:v>
                </c:pt>
              </c:numCache>
            </c:numRef>
          </c:val>
          <c:extLst>
            <c:ext xmlns:c16="http://schemas.microsoft.com/office/drawing/2014/chart" uri="{C3380CC4-5D6E-409C-BE32-E72D297353CC}">
              <c16:uniqueId val="{00000000-6560-4901-8F1B-892F777C3E9B}"/>
            </c:ext>
          </c:extLst>
        </c:ser>
        <c:dLbls>
          <c:showLegendKey val="0"/>
          <c:showVal val="0"/>
          <c:showCatName val="0"/>
          <c:showSerName val="0"/>
          <c:showPercent val="0"/>
          <c:showBubbleSize val="0"/>
        </c:dLbls>
        <c:gapWidth val="150"/>
        <c:overlap val="100"/>
        <c:axId val="702794144"/>
        <c:axId val="702790784"/>
      </c:barChart>
      <c:catAx>
        <c:axId val="7027941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2790784"/>
        <c:crosses val="autoZero"/>
        <c:auto val="1"/>
        <c:lblAlgn val="ctr"/>
        <c:lblOffset val="100"/>
        <c:noMultiLvlLbl val="0"/>
      </c:catAx>
      <c:valAx>
        <c:axId val="702790784"/>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279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266712</xdr:colOff>
      <xdr:row>16</xdr:row>
      <xdr:rowOff>45232</xdr:rowOff>
    </xdr:from>
    <xdr:to>
      <xdr:col>13</xdr:col>
      <xdr:colOff>563844</xdr:colOff>
      <xdr:row>41</xdr:row>
      <xdr:rowOff>37170</xdr:rowOff>
    </xdr:to>
    <xdr:graphicFrame macro="">
      <xdr:nvGraphicFramePr>
        <xdr:cNvPr id="14" name="Chart 1">
          <a:extLst>
            <a:ext uri="{FF2B5EF4-FFF2-40B4-BE49-F238E27FC236}">
              <a16:creationId xmlns:a16="http://schemas.microsoft.com/office/drawing/2014/main" id="{F37E446D-C970-33C4-D42E-582AEB790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304228</xdr:colOff>
      <xdr:row>42</xdr:row>
      <xdr:rowOff>27389</xdr:rowOff>
    </xdr:from>
    <xdr:to>
      <xdr:col>13</xdr:col>
      <xdr:colOff>556054</xdr:colOff>
      <xdr:row>64</xdr:row>
      <xdr:rowOff>151354</xdr:rowOff>
    </xdr:to>
    <xdr:graphicFrame macro="">
      <xdr:nvGraphicFramePr>
        <xdr:cNvPr id="13" name="Chart 2">
          <a:extLst>
            <a:ext uri="{FF2B5EF4-FFF2-40B4-BE49-F238E27FC236}">
              <a16:creationId xmlns:a16="http://schemas.microsoft.com/office/drawing/2014/main" id="{2F4530A1-2F80-4C22-A213-30AFF2F73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423991</xdr:colOff>
      <xdr:row>16</xdr:row>
      <xdr:rowOff>78059</xdr:rowOff>
    </xdr:from>
    <xdr:to>
      <xdr:col>27</xdr:col>
      <xdr:colOff>185351</xdr:colOff>
      <xdr:row>41</xdr:row>
      <xdr:rowOff>87787</xdr:rowOff>
    </xdr:to>
    <xdr:graphicFrame macro="">
      <xdr:nvGraphicFramePr>
        <xdr:cNvPr id="28" name="Chart 3">
          <a:extLst>
            <a:ext uri="{FF2B5EF4-FFF2-40B4-BE49-F238E27FC236}">
              <a16:creationId xmlns:a16="http://schemas.microsoft.com/office/drawing/2014/main" id="{8587D3EB-57DE-828B-394F-115F47420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446017</xdr:colOff>
      <xdr:row>42</xdr:row>
      <xdr:rowOff>50262</xdr:rowOff>
    </xdr:from>
    <xdr:to>
      <xdr:col>27</xdr:col>
      <xdr:colOff>134732</xdr:colOff>
      <xdr:row>64</xdr:row>
      <xdr:rowOff>179942</xdr:rowOff>
    </xdr:to>
    <xdr:graphicFrame macro="">
      <xdr:nvGraphicFramePr>
        <xdr:cNvPr id="2" name="Chart 2">
          <a:extLst>
            <a:ext uri="{FF2B5EF4-FFF2-40B4-BE49-F238E27FC236}">
              <a16:creationId xmlns:a16="http://schemas.microsoft.com/office/drawing/2014/main" id="{A506A748-7D7C-4FAC-AB35-94623B31A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334537</xdr:colOff>
      <xdr:row>66</xdr:row>
      <xdr:rowOff>55756</xdr:rowOff>
    </xdr:from>
    <xdr:to>
      <xdr:col>13</xdr:col>
      <xdr:colOff>556055</xdr:colOff>
      <xdr:row>97</xdr:row>
      <xdr:rowOff>18585</xdr:rowOff>
    </xdr:to>
    <xdr:graphicFrame macro="">
      <xdr:nvGraphicFramePr>
        <xdr:cNvPr id="3" name="Chart 2">
          <a:extLst>
            <a:ext uri="{FF2B5EF4-FFF2-40B4-BE49-F238E27FC236}">
              <a16:creationId xmlns:a16="http://schemas.microsoft.com/office/drawing/2014/main" id="{080B54C1-3442-47E7-B874-1C112243D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453081</xdr:colOff>
      <xdr:row>66</xdr:row>
      <xdr:rowOff>39182</xdr:rowOff>
    </xdr:from>
    <xdr:to>
      <xdr:col>27</xdr:col>
      <xdr:colOff>151697</xdr:colOff>
      <xdr:row>96</xdr:row>
      <xdr:rowOff>39180</xdr:rowOff>
    </xdr:to>
    <xdr:graphicFrame macro="">
      <xdr:nvGraphicFramePr>
        <xdr:cNvPr id="4" name="Chart 3">
          <a:extLst>
            <a:ext uri="{FF2B5EF4-FFF2-40B4-BE49-F238E27FC236}">
              <a16:creationId xmlns:a16="http://schemas.microsoft.com/office/drawing/2014/main" id="{0190B25F-E147-4C59-893C-48AF31A10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308917</xdr:colOff>
      <xdr:row>97</xdr:row>
      <xdr:rowOff>177208</xdr:rowOff>
    </xdr:from>
    <xdr:to>
      <xdr:col>17</xdr:col>
      <xdr:colOff>-1</xdr:colOff>
      <xdr:row>134</xdr:row>
      <xdr:rowOff>136072</xdr:rowOff>
    </xdr:to>
    <xdr:graphicFrame macro="">
      <xdr:nvGraphicFramePr>
        <xdr:cNvPr id="6" name="Chart 5">
          <a:extLst>
            <a:ext uri="{FF2B5EF4-FFF2-40B4-BE49-F238E27FC236}">
              <a16:creationId xmlns:a16="http://schemas.microsoft.com/office/drawing/2014/main" id="{E07E7DFB-00D0-44BF-B441-01FFDD5EE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210352</xdr:colOff>
      <xdr:row>97</xdr:row>
      <xdr:rowOff>85377</xdr:rowOff>
    </xdr:from>
    <xdr:to>
      <xdr:col>29</xdr:col>
      <xdr:colOff>681309</xdr:colOff>
      <xdr:row>134</xdr:row>
      <xdr:rowOff>13986</xdr:rowOff>
    </xdr:to>
    <xdr:graphicFrame macro="">
      <xdr:nvGraphicFramePr>
        <xdr:cNvPr id="10" name="Chart 6">
          <a:extLst>
            <a:ext uri="{FF2B5EF4-FFF2-40B4-BE49-F238E27FC236}">
              <a16:creationId xmlns:a16="http://schemas.microsoft.com/office/drawing/2014/main" id="{3EA6B955-1124-4196-B4C7-17F3A8AA3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308429</xdr:colOff>
      <xdr:row>136</xdr:row>
      <xdr:rowOff>18142</xdr:rowOff>
    </xdr:from>
    <xdr:to>
      <xdr:col>13</xdr:col>
      <xdr:colOff>471714</xdr:colOff>
      <xdr:row>165</xdr:row>
      <xdr:rowOff>36285</xdr:rowOff>
    </xdr:to>
    <xdr:graphicFrame macro="">
      <xdr:nvGraphicFramePr>
        <xdr:cNvPr id="8" name="Chart 7">
          <a:extLst>
            <a:ext uri="{FF2B5EF4-FFF2-40B4-BE49-F238E27FC236}">
              <a16:creationId xmlns:a16="http://schemas.microsoft.com/office/drawing/2014/main" id="{BCA9435A-4BE1-4676-9A2B-BFCDCFDF9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Tanmay Sharma" id="{FC8D03D0-8BC1-4811-AB8A-6F9EE22BBE22}" userId="S::u1472860@umail.utah.edu::777ea37c-3d66-47da-82a4-731fb651af0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7" dT="2025-02-19T02:51:16.88" personId="{FC8D03D0-8BC1-4811-AB8A-6F9EE22BBE22}" id="{8259087A-5A6D-4215-8B1E-CA83C691F35F}">
    <text>Number of new users who use the one time product and do not continue</text>
  </threadedComment>
  <threadedComment ref="D37" dT="2025-03-04T22:53:34.74" personId="{FC8D03D0-8BC1-4811-AB8A-6F9EE22BBE22}" id="{93EA2DA5-F613-4D6D-B0C7-E46BC3758664}">
    <text>average rates for AI SAAS companies</text>
  </threadedComment>
  <threadedComment ref="B38" dT="2025-02-19T02:52:02.91" personId="{FC8D03D0-8BC1-4811-AB8A-6F9EE22BBE22}" id="{F9360682-349E-4F93-8F7D-9AB8354A9F4F}">
    <text xml:space="preserve">Number of existing users who stop using app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49CBF-44D4-423B-808D-73118CE87BF5}">
  <sheetPr>
    <tabColor rgb="FF00B050"/>
  </sheetPr>
  <dimension ref="A1:BI15"/>
  <sheetViews>
    <sheetView topLeftCell="A28" zoomScaleNormal="100" workbookViewId="0"/>
  </sheetViews>
  <sheetFormatPr defaultColWidth="11.44140625" defaultRowHeight="14.4" x14ac:dyDescent="0.3"/>
  <cols>
    <col min="1" max="1" width="11.44140625" style="103"/>
    <col min="2" max="2" width="12.44140625" style="103" customWidth="1"/>
    <col min="3" max="11" width="12.6640625" style="103" bestFit="1" customWidth="1"/>
    <col min="12" max="40" width="11.6640625" style="103" bestFit="1" customWidth="1"/>
    <col min="41" max="61" width="12.6640625" style="103" bestFit="1" customWidth="1"/>
    <col min="62" max="16384" width="11.44140625" style="103"/>
  </cols>
  <sheetData>
    <row r="1" spans="1:61" customFormat="1" ht="15" thickBot="1" x14ac:dyDescent="0.35">
      <c r="A1" t="s">
        <v>26</v>
      </c>
    </row>
    <row r="2" spans="1:61" customFormat="1" ht="89.7" customHeight="1" x14ac:dyDescent="0.3">
      <c r="B2" s="24" t="s">
        <v>0</v>
      </c>
      <c r="C2" s="129" t="s">
        <v>256</v>
      </c>
      <c r="D2" s="129"/>
      <c r="E2" s="129"/>
      <c r="F2" s="129"/>
      <c r="G2" s="129"/>
      <c r="H2" s="129"/>
      <c r="I2" s="129"/>
      <c r="J2" s="129"/>
      <c r="K2" s="129"/>
      <c r="L2" s="129"/>
      <c r="M2" s="129"/>
      <c r="N2" s="129"/>
      <c r="O2" s="129"/>
      <c r="P2" s="130"/>
    </row>
    <row r="3" spans="1:61" customFormat="1" ht="106.2" customHeight="1" thickBot="1" x14ac:dyDescent="0.35">
      <c r="B3" s="25" t="s">
        <v>1</v>
      </c>
      <c r="C3" s="131" t="s">
        <v>2</v>
      </c>
      <c r="D3" s="131"/>
      <c r="E3" s="131"/>
      <c r="F3" s="131"/>
      <c r="G3" s="131"/>
      <c r="H3" s="131"/>
      <c r="I3" s="131"/>
      <c r="J3" s="131"/>
      <c r="K3" s="131"/>
      <c r="L3" s="131"/>
      <c r="M3" s="131"/>
      <c r="N3" s="131"/>
      <c r="O3" s="131"/>
      <c r="P3" s="132"/>
    </row>
    <row r="6" spans="1:61" x14ac:dyDescent="0.3">
      <c r="A6" s="103" t="s">
        <v>3</v>
      </c>
      <c r="B6" s="103" t="str">
        <f>Rev!M3&amp;" "&amp;Rev!M4</f>
        <v>Year 1 Jan</v>
      </c>
      <c r="C6" s="103" t="str">
        <f>Rev!N3&amp;" "&amp;Rev!N4</f>
        <v>Year 1 Feb</v>
      </c>
      <c r="D6" s="103" t="str">
        <f>Rev!O3&amp;" "&amp;Rev!O4</f>
        <v>Year 1 Mar</v>
      </c>
      <c r="E6" s="103" t="str">
        <f>Rev!P3&amp;" "&amp;Rev!P4</f>
        <v>Year 1 Apr</v>
      </c>
      <c r="F6" s="103" t="str">
        <f>Rev!Q3&amp;" "&amp;Rev!Q4</f>
        <v>Year 1 May</v>
      </c>
      <c r="G6" s="103" t="str">
        <f>Rev!R3&amp;" "&amp;Rev!R4</f>
        <v>Year 1 Jun</v>
      </c>
      <c r="H6" s="103" t="str">
        <f>Rev!S3&amp;" "&amp;Rev!S4</f>
        <v>Year 1 Jul</v>
      </c>
      <c r="I6" s="103" t="str">
        <f>Rev!T3&amp;" "&amp;Rev!T4</f>
        <v>Year 1 Aug</v>
      </c>
      <c r="J6" s="103" t="str">
        <f>Rev!U3&amp;" "&amp;Rev!U4</f>
        <v>Year 1 Sep</v>
      </c>
      <c r="K6" s="103" t="str">
        <f>Rev!V3&amp;" "&amp;Rev!V4</f>
        <v>Year 1 Oct</v>
      </c>
      <c r="L6" s="103" t="str">
        <f>Rev!W3&amp;" "&amp;Rev!W4</f>
        <v>Year 1 Nov</v>
      </c>
      <c r="M6" s="103" t="str">
        <f>Rev!X3&amp;" "&amp;Rev!X4</f>
        <v>Year 1 Dec</v>
      </c>
      <c r="N6" s="103" t="str">
        <f>Rev!Y3&amp;" "&amp;Rev!Y4</f>
        <v>Year 2 Jan</v>
      </c>
      <c r="O6" s="103" t="str">
        <f>Rev!Z3&amp;" "&amp;Rev!Z4</f>
        <v>Year 2 Feb</v>
      </c>
      <c r="P6" s="103" t="str">
        <f>Rev!AA3&amp;" "&amp;Rev!AA4</f>
        <v>Year 2 Mar</v>
      </c>
      <c r="Q6" s="103" t="str">
        <f>Rev!AB3&amp;" "&amp;Rev!AB4</f>
        <v>Year 2 Apr</v>
      </c>
      <c r="R6" s="103" t="str">
        <f>Rev!AC3&amp;" "&amp;Rev!AC4</f>
        <v>Year 2 May</v>
      </c>
      <c r="S6" s="103" t="str">
        <f>Rev!AD3&amp;" "&amp;Rev!AD4</f>
        <v>Year 2 Jun</v>
      </c>
      <c r="T6" s="103" t="str">
        <f>Rev!AE3&amp;" "&amp;Rev!AE4</f>
        <v>Year 2 Jul</v>
      </c>
      <c r="U6" s="103" t="str">
        <f>Rev!AF3&amp;" "&amp;Rev!AF4</f>
        <v>Year 2 Aug</v>
      </c>
      <c r="V6" s="103" t="str">
        <f>Rev!AG3&amp;" "&amp;Rev!AG4</f>
        <v>Year 2 Sep</v>
      </c>
      <c r="W6" s="103" t="str">
        <f>Rev!AH3&amp;" "&amp;Rev!AH4</f>
        <v>Year 2 Oct</v>
      </c>
      <c r="X6" s="103" t="str">
        <f>Rev!AI3&amp;" "&amp;Rev!AI4</f>
        <v>Year 2 Nov</v>
      </c>
      <c r="Y6" s="103" t="str">
        <f>Rev!AJ3&amp;" "&amp;Rev!AJ4</f>
        <v>Year 2 Dec</v>
      </c>
      <c r="Z6" s="103" t="str">
        <f>Rev!AK3&amp;" "&amp;Rev!AK4</f>
        <v>Year 3 Jan</v>
      </c>
      <c r="AA6" s="103" t="str">
        <f>Rev!AL3&amp;" "&amp;Rev!AL4</f>
        <v>Year 3 Feb</v>
      </c>
      <c r="AB6" s="103" t="str">
        <f>Rev!AM3&amp;" "&amp;Rev!AM4</f>
        <v>Year 3 Mar</v>
      </c>
      <c r="AC6" s="103" t="str">
        <f>Rev!AN3&amp;" "&amp;Rev!AN4</f>
        <v>Year 3 Apr</v>
      </c>
      <c r="AD6" s="103" t="str">
        <f>Rev!AO3&amp;" "&amp;Rev!AO4</f>
        <v>Year 3 May</v>
      </c>
      <c r="AE6" s="103" t="str">
        <f>Rev!AP3&amp;" "&amp;Rev!AP4</f>
        <v>Year 3 Jun</v>
      </c>
      <c r="AF6" s="103" t="str">
        <f>Rev!AQ3&amp;" "&amp;Rev!AQ4</f>
        <v>Year 3 Jul</v>
      </c>
      <c r="AG6" s="103" t="str">
        <f>Rev!AR3&amp;" "&amp;Rev!AR4</f>
        <v>Year 3 Aug</v>
      </c>
      <c r="AH6" s="103" t="str">
        <f>Rev!AS3&amp;" "&amp;Rev!AS4</f>
        <v>Year 3 Sep</v>
      </c>
      <c r="AI6" s="103" t="str">
        <f>Rev!AT3&amp;" "&amp;Rev!AT4</f>
        <v>Year 3 Oct</v>
      </c>
      <c r="AJ6" s="103" t="str">
        <f>Rev!AU3&amp;" "&amp;Rev!AU4</f>
        <v>Year 3 Nov</v>
      </c>
      <c r="AK6" s="103" t="str">
        <f>Rev!AV3&amp;" "&amp;Rev!AV4</f>
        <v>Year 3 Dec</v>
      </c>
      <c r="AL6" s="103" t="str">
        <f>Rev!AW3&amp;" "&amp;Rev!AW4</f>
        <v>Year 4 Jan</v>
      </c>
      <c r="AM6" s="103" t="str">
        <f>Rev!AX3&amp;" "&amp;Rev!AX4</f>
        <v>Year 4 Feb</v>
      </c>
      <c r="AN6" s="103" t="str">
        <f>Rev!AY3&amp;" "&amp;Rev!AY4</f>
        <v>Year 4 Mar</v>
      </c>
      <c r="AO6" s="103" t="str">
        <f>Rev!AZ3&amp;" "&amp;Rev!AZ4</f>
        <v>Year 4 Apr</v>
      </c>
      <c r="AP6" s="103" t="str">
        <f>Rev!BA3&amp;" "&amp;Rev!BA4</f>
        <v>Year 4 May</v>
      </c>
      <c r="AQ6" s="103" t="str">
        <f>Rev!BB3&amp;" "&amp;Rev!BB4</f>
        <v>Year 4 Jun</v>
      </c>
      <c r="AR6" s="103" t="str">
        <f>Rev!BC3&amp;" "&amp;Rev!BC4</f>
        <v>Year 4 Jul</v>
      </c>
      <c r="AS6" s="103" t="str">
        <f>Rev!BD3&amp;" "&amp;Rev!BD4</f>
        <v>Year 4 Aug</v>
      </c>
      <c r="AT6" s="103" t="str">
        <f>Rev!BE3&amp;" "&amp;Rev!BE4</f>
        <v>Year 4 Sep</v>
      </c>
      <c r="AU6" s="103" t="str">
        <f>Rev!BF3&amp;" "&amp;Rev!BF4</f>
        <v>Year 4 Oct</v>
      </c>
      <c r="AV6" s="103" t="str">
        <f>Rev!BG3&amp;" "&amp;Rev!BG4</f>
        <v>Year 4 Nov</v>
      </c>
      <c r="AW6" s="103" t="str">
        <f>Rev!BH3&amp;" "&amp;Rev!BH4</f>
        <v>Year 4 Dec</v>
      </c>
      <c r="AX6" s="103" t="str">
        <f>Rev!BI3&amp;" "&amp;Rev!BI4</f>
        <v>Year 5 Jan</v>
      </c>
      <c r="AY6" s="103" t="str">
        <f>Rev!BJ3&amp;" "&amp;Rev!BJ4</f>
        <v>Year 5 Feb</v>
      </c>
      <c r="AZ6" s="103" t="str">
        <f>Rev!BK3&amp;" "&amp;Rev!BK4</f>
        <v>Year 5 Mar</v>
      </c>
      <c r="BA6" s="103" t="str">
        <f>Rev!BL3&amp;" "&amp;Rev!BL4</f>
        <v>Year 5 Apr</v>
      </c>
      <c r="BB6" s="103" t="str">
        <f>Rev!BM3&amp;" "&amp;Rev!BM4</f>
        <v>Year 5 May</v>
      </c>
      <c r="BC6" s="103" t="str">
        <f>Rev!BN3&amp;" "&amp;Rev!BN4</f>
        <v>Year 5 Jun</v>
      </c>
      <c r="BD6" s="103" t="str">
        <f>Rev!BO3&amp;" "&amp;Rev!BO4</f>
        <v>Year 5 Jul</v>
      </c>
      <c r="BE6" s="103" t="str">
        <f>Rev!BP3&amp;" "&amp;Rev!BP4</f>
        <v>Year 5 Aug</v>
      </c>
      <c r="BF6" s="103" t="str">
        <f>Rev!BQ3&amp;" "&amp;Rev!BQ4</f>
        <v>Year 5 Sep</v>
      </c>
      <c r="BG6" s="103" t="str">
        <f>Rev!BR3&amp;" "&amp;Rev!BR4</f>
        <v>Year 5 Oct</v>
      </c>
      <c r="BH6" s="103" t="str">
        <f>Rev!BS3&amp;" "&amp;Rev!BS4</f>
        <v>Year 5 Nov</v>
      </c>
      <c r="BI6" s="103" t="str">
        <f>Rev!BT3&amp;" "&amp;Rev!BT4</f>
        <v>Year 5 Dec</v>
      </c>
    </row>
    <row r="7" spans="1:61" x14ac:dyDescent="0.3">
      <c r="A7" s="103" t="s">
        <v>4</v>
      </c>
      <c r="B7" s="104" cm="1">
        <f t="array" aca="1" ref="B7:BI7" ca="1">'P&amp;L'!M75:BT75</f>
        <v>617172.5680945632</v>
      </c>
      <c r="C7" s="104">
        <f ca="1"/>
        <v>512345.13618912647</v>
      </c>
      <c r="D7" s="104">
        <f ca="1"/>
        <v>407517.70428368973</v>
      </c>
      <c r="E7" s="104">
        <f ca="1"/>
        <v>288173.60571158631</v>
      </c>
      <c r="F7" s="104">
        <f ca="1"/>
        <v>168829.50713948288</v>
      </c>
      <c r="G7" s="104">
        <f ca="1"/>
        <v>33968.741900712805</v>
      </c>
      <c r="H7" s="104">
        <f ca="1"/>
        <v>-97229.023338057275</v>
      </c>
      <c r="I7" s="104">
        <f ca="1"/>
        <v>-227457.78857682736</v>
      </c>
      <c r="J7" s="104">
        <f ca="1"/>
        <v>-361361.38714893081</v>
      </c>
      <c r="K7" s="104">
        <f ca="1"/>
        <v>2005361.514278966</v>
      </c>
      <c r="L7" s="104">
        <f ca="1"/>
        <v>1873406.4157068627</v>
      </c>
      <c r="M7" s="104">
        <f ca="1"/>
        <v>1738832.9838014261</v>
      </c>
      <c r="N7" s="104">
        <f ca="1"/>
        <v>1552694.1352293228</v>
      </c>
      <c r="O7" s="104">
        <f ca="1"/>
        <v>1387343.5866572196</v>
      </c>
      <c r="P7" s="104">
        <f ca="1"/>
        <v>1207295.3380851164</v>
      </c>
      <c r="Q7" s="104">
        <f ca="1"/>
        <v>995125.27701301302</v>
      </c>
      <c r="R7" s="104">
        <f ca="1"/>
        <v>783243.07531590958</v>
      </c>
      <c r="S7" s="104">
        <f ca="1"/>
        <v>559631.56929588958</v>
      </c>
      <c r="T7" s="104">
        <f ca="1"/>
        <v>331237.68957014033</v>
      </c>
      <c r="U7" s="104">
        <f ca="1"/>
        <v>109072.90745337546</v>
      </c>
      <c r="V7" s="104">
        <f ca="1"/>
        <v>-132139.90217395587</v>
      </c>
      <c r="W7" s="104">
        <f ca="1"/>
        <v>8630837.2018126175</v>
      </c>
      <c r="X7" s="104">
        <f ca="1"/>
        <v>8397789.4725937918</v>
      </c>
      <c r="Y7" s="104">
        <f ca="1"/>
        <v>8166599.571009296</v>
      </c>
      <c r="Z7" s="104">
        <f ca="1"/>
        <v>7956205.8609408485</v>
      </c>
      <c r="AA7" s="104">
        <f ca="1"/>
        <v>7775902.1016574781</v>
      </c>
      <c r="AB7" s="104">
        <f ca="1"/>
        <v>7595158.1605885448</v>
      </c>
      <c r="AC7" s="104">
        <f ca="1"/>
        <v>7436229.8961447701</v>
      </c>
      <c r="AD7" s="104">
        <f ca="1"/>
        <v>7278614.8484074119</v>
      </c>
      <c r="AE7" s="104">
        <f ca="1"/>
        <v>7125230.644461791</v>
      </c>
      <c r="AF7" s="104">
        <f ca="1"/>
        <v>6992147.4114974951</v>
      </c>
      <c r="AG7" s="104">
        <f ca="1"/>
        <v>6864273.172646923</v>
      </c>
      <c r="AH7" s="104">
        <f ca="1"/>
        <v>6752650.7338657603</v>
      </c>
      <c r="AI7" s="104">
        <f ca="1"/>
        <v>6660548.1201574774</v>
      </c>
      <c r="AJ7" s="104">
        <f ca="1"/>
        <v>6588286.7527757185</v>
      </c>
      <c r="AK7" s="104">
        <f ca="1"/>
        <v>6554663.3590368107</v>
      </c>
      <c r="AL7" s="104">
        <f ca="1"/>
        <v>6530521.436224631</v>
      </c>
      <c r="AM7" s="104">
        <f ca="1"/>
        <v>6573280.6194082545</v>
      </c>
      <c r="AN7" s="104">
        <f ca="1"/>
        <v>6664225.4255773937</v>
      </c>
      <c r="AO7" s="104">
        <f ca="1"/>
        <v>6788803.2622555466</v>
      </c>
      <c r="AP7" s="104">
        <f ca="1"/>
        <v>6957920.4806848811</v>
      </c>
      <c r="AQ7" s="104">
        <f ca="1"/>
        <v>7183643.3496900089</v>
      </c>
      <c r="AR7" s="104">
        <f ca="1"/>
        <v>7459521.3949016836</v>
      </c>
      <c r="AS7" s="104">
        <f ca="1"/>
        <v>7776336.0366084343</v>
      </c>
      <c r="AT7" s="104">
        <f ca="1"/>
        <v>8131156.2261675149</v>
      </c>
      <c r="AU7" s="104">
        <f ca="1"/>
        <v>8548310.647569811</v>
      </c>
      <c r="AV7" s="104">
        <f ca="1"/>
        <v>9009812.8174164109</v>
      </c>
      <c r="AW7" s="104">
        <f ca="1"/>
        <v>9541652.6832274087</v>
      </c>
      <c r="AX7" s="104">
        <f ca="1"/>
        <v>10318233.421249548</v>
      </c>
      <c r="AY7" s="104">
        <f ca="1"/>
        <v>11205780.326130953</v>
      </c>
      <c r="AZ7" s="104">
        <f ca="1"/>
        <v>12197102.542944076</v>
      </c>
      <c r="BA7" s="104">
        <f ca="1"/>
        <v>13299713.724523662</v>
      </c>
      <c r="BB7" s="104">
        <f ca="1"/>
        <v>14517283.128161114</v>
      </c>
      <c r="BC7" s="104">
        <f ca="1"/>
        <v>15850429.650839426</v>
      </c>
      <c r="BD7" s="104">
        <f ca="1"/>
        <v>17309838.26122994</v>
      </c>
      <c r="BE7" s="104">
        <f ca="1"/>
        <v>18904619.728289038</v>
      </c>
      <c r="BF7" s="104">
        <f ca="1"/>
        <v>20631423.046284713</v>
      </c>
      <c r="BG7" s="104">
        <f ca="1"/>
        <v>22510143.35607459</v>
      </c>
      <c r="BH7" s="104">
        <f ca="1"/>
        <v>24541678.162447922</v>
      </c>
      <c r="BI7" s="104">
        <f ca="1"/>
        <v>26735190.047334753</v>
      </c>
    </row>
    <row r="8" spans="1:61" x14ac:dyDescent="0.3">
      <c r="A8" s="103" t="s">
        <v>5</v>
      </c>
      <c r="B8" s="104" cm="1">
        <f t="array" aca="1" ref="B8:BI8" ca="1">'P&amp;L'!M36:BT36</f>
        <v>-128508.33333333333</v>
      </c>
      <c r="C8" s="104">
        <f ca="1"/>
        <v>-128508.33333333333</v>
      </c>
      <c r="D8" s="104">
        <f ca="1"/>
        <v>-128508.33333333333</v>
      </c>
      <c r="E8" s="104">
        <f ca="1"/>
        <v>-143025</v>
      </c>
      <c r="F8" s="104">
        <f ca="1"/>
        <v>-143025</v>
      </c>
      <c r="G8" s="104">
        <f ca="1"/>
        <v>-158541.66666666666</v>
      </c>
      <c r="H8" s="104">
        <f ca="1"/>
        <v>-154683.66666666666</v>
      </c>
      <c r="I8" s="104">
        <f ca="1"/>
        <v>-153825.66666666666</v>
      </c>
      <c r="J8" s="104">
        <f ca="1"/>
        <v>-157535.5</v>
      </c>
      <c r="K8" s="104">
        <f ca="1"/>
        <v>-156917.5</v>
      </c>
      <c r="L8" s="104">
        <f ca="1"/>
        <v>-155559.5</v>
      </c>
      <c r="M8" s="104">
        <f ca="1"/>
        <v>-158190.33333333331</v>
      </c>
      <c r="N8" s="104">
        <f ca="1"/>
        <v>-192831.25</v>
      </c>
      <c r="O8" s="104">
        <f ca="1"/>
        <v>-188381.25</v>
      </c>
      <c r="P8" s="104">
        <f ca="1"/>
        <v>-203251.25</v>
      </c>
      <c r="Q8" s="104">
        <f ca="1"/>
        <v>-235472.5625</v>
      </c>
      <c r="R8" s="104">
        <f ca="1"/>
        <v>-235339.00312499999</v>
      </c>
      <c r="S8" s="104">
        <f ca="1"/>
        <v>-247097.3074479166</v>
      </c>
      <c r="T8" s="104">
        <f ca="1"/>
        <v>-251620.88115364581</v>
      </c>
      <c r="U8" s="104">
        <f ca="1"/>
        <v>-245441.88354466145</v>
      </c>
      <c r="V8" s="104">
        <f ca="1"/>
        <v>-235614.56105522788</v>
      </c>
      <c r="W8" s="104">
        <f ca="1"/>
        <v>-231651.4974413226</v>
      </c>
      <c r="X8" s="104">
        <f ca="1"/>
        <v>-227465.28064672201</v>
      </c>
      <c r="Y8" s="104">
        <f ca="1"/>
        <v>-225674.75301239145</v>
      </c>
      <c r="Z8" s="104">
        <f ca="1"/>
        <v>-176898.51149634441</v>
      </c>
      <c r="AA8" s="104">
        <f ca="1"/>
        <v>-173601.01071126637</v>
      </c>
      <c r="AB8" s="104">
        <f ca="1"/>
        <v>-174827.34249682963</v>
      </c>
      <c r="AC8" s="104">
        <f ca="1"/>
        <v>-152571.66587167111</v>
      </c>
      <c r="AD8" s="104">
        <f ca="1"/>
        <v>-151124.24916525465</v>
      </c>
      <c r="AE8" s="104">
        <f ca="1"/>
        <v>-147001.20537351741</v>
      </c>
      <c r="AF8" s="104">
        <f ca="1"/>
        <v>-126746.03439219325</v>
      </c>
      <c r="AG8" s="104">
        <f ca="1"/>
        <v>-121570.54027846968</v>
      </c>
      <c r="AH8" s="104">
        <f ca="1"/>
        <v>-105029.04020905984</v>
      </c>
      <c r="AI8" s="104">
        <f ca="1"/>
        <v>-85211.115136179491</v>
      </c>
      <c r="AJ8" s="104">
        <f ca="1"/>
        <v>-65864.568809655146</v>
      </c>
      <c r="AK8" s="104">
        <f ca="1"/>
        <v>-26317.59516680456</v>
      </c>
      <c r="AL8" s="104">
        <f ca="1"/>
        <v>12872.62715818861</v>
      </c>
      <c r="AM8" s="104">
        <f ca="1"/>
        <v>64862.087811395642</v>
      </c>
      <c r="AN8" s="104">
        <f ca="1"/>
        <v>124041.99272279872</v>
      </c>
      <c r="AO8" s="104">
        <f ca="1"/>
        <v>165029.455379772</v>
      </c>
      <c r="AP8" s="104">
        <f ca="1"/>
        <v>221556.5307529273</v>
      </c>
      <c r="AQ8" s="104">
        <f ca="1"/>
        <v>292406.49114474026</v>
      </c>
      <c r="AR8" s="104">
        <f ca="1"/>
        <v>356965.90788947733</v>
      </c>
      <c r="AS8" s="104">
        <f ca="1"/>
        <v>407289.02463811799</v>
      </c>
      <c r="AT8" s="104">
        <f ca="1"/>
        <v>454307.13055752381</v>
      </c>
      <c r="AU8" s="104">
        <f ca="1"/>
        <v>533275.64177290001</v>
      </c>
      <c r="AV8" s="104">
        <f ca="1"/>
        <v>588344.72438237828</v>
      </c>
      <c r="AW8" s="104">
        <f ca="1"/>
        <v>677405.54237233044</v>
      </c>
      <c r="AX8" s="104">
        <f ca="1"/>
        <v>1001238.0069909471</v>
      </c>
      <c r="AY8" s="104">
        <f ca="1"/>
        <v>1128610.1415820818</v>
      </c>
      <c r="AZ8" s="104">
        <f ca="1"/>
        <v>1255120.009520561</v>
      </c>
      <c r="BA8" s="104">
        <f ca="1"/>
        <v>1395051.2458559638</v>
      </c>
      <c r="BB8" s="104">
        <f ca="1"/>
        <v>1539214.7315081372</v>
      </c>
      <c r="BC8" s="104">
        <f ca="1"/>
        <v>1683802.5164429191</v>
      </c>
      <c r="BD8" s="104">
        <f ca="1"/>
        <v>1842560.3156244401</v>
      </c>
      <c r="BE8" s="104">
        <f ca="1"/>
        <v>2012712.504765037</v>
      </c>
      <c r="BF8" s="104">
        <f ca="1"/>
        <v>2177587.1158626638</v>
      </c>
      <c r="BG8" s="104">
        <f ca="1"/>
        <v>2369138.3325151717</v>
      </c>
      <c r="BH8" s="104">
        <f ca="1"/>
        <v>2560518.9850003058</v>
      </c>
      <c r="BI8" s="104">
        <f ca="1"/>
        <v>2763780.5451096958</v>
      </c>
    </row>
    <row r="9" spans="1:61" x14ac:dyDescent="0.3">
      <c r="A9" s="103" t="s">
        <v>6</v>
      </c>
      <c r="B9" s="104" cm="1">
        <f t="array" ref="B9:BI9">Rev!M77:BT77</f>
        <v>0</v>
      </c>
      <c r="C9" s="104">
        <v>0</v>
      </c>
      <c r="D9" s="104">
        <v>0</v>
      </c>
      <c r="E9" s="104">
        <v>0</v>
      </c>
      <c r="F9" s="104">
        <v>0</v>
      </c>
      <c r="G9" s="104">
        <v>0</v>
      </c>
      <c r="H9" s="104">
        <v>3900</v>
      </c>
      <c r="I9" s="104">
        <v>4800</v>
      </c>
      <c r="J9" s="104">
        <v>5600</v>
      </c>
      <c r="K9" s="104">
        <v>6250</v>
      </c>
      <c r="L9" s="104">
        <v>7650</v>
      </c>
      <c r="M9" s="104">
        <v>8650</v>
      </c>
      <c r="N9" s="104">
        <v>48220</v>
      </c>
      <c r="O9" s="104">
        <v>53310</v>
      </c>
      <c r="P9" s="104">
        <v>61850</v>
      </c>
      <c r="Q9" s="104">
        <v>67710</v>
      </c>
      <c r="R9" s="104">
        <v>71020</v>
      </c>
      <c r="S9" s="104">
        <v>74260</v>
      </c>
      <c r="T9" s="104">
        <v>82690</v>
      </c>
      <c r="U9" s="104">
        <v>89080</v>
      </c>
      <c r="V9" s="104">
        <v>98385</v>
      </c>
      <c r="W9" s="104">
        <v>102570</v>
      </c>
      <c r="X9" s="104">
        <v>112000</v>
      </c>
      <c r="Y9" s="104">
        <v>119035</v>
      </c>
      <c r="Z9" s="104">
        <v>206150</v>
      </c>
      <c r="AA9" s="104">
        <v>221400</v>
      </c>
      <c r="AB9" s="104">
        <v>235300</v>
      </c>
      <c r="AC9" s="104">
        <v>258270</v>
      </c>
      <c r="AD9" s="104">
        <v>282110</v>
      </c>
      <c r="AE9" s="104">
        <v>303620</v>
      </c>
      <c r="AF9" s="104">
        <v>324680</v>
      </c>
      <c r="AG9" s="104">
        <v>345160</v>
      </c>
      <c r="AH9" s="104">
        <v>371550</v>
      </c>
      <c r="AI9" s="104">
        <v>402720</v>
      </c>
      <c r="AJ9" s="104">
        <v>423040</v>
      </c>
      <c r="AK9" s="104">
        <v>463710</v>
      </c>
      <c r="AL9" s="104">
        <v>631850</v>
      </c>
      <c r="AM9" s="104">
        <v>688190</v>
      </c>
      <c r="AN9" s="104">
        <v>749940</v>
      </c>
      <c r="AO9" s="104">
        <v>793630</v>
      </c>
      <c r="AP9" s="104">
        <v>854460</v>
      </c>
      <c r="AQ9" s="104">
        <v>913230</v>
      </c>
      <c r="AR9" s="104">
        <v>1002140</v>
      </c>
      <c r="AS9" s="104">
        <v>1071340</v>
      </c>
      <c r="AT9" s="104">
        <v>1136540</v>
      </c>
      <c r="AU9" s="104">
        <v>1219230</v>
      </c>
      <c r="AV9" s="104">
        <v>1292450</v>
      </c>
      <c r="AW9" s="104">
        <v>1385660</v>
      </c>
      <c r="AX9" s="104">
        <v>1761250</v>
      </c>
      <c r="AY9" s="104">
        <v>1898870</v>
      </c>
      <c r="AZ9" s="104">
        <v>2032610</v>
      </c>
      <c r="BA9" s="104">
        <v>2180120</v>
      </c>
      <c r="BB9" s="104">
        <v>2332200</v>
      </c>
      <c r="BC9" s="104">
        <v>2485100</v>
      </c>
      <c r="BD9" s="104">
        <v>2652590</v>
      </c>
      <c r="BE9" s="104">
        <v>2832010</v>
      </c>
      <c r="BF9" s="104">
        <v>3006470</v>
      </c>
      <c r="BG9" s="104">
        <v>3208270</v>
      </c>
      <c r="BH9" s="104">
        <v>3410270</v>
      </c>
      <c r="BI9" s="104">
        <v>3624740</v>
      </c>
    </row>
    <row r="10" spans="1:61" x14ac:dyDescent="0.3">
      <c r="A10" s="103" t="str" cm="1">
        <f t="array" ref="A10:BI10">A6:BI6</f>
        <v>Date</v>
      </c>
      <c r="B10" s="103" t="str">
        <v>Year 1 Jan</v>
      </c>
      <c r="C10" s="103" t="str">
        <v>Year 1 Feb</v>
      </c>
      <c r="D10" s="103" t="str">
        <v>Year 1 Mar</v>
      </c>
      <c r="E10" s="103" t="str">
        <v>Year 1 Apr</v>
      </c>
      <c r="F10" s="103" t="str">
        <v>Year 1 May</v>
      </c>
      <c r="G10" s="103" t="str">
        <v>Year 1 Jun</v>
      </c>
      <c r="H10" s="103" t="str">
        <v>Year 1 Jul</v>
      </c>
      <c r="I10" s="103" t="str">
        <v>Year 1 Aug</v>
      </c>
      <c r="J10" s="103" t="str">
        <v>Year 1 Sep</v>
      </c>
      <c r="K10" s="103" t="str">
        <v>Year 1 Oct</v>
      </c>
      <c r="L10" s="103" t="str">
        <v>Year 1 Nov</v>
      </c>
      <c r="M10" s="103" t="str">
        <v>Year 1 Dec</v>
      </c>
      <c r="N10" s="103" t="str">
        <v>Year 2 Jan</v>
      </c>
      <c r="O10" s="103" t="str">
        <v>Year 2 Feb</v>
      </c>
      <c r="P10" s="103" t="str">
        <v>Year 2 Mar</v>
      </c>
      <c r="Q10" s="103" t="str">
        <v>Year 2 Apr</v>
      </c>
      <c r="R10" s="103" t="str">
        <v>Year 2 May</v>
      </c>
      <c r="S10" s="103" t="str">
        <v>Year 2 Jun</v>
      </c>
      <c r="T10" s="103" t="str">
        <v>Year 2 Jul</v>
      </c>
      <c r="U10" s="103" t="str">
        <v>Year 2 Aug</v>
      </c>
      <c r="V10" s="103" t="str">
        <v>Year 2 Sep</v>
      </c>
      <c r="W10" s="103" t="str">
        <v>Year 2 Oct</v>
      </c>
      <c r="X10" s="103" t="str">
        <v>Year 2 Nov</v>
      </c>
      <c r="Y10" s="103" t="str">
        <v>Year 2 Dec</v>
      </c>
      <c r="Z10" s="103" t="str">
        <v>Year 3 Jan</v>
      </c>
      <c r="AA10" s="103" t="str">
        <v>Year 3 Feb</v>
      </c>
      <c r="AB10" s="103" t="str">
        <v>Year 3 Mar</v>
      </c>
      <c r="AC10" s="103" t="str">
        <v>Year 3 Apr</v>
      </c>
      <c r="AD10" s="103" t="str">
        <v>Year 3 May</v>
      </c>
      <c r="AE10" s="103" t="str">
        <v>Year 3 Jun</v>
      </c>
      <c r="AF10" s="103" t="str">
        <v>Year 3 Jul</v>
      </c>
      <c r="AG10" s="103" t="str">
        <v>Year 3 Aug</v>
      </c>
      <c r="AH10" s="103" t="str">
        <v>Year 3 Sep</v>
      </c>
      <c r="AI10" s="103" t="str">
        <v>Year 3 Oct</v>
      </c>
      <c r="AJ10" s="103" t="str">
        <v>Year 3 Nov</v>
      </c>
      <c r="AK10" s="103" t="str">
        <v>Year 3 Dec</v>
      </c>
      <c r="AL10" s="103" t="str">
        <v>Year 4 Jan</v>
      </c>
      <c r="AM10" s="103" t="str">
        <v>Year 4 Feb</v>
      </c>
      <c r="AN10" s="103" t="str">
        <v>Year 4 Mar</v>
      </c>
      <c r="AO10" s="103" t="str">
        <v>Year 4 Apr</v>
      </c>
      <c r="AP10" s="103" t="str">
        <v>Year 4 May</v>
      </c>
      <c r="AQ10" s="103" t="str">
        <v>Year 4 Jun</v>
      </c>
      <c r="AR10" s="103" t="str">
        <v>Year 4 Jul</v>
      </c>
      <c r="AS10" s="103" t="str">
        <v>Year 4 Aug</v>
      </c>
      <c r="AT10" s="103" t="str">
        <v>Year 4 Sep</v>
      </c>
      <c r="AU10" s="103" t="str">
        <v>Year 4 Oct</v>
      </c>
      <c r="AV10" s="103" t="str">
        <v>Year 4 Nov</v>
      </c>
      <c r="AW10" s="103" t="str">
        <v>Year 4 Dec</v>
      </c>
      <c r="AX10" s="103" t="str">
        <v>Year 5 Jan</v>
      </c>
      <c r="AY10" s="103" t="str">
        <v>Year 5 Feb</v>
      </c>
      <c r="AZ10" s="103" t="str">
        <v>Year 5 Mar</v>
      </c>
      <c r="BA10" s="103" t="str">
        <v>Year 5 Apr</v>
      </c>
      <c r="BB10" s="103" t="str">
        <v>Year 5 May</v>
      </c>
      <c r="BC10" s="103" t="str">
        <v>Year 5 Jun</v>
      </c>
      <c r="BD10" s="103" t="str">
        <v>Year 5 Jul</v>
      </c>
      <c r="BE10" s="103" t="str">
        <v>Year 5 Aug</v>
      </c>
      <c r="BF10" s="103" t="str">
        <v>Year 5 Sep</v>
      </c>
      <c r="BG10" s="103" t="str">
        <v>Year 5 Oct</v>
      </c>
      <c r="BH10" s="103" t="str">
        <v>Year 5 Nov</v>
      </c>
      <c r="BI10" s="103" t="str">
        <v>Year 5 Dec</v>
      </c>
    </row>
    <row r="12" spans="1:61" x14ac:dyDescent="0.3">
      <c r="A12" s="103" t="str" cm="1">
        <f t="array" ref="A12:A15">'P&amp;L'!J28:J31</f>
        <v>R&amp;D</v>
      </c>
      <c r="B12" s="104" cm="1">
        <f t="array" aca="1" ref="B12:BI15" ca="1">'P&amp;L'!M28:BT31</f>
        <v>16516.666666666668</v>
      </c>
      <c r="C12" s="104">
        <f ca="1"/>
        <v>16516.666666666668</v>
      </c>
      <c r="D12" s="104">
        <f ca="1"/>
        <v>16516.666666666668</v>
      </c>
      <c r="E12" s="104">
        <f ca="1"/>
        <v>31033.333333333336</v>
      </c>
      <c r="F12" s="104">
        <f ca="1"/>
        <v>31033.333333333336</v>
      </c>
      <c r="G12" s="104">
        <f ca="1"/>
        <v>45550</v>
      </c>
      <c r="H12" s="104">
        <f ca="1"/>
        <v>45550</v>
      </c>
      <c r="I12" s="104">
        <f ca="1"/>
        <v>45550</v>
      </c>
      <c r="J12" s="104">
        <f ca="1"/>
        <v>45550</v>
      </c>
      <c r="K12" s="104">
        <f ca="1"/>
        <v>45550</v>
      </c>
      <c r="L12" s="104">
        <f ca="1"/>
        <v>45550</v>
      </c>
      <c r="M12" s="104">
        <f ca="1"/>
        <v>45550</v>
      </c>
      <c r="N12" s="104">
        <f ca="1"/>
        <v>62049.166666666672</v>
      </c>
      <c r="O12" s="104">
        <f ca="1"/>
        <v>62049.166666666672</v>
      </c>
      <c r="P12" s="104">
        <f ca="1"/>
        <v>78090.833333333343</v>
      </c>
      <c r="Q12" s="104">
        <f ca="1"/>
        <v>92099.166666666686</v>
      </c>
      <c r="R12" s="104">
        <f ca="1"/>
        <v>92099.166666666686</v>
      </c>
      <c r="S12" s="104">
        <f ca="1"/>
        <v>106920.83333333334</v>
      </c>
      <c r="T12" s="104">
        <f ca="1"/>
        <v>119687.50000000001</v>
      </c>
      <c r="U12" s="104">
        <f ca="1"/>
        <v>119687.50000000001</v>
      </c>
      <c r="V12" s="104">
        <f ca="1"/>
        <v>119687.50000000001</v>
      </c>
      <c r="W12" s="104">
        <f ca="1"/>
        <v>119687.50000000001</v>
      </c>
      <c r="X12" s="104">
        <f ca="1"/>
        <v>119687.50000000001</v>
      </c>
      <c r="Y12" s="104">
        <f ca="1"/>
        <v>119687.50000000001</v>
      </c>
      <c r="Z12" s="104">
        <f ca="1"/>
        <v>124986.87500000001</v>
      </c>
      <c r="AA12" s="104">
        <f ca="1"/>
        <v>135436.875</v>
      </c>
      <c r="AB12" s="104">
        <f ca="1"/>
        <v>149953.54166666669</v>
      </c>
      <c r="AC12" s="104">
        <f ca="1"/>
        <v>149953.54166666669</v>
      </c>
      <c r="AD12" s="104">
        <f ca="1"/>
        <v>166583.54166666669</v>
      </c>
      <c r="AE12" s="104">
        <f ca="1"/>
        <v>183133.54166666669</v>
      </c>
      <c r="AF12" s="104">
        <f ca="1"/>
        <v>183133.54166666669</v>
      </c>
      <c r="AG12" s="104">
        <f ca="1"/>
        <v>197650.20833333337</v>
      </c>
      <c r="AH12" s="104">
        <f ca="1"/>
        <v>206575.20833333337</v>
      </c>
      <c r="AI12" s="104">
        <f ca="1"/>
        <v>216945.20833333337</v>
      </c>
      <c r="AJ12" s="104">
        <f ca="1"/>
        <v>216945.20833333337</v>
      </c>
      <c r="AK12" s="104">
        <f ca="1"/>
        <v>216945.20833333337</v>
      </c>
      <c r="AL12" s="104">
        <f ca="1"/>
        <v>257719.13541666669</v>
      </c>
      <c r="AM12" s="104">
        <f ca="1"/>
        <v>257719.13541666669</v>
      </c>
      <c r="AN12" s="104">
        <f ca="1"/>
        <v>257719.13541666669</v>
      </c>
      <c r="AO12" s="104">
        <f ca="1"/>
        <v>257719.13541666669</v>
      </c>
      <c r="AP12" s="104">
        <f ca="1"/>
        <v>272235.80208333337</v>
      </c>
      <c r="AQ12" s="104">
        <f ca="1"/>
        <v>272235.80208333337</v>
      </c>
      <c r="AR12" s="104">
        <f ca="1"/>
        <v>288277.46875</v>
      </c>
      <c r="AS12" s="104">
        <f ca="1"/>
        <v>303810.80208333331</v>
      </c>
      <c r="AT12" s="104">
        <f ca="1"/>
        <v>318632.46875</v>
      </c>
      <c r="AU12" s="104">
        <f ca="1"/>
        <v>318632.46875</v>
      </c>
      <c r="AV12" s="104">
        <f ca="1"/>
        <v>333149.13541666669</v>
      </c>
      <c r="AW12" s="104">
        <f ca="1"/>
        <v>333149.13541666669</v>
      </c>
      <c r="AX12" s="104">
        <f ca="1"/>
        <v>348211.59218749998</v>
      </c>
      <c r="AY12" s="104">
        <f ca="1"/>
        <v>348211.59218749998</v>
      </c>
      <c r="AZ12" s="104">
        <f ca="1"/>
        <v>348211.59218749998</v>
      </c>
      <c r="BA12" s="104">
        <f ca="1"/>
        <v>348211.59218749998</v>
      </c>
      <c r="BB12" s="104">
        <f ca="1"/>
        <v>348211.59218749998</v>
      </c>
      <c r="BC12" s="104">
        <f ca="1"/>
        <v>348211.59218749998</v>
      </c>
      <c r="BD12" s="104">
        <f ca="1"/>
        <v>348211.59218749998</v>
      </c>
      <c r="BE12" s="104">
        <f ca="1"/>
        <v>348211.59218749998</v>
      </c>
      <c r="BF12" s="104">
        <f ca="1"/>
        <v>348211.59218749998</v>
      </c>
      <c r="BG12" s="104">
        <f ca="1"/>
        <v>348211.59218749998</v>
      </c>
      <c r="BH12" s="104">
        <f ca="1"/>
        <v>348211.59218749998</v>
      </c>
      <c r="BI12" s="104">
        <f ca="1"/>
        <v>348211.59218749998</v>
      </c>
    </row>
    <row r="13" spans="1:61" x14ac:dyDescent="0.3">
      <c r="A13" s="103" t="str">
        <v>Marketing</v>
      </c>
      <c r="B13" s="104">
        <f ca="1"/>
        <v>12750</v>
      </c>
      <c r="C13" s="104">
        <f ca="1"/>
        <v>12750</v>
      </c>
      <c r="D13" s="104">
        <f ca="1"/>
        <v>12750</v>
      </c>
      <c r="E13" s="104">
        <f ca="1"/>
        <v>12750</v>
      </c>
      <c r="F13" s="104">
        <f ca="1"/>
        <v>12750</v>
      </c>
      <c r="G13" s="104">
        <f ca="1"/>
        <v>12750</v>
      </c>
      <c r="H13" s="104">
        <f ca="1"/>
        <v>12750</v>
      </c>
      <c r="I13" s="104">
        <f ca="1"/>
        <v>12750</v>
      </c>
      <c r="J13" s="104">
        <f ca="1"/>
        <v>12750</v>
      </c>
      <c r="K13" s="104">
        <f ca="1"/>
        <v>12750</v>
      </c>
      <c r="L13" s="104">
        <f ca="1"/>
        <v>12750</v>
      </c>
      <c r="M13" s="104">
        <f ca="1"/>
        <v>12750</v>
      </c>
      <c r="N13" s="104">
        <f ca="1"/>
        <v>22525</v>
      </c>
      <c r="O13" s="104">
        <f ca="1"/>
        <v>22525</v>
      </c>
      <c r="P13" s="104">
        <f ca="1"/>
        <v>22525</v>
      </c>
      <c r="Q13" s="104">
        <f ca="1"/>
        <v>22525</v>
      </c>
      <c r="R13" s="104">
        <f ca="1"/>
        <v>22525</v>
      </c>
      <c r="S13" s="104">
        <f ca="1"/>
        <v>22525</v>
      </c>
      <c r="T13" s="104">
        <f ca="1"/>
        <v>22525</v>
      </c>
      <c r="U13" s="104">
        <f ca="1"/>
        <v>22525</v>
      </c>
      <c r="V13" s="104">
        <f ca="1"/>
        <v>22525</v>
      </c>
      <c r="W13" s="104">
        <f ca="1"/>
        <v>22525</v>
      </c>
      <c r="X13" s="104">
        <f ca="1"/>
        <v>22525</v>
      </c>
      <c r="Y13" s="104">
        <f ca="1"/>
        <v>22525</v>
      </c>
      <c r="Z13" s="104">
        <f ca="1"/>
        <v>28483.333333333332</v>
      </c>
      <c r="AA13" s="104">
        <f ca="1"/>
        <v>28483.333333333332</v>
      </c>
      <c r="AB13" s="104">
        <f ca="1"/>
        <v>28483.333333333332</v>
      </c>
      <c r="AC13" s="104">
        <f ca="1"/>
        <v>28483.333333333332</v>
      </c>
      <c r="AD13" s="104">
        <f ca="1"/>
        <v>28483.333333333332</v>
      </c>
      <c r="AE13" s="104">
        <f ca="1"/>
        <v>28483.333333333332</v>
      </c>
      <c r="AF13" s="104">
        <f ca="1"/>
        <v>28483.333333333332</v>
      </c>
      <c r="AG13" s="104">
        <f ca="1"/>
        <v>28483.333333333332</v>
      </c>
      <c r="AH13" s="104">
        <f ca="1"/>
        <v>28483.333333333332</v>
      </c>
      <c r="AI13" s="104">
        <f ca="1"/>
        <v>28483.333333333332</v>
      </c>
      <c r="AJ13" s="104">
        <f ca="1"/>
        <v>28483.333333333332</v>
      </c>
      <c r="AK13" s="104">
        <f ca="1"/>
        <v>28483.333333333332</v>
      </c>
      <c r="AL13" s="104">
        <f ca="1"/>
        <v>33775</v>
      </c>
      <c r="AM13" s="104">
        <f ca="1"/>
        <v>33775</v>
      </c>
      <c r="AN13" s="104">
        <f ca="1"/>
        <v>33775</v>
      </c>
      <c r="AO13" s="104">
        <f ca="1"/>
        <v>33775</v>
      </c>
      <c r="AP13" s="104">
        <f ca="1"/>
        <v>33775</v>
      </c>
      <c r="AQ13" s="104">
        <f ca="1"/>
        <v>33775</v>
      </c>
      <c r="AR13" s="104">
        <f ca="1"/>
        <v>33775</v>
      </c>
      <c r="AS13" s="104">
        <f ca="1"/>
        <v>33775</v>
      </c>
      <c r="AT13" s="104">
        <f ca="1"/>
        <v>33775</v>
      </c>
      <c r="AU13" s="104">
        <f ca="1"/>
        <v>33775</v>
      </c>
      <c r="AV13" s="104">
        <f ca="1"/>
        <v>33775</v>
      </c>
      <c r="AW13" s="104">
        <f ca="1"/>
        <v>33775</v>
      </c>
      <c r="AX13" s="104">
        <f ca="1"/>
        <v>38650</v>
      </c>
      <c r="AY13" s="104">
        <f ca="1"/>
        <v>38650</v>
      </c>
      <c r="AZ13" s="104">
        <f ca="1"/>
        <v>38650</v>
      </c>
      <c r="BA13" s="104">
        <f ca="1"/>
        <v>38650</v>
      </c>
      <c r="BB13" s="104">
        <f ca="1"/>
        <v>38650</v>
      </c>
      <c r="BC13" s="104">
        <f ca="1"/>
        <v>38650</v>
      </c>
      <c r="BD13" s="104">
        <f ca="1"/>
        <v>38650</v>
      </c>
      <c r="BE13" s="104">
        <f ca="1"/>
        <v>38650</v>
      </c>
      <c r="BF13" s="104">
        <f ca="1"/>
        <v>38650</v>
      </c>
      <c r="BG13" s="104">
        <f ca="1"/>
        <v>38650</v>
      </c>
      <c r="BH13" s="104">
        <f ca="1"/>
        <v>38650</v>
      </c>
      <c r="BI13" s="104">
        <f ca="1"/>
        <v>38650</v>
      </c>
    </row>
    <row r="14" spans="1:61" x14ac:dyDescent="0.3">
      <c r="A14" s="103" t="str">
        <v>G&amp;A</v>
      </c>
      <c r="B14" s="104">
        <f ca="1"/>
        <v>98741.666666666657</v>
      </c>
      <c r="C14" s="104">
        <f ca="1"/>
        <v>98741.666666666657</v>
      </c>
      <c r="D14" s="104">
        <f ca="1"/>
        <v>98741.666666666657</v>
      </c>
      <c r="E14" s="104">
        <f ca="1"/>
        <v>98741.666666666657</v>
      </c>
      <c r="F14" s="104">
        <f ca="1"/>
        <v>98741.666666666657</v>
      </c>
      <c r="G14" s="104">
        <f ca="1"/>
        <v>98741.666666666657</v>
      </c>
      <c r="H14" s="104">
        <f ca="1"/>
        <v>98741.666666666657</v>
      </c>
      <c r="I14" s="104">
        <f ca="1"/>
        <v>98741.666666666657</v>
      </c>
      <c r="J14" s="104">
        <f ca="1"/>
        <v>103214.99999999999</v>
      </c>
      <c r="K14" s="104">
        <f ca="1"/>
        <v>103214.99999999999</v>
      </c>
      <c r="L14" s="104">
        <f ca="1"/>
        <v>103214.99999999999</v>
      </c>
      <c r="M14" s="104">
        <f ca="1"/>
        <v>106798.33333333333</v>
      </c>
      <c r="N14" s="104">
        <f ca="1"/>
        <v>131263.33333333334</v>
      </c>
      <c r="O14" s="104">
        <f ca="1"/>
        <v>131263.33333333334</v>
      </c>
      <c r="P14" s="104">
        <f ca="1"/>
        <v>138446.66666666666</v>
      </c>
      <c r="Q14" s="104">
        <f ca="1"/>
        <v>162338.33333333331</v>
      </c>
      <c r="R14" s="104">
        <f ca="1"/>
        <v>165338.33333333331</v>
      </c>
      <c r="S14" s="104">
        <f ca="1"/>
        <v>165338.33333333331</v>
      </c>
      <c r="T14" s="104">
        <f ca="1"/>
        <v>165338.33333333331</v>
      </c>
      <c r="U14" s="104">
        <f ca="1"/>
        <v>165338.33333333331</v>
      </c>
      <c r="V14" s="104">
        <f ca="1"/>
        <v>164588.33333333334</v>
      </c>
      <c r="W14" s="104">
        <f ca="1"/>
        <v>164588.33333333334</v>
      </c>
      <c r="X14" s="104">
        <f ca="1"/>
        <v>169588.33333333331</v>
      </c>
      <c r="Y14" s="104">
        <f ca="1"/>
        <v>174588.33333333331</v>
      </c>
      <c r="Z14" s="104">
        <f ca="1"/>
        <v>188720</v>
      </c>
      <c r="AA14" s="104">
        <f ca="1"/>
        <v>188720</v>
      </c>
      <c r="AB14" s="104">
        <f ca="1"/>
        <v>188720</v>
      </c>
      <c r="AC14" s="104">
        <f ca="1"/>
        <v>188720</v>
      </c>
      <c r="AD14" s="104">
        <f ca="1"/>
        <v>193720</v>
      </c>
      <c r="AE14" s="104">
        <f ca="1"/>
        <v>193720</v>
      </c>
      <c r="AF14" s="104">
        <f ca="1"/>
        <v>193720</v>
      </c>
      <c r="AG14" s="104">
        <f ca="1"/>
        <v>193720</v>
      </c>
      <c r="AH14" s="104">
        <f ca="1"/>
        <v>193720</v>
      </c>
      <c r="AI14" s="104">
        <f ca="1"/>
        <v>193720</v>
      </c>
      <c r="AJ14" s="104">
        <f ca="1"/>
        <v>193720</v>
      </c>
      <c r="AK14" s="104">
        <f ca="1"/>
        <v>193720</v>
      </c>
      <c r="AL14" s="104">
        <f ca="1"/>
        <v>250545</v>
      </c>
      <c r="AM14" s="104">
        <f ca="1"/>
        <v>250545</v>
      </c>
      <c r="AN14" s="104">
        <f ca="1"/>
        <v>250545</v>
      </c>
      <c r="AO14" s="104">
        <f ca="1"/>
        <v>250545</v>
      </c>
      <c r="AP14" s="104">
        <f ca="1"/>
        <v>237545</v>
      </c>
      <c r="AQ14" s="104">
        <f ca="1"/>
        <v>222545</v>
      </c>
      <c r="AR14" s="104">
        <f ca="1"/>
        <v>227545</v>
      </c>
      <c r="AS14" s="104">
        <f ca="1"/>
        <v>227545</v>
      </c>
      <c r="AT14" s="104">
        <f ca="1"/>
        <v>227545</v>
      </c>
      <c r="AU14" s="104">
        <f ca="1"/>
        <v>227545</v>
      </c>
      <c r="AV14" s="104">
        <f ca="1"/>
        <v>227545</v>
      </c>
      <c r="AW14" s="104">
        <f ca="1"/>
        <v>227545</v>
      </c>
      <c r="AX14" s="104">
        <f ca="1"/>
        <v>227545</v>
      </c>
      <c r="AY14" s="104">
        <f ca="1"/>
        <v>227545</v>
      </c>
      <c r="AZ14" s="104">
        <f ca="1"/>
        <v>227545</v>
      </c>
      <c r="BA14" s="104">
        <f ca="1"/>
        <v>227545</v>
      </c>
      <c r="BB14" s="104">
        <f ca="1"/>
        <v>227545</v>
      </c>
      <c r="BC14" s="104">
        <f ca="1"/>
        <v>227545</v>
      </c>
      <c r="BD14" s="104">
        <f ca="1"/>
        <v>227545</v>
      </c>
      <c r="BE14" s="104">
        <f ca="1"/>
        <v>227545</v>
      </c>
      <c r="BF14" s="104">
        <f ca="1"/>
        <v>227545</v>
      </c>
      <c r="BG14" s="104">
        <f ca="1"/>
        <v>227545</v>
      </c>
      <c r="BH14" s="104">
        <f ca="1"/>
        <v>227545</v>
      </c>
      <c r="BI14" s="104">
        <f ca="1"/>
        <v>227545</v>
      </c>
    </row>
    <row r="15" spans="1:61" x14ac:dyDescent="0.3">
      <c r="A15" s="103" t="str">
        <v>Sales</v>
      </c>
      <c r="B15" s="104">
        <f ca="1"/>
        <v>500</v>
      </c>
      <c r="C15" s="104">
        <f ca="1"/>
        <v>500</v>
      </c>
      <c r="D15" s="104">
        <f ca="1"/>
        <v>500</v>
      </c>
      <c r="E15" s="104">
        <f ca="1"/>
        <v>500</v>
      </c>
      <c r="F15" s="104">
        <f ca="1"/>
        <v>500</v>
      </c>
      <c r="G15" s="104">
        <f ca="1"/>
        <v>500</v>
      </c>
      <c r="H15" s="104">
        <f ca="1"/>
        <v>500</v>
      </c>
      <c r="I15" s="104">
        <f ca="1"/>
        <v>500</v>
      </c>
      <c r="J15" s="104">
        <f ca="1"/>
        <v>500</v>
      </c>
      <c r="K15" s="104">
        <f ca="1"/>
        <v>500</v>
      </c>
      <c r="L15" s="104">
        <f ca="1"/>
        <v>500</v>
      </c>
      <c r="M15" s="104">
        <f ca="1"/>
        <v>500</v>
      </c>
      <c r="N15" s="104">
        <f ca="1"/>
        <v>22312.5</v>
      </c>
      <c r="O15" s="104">
        <f ca="1"/>
        <v>22837.5</v>
      </c>
      <c r="P15" s="104">
        <f ca="1"/>
        <v>22863.75</v>
      </c>
      <c r="Q15" s="104">
        <f ca="1"/>
        <v>22891.3125</v>
      </c>
      <c r="R15" s="104">
        <f ca="1"/>
        <v>22920.253124999996</v>
      </c>
      <c r="S15" s="104">
        <f ca="1"/>
        <v>22950.640781249997</v>
      </c>
      <c r="T15" s="104">
        <f ca="1"/>
        <v>22982.547820312499</v>
      </c>
      <c r="U15" s="104">
        <f ca="1"/>
        <v>23016.050211328122</v>
      </c>
      <c r="V15" s="104">
        <f ca="1"/>
        <v>23051.227721894527</v>
      </c>
      <c r="W15" s="104">
        <f ca="1"/>
        <v>23088.164107989254</v>
      </c>
      <c r="X15" s="104">
        <f ca="1"/>
        <v>23126.947313388719</v>
      </c>
      <c r="Y15" s="104">
        <f ca="1"/>
        <v>23167.669679058152</v>
      </c>
      <c r="Z15" s="104">
        <f ca="1"/>
        <v>32413.55316301106</v>
      </c>
      <c r="AA15" s="104">
        <f ca="1"/>
        <v>33328.927377932981</v>
      </c>
      <c r="AB15" s="104">
        <f ca="1"/>
        <v>33419.592496829631</v>
      </c>
      <c r="AC15" s="104">
        <f ca="1"/>
        <v>33514.79087167111</v>
      </c>
      <c r="AD15" s="104">
        <f ca="1"/>
        <v>33614.749165254667</v>
      </c>
      <c r="AE15" s="104">
        <f ca="1"/>
        <v>33719.705373517398</v>
      </c>
      <c r="AF15" s="104">
        <f ca="1"/>
        <v>33829.909392193273</v>
      </c>
      <c r="AG15" s="104">
        <f ca="1"/>
        <v>33945.623611802941</v>
      </c>
      <c r="AH15" s="104">
        <f ca="1"/>
        <v>34067.123542393078</v>
      </c>
      <c r="AI15" s="104">
        <f ca="1"/>
        <v>34194.698469512739</v>
      </c>
      <c r="AJ15" s="104">
        <f ca="1"/>
        <v>34328.652142988372</v>
      </c>
      <c r="AK15" s="104">
        <f ca="1"/>
        <v>34469.303500137794</v>
      </c>
      <c r="AL15" s="104">
        <f ca="1"/>
        <v>51713.862425144689</v>
      </c>
      <c r="AM15" s="104">
        <f ca="1"/>
        <v>53839.401771937664</v>
      </c>
      <c r="AN15" s="104">
        <f ca="1"/>
        <v>54100.746860534549</v>
      </c>
      <c r="AO15" s="104">
        <f ca="1"/>
        <v>54375.159203561285</v>
      </c>
      <c r="AP15" s="104">
        <f ca="1"/>
        <v>54663.292163739352</v>
      </c>
      <c r="AQ15" s="104">
        <f ca="1"/>
        <v>54965.831771926314</v>
      </c>
      <c r="AR15" s="104">
        <f ca="1"/>
        <v>55283.498360522637</v>
      </c>
      <c r="AS15" s="104">
        <f ca="1"/>
        <v>55617.048278548762</v>
      </c>
      <c r="AT15" s="104">
        <f ca="1"/>
        <v>55967.2756924762</v>
      </c>
      <c r="AU15" s="104">
        <f ca="1"/>
        <v>56335.01447710002</v>
      </c>
      <c r="AV15" s="104">
        <f ca="1"/>
        <v>56721.140200955015</v>
      </c>
      <c r="AW15" s="104">
        <f ca="1"/>
        <v>57126.572211002764</v>
      </c>
      <c r="AX15" s="104">
        <f ca="1"/>
        <v>66155.400821552903</v>
      </c>
      <c r="AY15" s="104">
        <f ca="1"/>
        <v>70168.266230418216</v>
      </c>
      <c r="AZ15" s="104">
        <f ca="1"/>
        <v>70815.898291939127</v>
      </c>
      <c r="BA15" s="104">
        <f ca="1"/>
        <v>71495.911956536103</v>
      </c>
      <c r="BB15" s="104">
        <f ca="1"/>
        <v>72209.926304362889</v>
      </c>
      <c r="BC15" s="104">
        <f ca="1"/>
        <v>72959.641369581019</v>
      </c>
      <c r="BD15" s="104">
        <f ca="1"/>
        <v>73746.842188060094</v>
      </c>
      <c r="BE15" s="104">
        <f ca="1"/>
        <v>74573.403047463085</v>
      </c>
      <c r="BF15" s="104">
        <f ca="1"/>
        <v>75441.291949836275</v>
      </c>
      <c r="BG15" s="104">
        <f ca="1"/>
        <v>76352.575297328076</v>
      </c>
      <c r="BH15" s="104">
        <f ca="1"/>
        <v>77309.422812194491</v>
      </c>
      <c r="BI15" s="104">
        <f ca="1"/>
        <v>78314.112702804181</v>
      </c>
    </row>
  </sheetData>
  <mergeCells count="2">
    <mergeCell ref="C2:P2"/>
    <mergeCell ref="C3:P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E3E6D-3277-462D-9112-53BD6B1505F6}">
  <sheetPr>
    <tabColor rgb="FF00B050"/>
  </sheetPr>
  <dimension ref="B1:C9"/>
  <sheetViews>
    <sheetView workbookViewId="0"/>
  </sheetViews>
  <sheetFormatPr defaultColWidth="8.77734375" defaultRowHeight="14.4" x14ac:dyDescent="0.3"/>
  <cols>
    <col min="1" max="1" width="16.77734375" style="103" customWidth="1"/>
    <col min="2" max="2" width="15.6640625" style="103" bestFit="1" customWidth="1"/>
    <col min="3" max="3" width="64.33203125" style="103" customWidth="1"/>
    <col min="4" max="16384" width="8.77734375" style="103"/>
  </cols>
  <sheetData>
    <row r="1" spans="2:3" ht="15" thickBot="1" x14ac:dyDescent="0.35"/>
    <row r="2" spans="2:3" x14ac:dyDescent="0.3">
      <c r="B2" s="111" t="s">
        <v>257</v>
      </c>
      <c r="C2" s="112" t="s">
        <v>258</v>
      </c>
    </row>
    <row r="3" spans="2:3" x14ac:dyDescent="0.3">
      <c r="B3" s="113" t="s">
        <v>259</v>
      </c>
      <c r="C3" s="114" t="s">
        <v>276</v>
      </c>
    </row>
    <row r="4" spans="2:3" x14ac:dyDescent="0.3">
      <c r="B4" s="113" t="s">
        <v>260</v>
      </c>
      <c r="C4" s="114" t="s">
        <v>261</v>
      </c>
    </row>
    <row r="5" spans="2:3" ht="28.8" x14ac:dyDescent="0.3">
      <c r="B5" s="113" t="s">
        <v>262</v>
      </c>
      <c r="C5" s="114" t="s">
        <v>263</v>
      </c>
    </row>
    <row r="6" spans="2:3" ht="28.8" x14ac:dyDescent="0.3">
      <c r="B6" s="113" t="s">
        <v>264</v>
      </c>
      <c r="C6" s="114" t="s">
        <v>265</v>
      </c>
    </row>
    <row r="7" spans="2:3" ht="28.8" x14ac:dyDescent="0.3">
      <c r="B7" s="113" t="s">
        <v>266</v>
      </c>
      <c r="C7" s="114" t="s">
        <v>267</v>
      </c>
    </row>
    <row r="8" spans="2:3" ht="28.8" x14ac:dyDescent="0.3">
      <c r="B8" s="113" t="s">
        <v>268</v>
      </c>
      <c r="C8" s="114" t="s">
        <v>269</v>
      </c>
    </row>
    <row r="9" spans="2:3" ht="43.8" thickBot="1" x14ac:dyDescent="0.35">
      <c r="B9" s="115" t="s">
        <v>270</v>
      </c>
      <c r="C9" s="116" t="s">
        <v>271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B2:BV116"/>
  <sheetViews>
    <sheetView zoomScale="90" workbookViewId="0">
      <selection activeCell="E9" sqref="E9"/>
    </sheetView>
  </sheetViews>
  <sheetFormatPr defaultColWidth="8.6640625" defaultRowHeight="14.4" x14ac:dyDescent="0.3"/>
  <cols>
    <col min="2" max="2" width="18.6640625" bestFit="1" customWidth="1"/>
    <col min="3" max="3" width="13" customWidth="1"/>
    <col min="4" max="4" width="11.44140625" customWidth="1"/>
    <col min="5" max="5" width="11" customWidth="1"/>
    <col min="6" max="6" width="12.77734375" customWidth="1"/>
    <col min="7" max="7" width="11.6640625" customWidth="1"/>
    <col min="8" max="8" width="13" customWidth="1"/>
    <col min="11" max="11" width="16.44140625" bestFit="1" customWidth="1"/>
    <col min="12" max="12" width="18.109375" bestFit="1" customWidth="1"/>
    <col min="13" max="14" width="9.6640625" bestFit="1" customWidth="1"/>
    <col min="15" max="15" width="10.6640625" bestFit="1" customWidth="1"/>
    <col min="16" max="24" width="9.6640625" bestFit="1" customWidth="1"/>
    <col min="25" max="29" width="10.109375" bestFit="1" customWidth="1"/>
    <col min="30" max="30" width="10.6640625" bestFit="1" customWidth="1"/>
    <col min="31" max="33" width="9.6640625" bestFit="1" customWidth="1"/>
    <col min="34" max="35" width="10.44140625" bestFit="1" customWidth="1"/>
    <col min="36" max="39" width="11.109375" bestFit="1" customWidth="1"/>
    <col min="40" max="46" width="15.77734375" bestFit="1" customWidth="1"/>
    <col min="47" max="54" width="15.6640625" bestFit="1" customWidth="1"/>
    <col min="55" max="57" width="18.109375" bestFit="1" customWidth="1"/>
    <col min="58" max="59" width="12.109375" bestFit="1" customWidth="1"/>
    <col min="60" max="63" width="12.44140625" bestFit="1" customWidth="1"/>
    <col min="64" max="64" width="12" customWidth="1"/>
    <col min="65" max="66" width="12.44140625" bestFit="1" customWidth="1"/>
    <col min="67" max="72" width="13.109375" bestFit="1" customWidth="1"/>
  </cols>
  <sheetData>
    <row r="2" spans="2:72" ht="15" thickBot="1" x14ac:dyDescent="0.35"/>
    <row r="3" spans="2:72" s="6" customFormat="1" ht="15" thickBot="1" x14ac:dyDescent="0.35">
      <c r="B3" s="82" t="s">
        <v>7</v>
      </c>
      <c r="M3" s="78" t="s">
        <v>8</v>
      </c>
      <c r="N3" s="78" t="s">
        <v>8</v>
      </c>
      <c r="O3" s="78" t="s">
        <v>8</v>
      </c>
      <c r="P3" s="78" t="s">
        <v>8</v>
      </c>
      <c r="Q3" s="78" t="s">
        <v>8</v>
      </c>
      <c r="R3" s="78" t="s">
        <v>8</v>
      </c>
      <c r="S3" s="78" t="s">
        <v>8</v>
      </c>
      <c r="T3" s="78" t="s">
        <v>8</v>
      </c>
      <c r="U3" s="78" t="s">
        <v>8</v>
      </c>
      <c r="V3" s="78" t="s">
        <v>8</v>
      </c>
      <c r="W3" s="78" t="s">
        <v>8</v>
      </c>
      <c r="X3" s="78" t="s">
        <v>8</v>
      </c>
      <c r="Y3" s="78" t="s">
        <v>9</v>
      </c>
      <c r="Z3" s="78" t="s">
        <v>9</v>
      </c>
      <c r="AA3" s="78" t="s">
        <v>9</v>
      </c>
      <c r="AB3" s="78" t="s">
        <v>9</v>
      </c>
      <c r="AC3" s="78" t="s">
        <v>9</v>
      </c>
      <c r="AD3" s="78" t="s">
        <v>9</v>
      </c>
      <c r="AE3" s="78" t="s">
        <v>9</v>
      </c>
      <c r="AF3" s="78" t="s">
        <v>9</v>
      </c>
      <c r="AG3" s="78" t="s">
        <v>9</v>
      </c>
      <c r="AH3" s="78" t="s">
        <v>9</v>
      </c>
      <c r="AI3" s="78" t="s">
        <v>9</v>
      </c>
      <c r="AJ3" s="78" t="s">
        <v>9</v>
      </c>
      <c r="AK3" s="78" t="s">
        <v>10</v>
      </c>
      <c r="AL3" s="78" t="s">
        <v>10</v>
      </c>
      <c r="AM3" s="78" t="s">
        <v>10</v>
      </c>
      <c r="AN3" s="78" t="s">
        <v>10</v>
      </c>
      <c r="AO3" s="78" t="s">
        <v>10</v>
      </c>
      <c r="AP3" s="78" t="s">
        <v>10</v>
      </c>
      <c r="AQ3" s="78" t="s">
        <v>10</v>
      </c>
      <c r="AR3" s="78" t="s">
        <v>10</v>
      </c>
      <c r="AS3" s="78" t="s">
        <v>10</v>
      </c>
      <c r="AT3" s="78" t="s">
        <v>10</v>
      </c>
      <c r="AU3" s="78" t="s">
        <v>10</v>
      </c>
      <c r="AV3" s="78" t="s">
        <v>10</v>
      </c>
      <c r="AW3" s="78" t="s">
        <v>11</v>
      </c>
      <c r="AX3" s="78" t="s">
        <v>11</v>
      </c>
      <c r="AY3" s="78" t="s">
        <v>11</v>
      </c>
      <c r="AZ3" s="78" t="s">
        <v>11</v>
      </c>
      <c r="BA3" s="78" t="s">
        <v>11</v>
      </c>
      <c r="BB3" s="78" t="s">
        <v>11</v>
      </c>
      <c r="BC3" s="78" t="s">
        <v>11</v>
      </c>
      <c r="BD3" s="78" t="s">
        <v>11</v>
      </c>
      <c r="BE3" s="78" t="s">
        <v>11</v>
      </c>
      <c r="BF3" s="78" t="s">
        <v>11</v>
      </c>
      <c r="BG3" s="78" t="s">
        <v>11</v>
      </c>
      <c r="BH3" s="78" t="s">
        <v>11</v>
      </c>
      <c r="BI3" s="78" t="s">
        <v>12</v>
      </c>
      <c r="BJ3" s="78" t="s">
        <v>12</v>
      </c>
      <c r="BK3" s="78" t="s">
        <v>12</v>
      </c>
      <c r="BL3" s="78" t="s">
        <v>12</v>
      </c>
      <c r="BM3" s="78" t="s">
        <v>12</v>
      </c>
      <c r="BN3" s="78" t="s">
        <v>12</v>
      </c>
      <c r="BO3" s="78" t="s">
        <v>12</v>
      </c>
      <c r="BP3" s="78" t="s">
        <v>12</v>
      </c>
      <c r="BQ3" s="78" t="s">
        <v>12</v>
      </c>
      <c r="BR3" s="78" t="s">
        <v>12</v>
      </c>
      <c r="BS3" s="78" t="s">
        <v>12</v>
      </c>
      <c r="BT3" s="78" t="s">
        <v>12</v>
      </c>
    </row>
    <row r="4" spans="2:72" s="6" customFormat="1" ht="15" thickBot="1" x14ac:dyDescent="0.35">
      <c r="B4" s="83" t="s">
        <v>13</v>
      </c>
      <c r="M4" s="79" t="s">
        <v>14</v>
      </c>
      <c r="N4" s="79" t="s">
        <v>15</v>
      </c>
      <c r="O4" s="79" t="s">
        <v>16</v>
      </c>
      <c r="P4" s="79" t="s">
        <v>17</v>
      </c>
      <c r="Q4" s="79" t="s">
        <v>18</v>
      </c>
      <c r="R4" s="79" t="s">
        <v>19</v>
      </c>
      <c r="S4" s="79" t="s">
        <v>20</v>
      </c>
      <c r="T4" s="79" t="s">
        <v>21</v>
      </c>
      <c r="U4" s="79" t="s">
        <v>22</v>
      </c>
      <c r="V4" s="79" t="s">
        <v>23</v>
      </c>
      <c r="W4" s="79" t="s">
        <v>24</v>
      </c>
      <c r="X4" s="79" t="s">
        <v>25</v>
      </c>
      <c r="Y4" s="79" t="s">
        <v>14</v>
      </c>
      <c r="Z4" s="79" t="s">
        <v>15</v>
      </c>
      <c r="AA4" s="79" t="s">
        <v>16</v>
      </c>
      <c r="AB4" s="79" t="s">
        <v>17</v>
      </c>
      <c r="AC4" s="79" t="s">
        <v>18</v>
      </c>
      <c r="AD4" s="79" t="s">
        <v>19</v>
      </c>
      <c r="AE4" s="79" t="s">
        <v>20</v>
      </c>
      <c r="AF4" s="79" t="s">
        <v>21</v>
      </c>
      <c r="AG4" s="79" t="s">
        <v>22</v>
      </c>
      <c r="AH4" s="79" t="s">
        <v>23</v>
      </c>
      <c r="AI4" s="79" t="s">
        <v>24</v>
      </c>
      <c r="AJ4" s="79" t="s">
        <v>25</v>
      </c>
      <c r="AK4" s="79" t="s">
        <v>14</v>
      </c>
      <c r="AL4" s="79" t="s">
        <v>15</v>
      </c>
      <c r="AM4" s="79" t="s">
        <v>16</v>
      </c>
      <c r="AN4" s="79" t="s">
        <v>17</v>
      </c>
      <c r="AO4" s="79" t="s">
        <v>18</v>
      </c>
      <c r="AP4" s="79" t="s">
        <v>19</v>
      </c>
      <c r="AQ4" s="79" t="s">
        <v>20</v>
      </c>
      <c r="AR4" s="79" t="s">
        <v>21</v>
      </c>
      <c r="AS4" s="79" t="s">
        <v>22</v>
      </c>
      <c r="AT4" s="79" t="s">
        <v>23</v>
      </c>
      <c r="AU4" s="79" t="s">
        <v>24</v>
      </c>
      <c r="AV4" s="79" t="s">
        <v>25</v>
      </c>
      <c r="AW4" s="79" t="s">
        <v>14</v>
      </c>
      <c r="AX4" s="79" t="s">
        <v>15</v>
      </c>
      <c r="AY4" s="79" t="s">
        <v>16</v>
      </c>
      <c r="AZ4" s="79" t="s">
        <v>17</v>
      </c>
      <c r="BA4" s="79" t="s">
        <v>18</v>
      </c>
      <c r="BB4" s="79" t="s">
        <v>19</v>
      </c>
      <c r="BC4" s="79" t="s">
        <v>20</v>
      </c>
      <c r="BD4" s="79" t="s">
        <v>21</v>
      </c>
      <c r="BE4" s="79" t="s">
        <v>22</v>
      </c>
      <c r="BF4" s="79" t="s">
        <v>23</v>
      </c>
      <c r="BG4" s="79" t="s">
        <v>24</v>
      </c>
      <c r="BH4" s="79" t="s">
        <v>25</v>
      </c>
      <c r="BI4" s="79" t="s">
        <v>14</v>
      </c>
      <c r="BJ4" s="79" t="s">
        <v>15</v>
      </c>
      <c r="BK4" s="79" t="s">
        <v>16</v>
      </c>
      <c r="BL4" s="79" t="s">
        <v>17</v>
      </c>
      <c r="BM4" s="79" t="s">
        <v>18</v>
      </c>
      <c r="BN4" s="79" t="s">
        <v>19</v>
      </c>
      <c r="BO4" s="79" t="s">
        <v>20</v>
      </c>
      <c r="BP4" s="79" t="s">
        <v>21</v>
      </c>
      <c r="BQ4" s="79" t="s">
        <v>22</v>
      </c>
      <c r="BR4" s="79" t="s">
        <v>23</v>
      </c>
      <c r="BS4" s="79" t="s">
        <v>24</v>
      </c>
      <c r="BT4" s="79" t="s">
        <v>25</v>
      </c>
    </row>
    <row r="5" spans="2:72" x14ac:dyDescent="0.3">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row>
    <row r="6" spans="2:72" x14ac:dyDescent="0.3">
      <c r="I6" t="s">
        <v>26</v>
      </c>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row>
    <row r="7" spans="2:72" x14ac:dyDescent="0.3">
      <c r="C7" t="s">
        <v>27</v>
      </c>
      <c r="D7">
        <v>1</v>
      </c>
      <c r="E7">
        <v>2</v>
      </c>
      <c r="F7">
        <v>3</v>
      </c>
      <c r="G7">
        <v>4</v>
      </c>
      <c r="H7">
        <v>5</v>
      </c>
      <c r="J7" s="16" t="s">
        <v>28</v>
      </c>
      <c r="L7" t="s">
        <v>29</v>
      </c>
      <c r="M7">
        <f>SUM(M12:M18)</f>
        <v>0</v>
      </c>
      <c r="N7">
        <f t="shared" ref="N7:BT7" si="0">SUM(N12:N18)</f>
        <v>0</v>
      </c>
      <c r="O7">
        <f t="shared" si="0"/>
        <v>0</v>
      </c>
      <c r="P7">
        <f t="shared" si="0"/>
        <v>0</v>
      </c>
      <c r="Q7">
        <f t="shared" si="0"/>
        <v>0</v>
      </c>
      <c r="R7">
        <f t="shared" si="0"/>
        <v>0</v>
      </c>
      <c r="S7">
        <f t="shared" si="0"/>
        <v>6</v>
      </c>
      <c r="T7">
        <f t="shared" si="0"/>
        <v>6</v>
      </c>
      <c r="U7">
        <f t="shared" si="0"/>
        <v>6</v>
      </c>
      <c r="V7">
        <f t="shared" si="0"/>
        <v>6</v>
      </c>
      <c r="W7">
        <f t="shared" si="0"/>
        <v>7</v>
      </c>
      <c r="X7">
        <f t="shared" si="0"/>
        <v>7</v>
      </c>
      <c r="Y7">
        <f t="shared" si="0"/>
        <v>16</v>
      </c>
      <c r="Z7">
        <f t="shared" si="0"/>
        <v>17</v>
      </c>
      <c r="AA7">
        <f t="shared" si="0"/>
        <v>19</v>
      </c>
      <c r="AB7">
        <f t="shared" si="0"/>
        <v>20</v>
      </c>
      <c r="AC7">
        <f t="shared" si="0"/>
        <v>20</v>
      </c>
      <c r="AD7">
        <f t="shared" si="0"/>
        <v>20</v>
      </c>
      <c r="AE7">
        <f t="shared" si="0"/>
        <v>22</v>
      </c>
      <c r="AF7">
        <f t="shared" si="0"/>
        <v>23</v>
      </c>
      <c r="AG7">
        <f t="shared" si="0"/>
        <v>25</v>
      </c>
      <c r="AH7">
        <f t="shared" si="0"/>
        <v>25</v>
      </c>
      <c r="AI7">
        <f t="shared" si="0"/>
        <v>27</v>
      </c>
      <c r="AJ7">
        <f t="shared" si="0"/>
        <v>28</v>
      </c>
      <c r="AK7">
        <f t="shared" si="0"/>
        <v>39</v>
      </c>
      <c r="AL7">
        <f t="shared" si="0"/>
        <v>40</v>
      </c>
      <c r="AM7">
        <f t="shared" si="0"/>
        <v>41</v>
      </c>
      <c r="AN7">
        <f t="shared" si="0"/>
        <v>44</v>
      </c>
      <c r="AO7">
        <f t="shared" si="0"/>
        <v>47</v>
      </c>
      <c r="AP7">
        <f t="shared" si="0"/>
        <v>49</v>
      </c>
      <c r="AQ7">
        <f t="shared" si="0"/>
        <v>51</v>
      </c>
      <c r="AR7">
        <f t="shared" si="0"/>
        <v>53</v>
      </c>
      <c r="AS7">
        <f t="shared" si="0"/>
        <v>56</v>
      </c>
      <c r="AT7">
        <f t="shared" si="0"/>
        <v>60</v>
      </c>
      <c r="AU7">
        <f t="shared" si="0"/>
        <v>61</v>
      </c>
      <c r="AV7">
        <f t="shared" si="0"/>
        <v>67</v>
      </c>
      <c r="AW7">
        <f t="shared" si="0"/>
        <v>84</v>
      </c>
      <c r="AX7">
        <f t="shared" si="0"/>
        <v>89</v>
      </c>
      <c r="AY7">
        <f t="shared" si="0"/>
        <v>95</v>
      </c>
      <c r="AZ7">
        <f t="shared" si="0"/>
        <v>96</v>
      </c>
      <c r="BA7">
        <f t="shared" si="0"/>
        <v>101</v>
      </c>
      <c r="BB7">
        <f t="shared" si="0"/>
        <v>105</v>
      </c>
      <c r="BC7">
        <f t="shared" si="0"/>
        <v>115</v>
      </c>
      <c r="BD7">
        <f t="shared" si="0"/>
        <v>120</v>
      </c>
      <c r="BE7">
        <f t="shared" si="0"/>
        <v>124</v>
      </c>
      <c r="BF7">
        <f t="shared" si="0"/>
        <v>131</v>
      </c>
      <c r="BG7">
        <f t="shared" si="0"/>
        <v>136</v>
      </c>
      <c r="BH7">
        <f t="shared" si="0"/>
        <v>144</v>
      </c>
      <c r="BI7">
        <f t="shared" si="0"/>
        <v>166</v>
      </c>
      <c r="BJ7">
        <f t="shared" si="0"/>
        <v>176</v>
      </c>
      <c r="BK7">
        <f t="shared" si="0"/>
        <v>184</v>
      </c>
      <c r="BL7">
        <f t="shared" si="0"/>
        <v>194</v>
      </c>
      <c r="BM7">
        <f t="shared" si="0"/>
        <v>204</v>
      </c>
      <c r="BN7">
        <f t="shared" si="0"/>
        <v>213</v>
      </c>
      <c r="BO7">
        <f t="shared" si="0"/>
        <v>224</v>
      </c>
      <c r="BP7">
        <f t="shared" si="0"/>
        <v>236</v>
      </c>
      <c r="BQ7">
        <f t="shared" si="0"/>
        <v>246</v>
      </c>
      <c r="BR7">
        <f t="shared" si="0"/>
        <v>260</v>
      </c>
      <c r="BS7">
        <f t="shared" si="0"/>
        <v>273</v>
      </c>
      <c r="BT7">
        <f t="shared" si="0"/>
        <v>287</v>
      </c>
    </row>
    <row r="8" spans="2:72" x14ac:dyDescent="0.3">
      <c r="B8" s="16" t="s">
        <v>30</v>
      </c>
      <c r="L8" t="s">
        <v>31</v>
      </c>
      <c r="M8" s="70">
        <f t="shared" ref="M8:AR8" si="1">_xlfn.XLOOKUP(_xlfn.NUMBERVALUE(RIGHT(M$3,1)),$D$7:$H$7,$D$9:$H$9)*M7</f>
        <v>0</v>
      </c>
      <c r="N8" s="70">
        <f t="shared" si="1"/>
        <v>0</v>
      </c>
      <c r="O8" s="70">
        <f t="shared" si="1"/>
        <v>0</v>
      </c>
      <c r="P8" s="70">
        <f t="shared" si="1"/>
        <v>0</v>
      </c>
      <c r="Q8" s="70">
        <f t="shared" si="1"/>
        <v>0</v>
      </c>
      <c r="R8" s="70">
        <f t="shared" si="1"/>
        <v>0</v>
      </c>
      <c r="S8" s="70">
        <f t="shared" si="1"/>
        <v>3000</v>
      </c>
      <c r="T8" s="70">
        <f t="shared" si="1"/>
        <v>3000</v>
      </c>
      <c r="U8" s="70">
        <f t="shared" si="1"/>
        <v>3000</v>
      </c>
      <c r="V8" s="70">
        <f t="shared" si="1"/>
        <v>3000</v>
      </c>
      <c r="W8" s="70">
        <f t="shared" si="1"/>
        <v>3500</v>
      </c>
      <c r="X8" s="70">
        <f t="shared" si="1"/>
        <v>3500</v>
      </c>
      <c r="Y8" s="70">
        <f t="shared" si="1"/>
        <v>40000</v>
      </c>
      <c r="Z8" s="70">
        <f t="shared" si="1"/>
        <v>42500</v>
      </c>
      <c r="AA8" s="70">
        <f t="shared" si="1"/>
        <v>47500</v>
      </c>
      <c r="AB8" s="70">
        <f t="shared" si="1"/>
        <v>50000</v>
      </c>
      <c r="AC8" s="70">
        <f t="shared" si="1"/>
        <v>50000</v>
      </c>
      <c r="AD8" s="70">
        <f t="shared" si="1"/>
        <v>50000</v>
      </c>
      <c r="AE8" s="70">
        <f t="shared" si="1"/>
        <v>55000</v>
      </c>
      <c r="AF8" s="70">
        <f t="shared" si="1"/>
        <v>57500</v>
      </c>
      <c r="AG8" s="70">
        <f t="shared" si="1"/>
        <v>62500</v>
      </c>
      <c r="AH8" s="70">
        <f t="shared" si="1"/>
        <v>62500</v>
      </c>
      <c r="AI8" s="70">
        <f t="shared" si="1"/>
        <v>67500</v>
      </c>
      <c r="AJ8" s="70">
        <f t="shared" si="1"/>
        <v>70000</v>
      </c>
      <c r="AK8" s="70">
        <f t="shared" si="1"/>
        <v>136500</v>
      </c>
      <c r="AL8" s="70">
        <f t="shared" si="1"/>
        <v>140000</v>
      </c>
      <c r="AM8" s="70">
        <f t="shared" si="1"/>
        <v>143500</v>
      </c>
      <c r="AN8" s="70">
        <f t="shared" si="1"/>
        <v>154000</v>
      </c>
      <c r="AO8" s="70">
        <f t="shared" si="1"/>
        <v>164500</v>
      </c>
      <c r="AP8" s="70">
        <f t="shared" si="1"/>
        <v>171500</v>
      </c>
      <c r="AQ8" s="70">
        <f t="shared" si="1"/>
        <v>178500</v>
      </c>
      <c r="AR8" s="70">
        <f t="shared" si="1"/>
        <v>185500</v>
      </c>
      <c r="AS8" s="70">
        <f t="shared" ref="AS8:BT8" si="2">_xlfn.XLOOKUP(_xlfn.NUMBERVALUE(RIGHT(AS$3,1)),$D$7:$H$7,$D$9:$H$9)*AS7</f>
        <v>196000</v>
      </c>
      <c r="AT8" s="70">
        <f t="shared" si="2"/>
        <v>210000</v>
      </c>
      <c r="AU8" s="70">
        <f t="shared" si="2"/>
        <v>213500</v>
      </c>
      <c r="AV8" s="70">
        <f t="shared" si="2"/>
        <v>234500</v>
      </c>
      <c r="AW8" s="70">
        <f t="shared" si="2"/>
        <v>336000</v>
      </c>
      <c r="AX8" s="70">
        <f t="shared" si="2"/>
        <v>356000</v>
      </c>
      <c r="AY8" s="70">
        <f t="shared" si="2"/>
        <v>380000</v>
      </c>
      <c r="AZ8" s="70">
        <f t="shared" si="2"/>
        <v>384000</v>
      </c>
      <c r="BA8" s="70">
        <f t="shared" si="2"/>
        <v>404000</v>
      </c>
      <c r="BB8" s="70">
        <f t="shared" si="2"/>
        <v>420000</v>
      </c>
      <c r="BC8" s="70">
        <f t="shared" si="2"/>
        <v>460000</v>
      </c>
      <c r="BD8" s="70">
        <f t="shared" si="2"/>
        <v>480000</v>
      </c>
      <c r="BE8" s="70">
        <f t="shared" si="2"/>
        <v>496000</v>
      </c>
      <c r="BF8" s="70">
        <f t="shared" si="2"/>
        <v>524000</v>
      </c>
      <c r="BG8" s="70">
        <f t="shared" si="2"/>
        <v>544000</v>
      </c>
      <c r="BH8" s="70">
        <f t="shared" si="2"/>
        <v>576000</v>
      </c>
      <c r="BI8" s="70">
        <f t="shared" si="2"/>
        <v>747000</v>
      </c>
      <c r="BJ8" s="70">
        <f t="shared" si="2"/>
        <v>792000</v>
      </c>
      <c r="BK8" s="70">
        <f t="shared" si="2"/>
        <v>828000</v>
      </c>
      <c r="BL8" s="70">
        <f t="shared" si="2"/>
        <v>873000</v>
      </c>
      <c r="BM8" s="70">
        <f t="shared" si="2"/>
        <v>918000</v>
      </c>
      <c r="BN8" s="70">
        <f t="shared" si="2"/>
        <v>958500</v>
      </c>
      <c r="BO8" s="70">
        <f t="shared" si="2"/>
        <v>1008000</v>
      </c>
      <c r="BP8" s="70">
        <f t="shared" si="2"/>
        <v>1062000</v>
      </c>
      <c r="BQ8" s="70">
        <f t="shared" si="2"/>
        <v>1107000</v>
      </c>
      <c r="BR8" s="70">
        <f t="shared" si="2"/>
        <v>1170000</v>
      </c>
      <c r="BS8" s="70">
        <f t="shared" si="2"/>
        <v>1228500</v>
      </c>
      <c r="BT8" s="70">
        <f t="shared" si="2"/>
        <v>1291500</v>
      </c>
    </row>
    <row r="9" spans="2:72" x14ac:dyDescent="0.3">
      <c r="B9" s="12">
        <v>1.5</v>
      </c>
      <c r="C9" t="s">
        <v>32</v>
      </c>
      <c r="D9" s="108">
        <v>500</v>
      </c>
      <c r="E9" s="108">
        <v>2500</v>
      </c>
      <c r="F9" s="108">
        <v>3500</v>
      </c>
      <c r="G9" s="108">
        <v>4000</v>
      </c>
      <c r="H9" s="108">
        <v>4500</v>
      </c>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row>
    <row r="10" spans="2:72" x14ac:dyDescent="0.3">
      <c r="B10" s="16" t="s">
        <v>33</v>
      </c>
      <c r="D10" s="7"/>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2:72" x14ac:dyDescent="0.3">
      <c r="C11" t="s">
        <v>34</v>
      </c>
      <c r="D11" s="33">
        <v>100</v>
      </c>
      <c r="E11" s="33">
        <v>120</v>
      </c>
      <c r="F11" s="33">
        <v>140</v>
      </c>
      <c r="G11" s="33">
        <v>160</v>
      </c>
      <c r="H11" s="33">
        <v>180</v>
      </c>
      <c r="J11" s="16" t="s">
        <v>296</v>
      </c>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2:72" x14ac:dyDescent="0.3">
      <c r="C12" t="s">
        <v>35</v>
      </c>
      <c r="D12" s="33">
        <v>199</v>
      </c>
      <c r="E12" s="33">
        <v>230</v>
      </c>
      <c r="F12" s="33">
        <v>260</v>
      </c>
      <c r="G12" s="33">
        <v>290</v>
      </c>
      <c r="H12" s="33">
        <v>320</v>
      </c>
      <c r="K12" t="s">
        <v>36</v>
      </c>
      <c r="L12" t="s">
        <v>34</v>
      </c>
      <c r="M12" s="11">
        <f>ROUND(M21,0)</f>
        <v>0</v>
      </c>
      <c r="N12" s="11">
        <f t="shared" ref="N12:BT17" si="3">ROUND(N21,0)</f>
        <v>0</v>
      </c>
      <c r="O12" s="11">
        <f t="shared" si="3"/>
        <v>0</v>
      </c>
      <c r="P12" s="11">
        <f t="shared" si="3"/>
        <v>0</v>
      </c>
      <c r="Q12" s="11">
        <f t="shared" si="3"/>
        <v>0</v>
      </c>
      <c r="R12" s="11">
        <f t="shared" si="3"/>
        <v>0</v>
      </c>
      <c r="S12" s="11">
        <f t="shared" si="3"/>
        <v>4</v>
      </c>
      <c r="T12" s="11">
        <f t="shared" si="3"/>
        <v>4</v>
      </c>
      <c r="U12" s="11">
        <f t="shared" si="3"/>
        <v>4</v>
      </c>
      <c r="V12" s="11">
        <f t="shared" si="3"/>
        <v>4</v>
      </c>
      <c r="W12" s="11">
        <f t="shared" si="3"/>
        <v>5</v>
      </c>
      <c r="X12" s="11">
        <f t="shared" si="3"/>
        <v>5</v>
      </c>
      <c r="Y12" s="11">
        <f t="shared" si="3"/>
        <v>7</v>
      </c>
      <c r="Z12" s="11">
        <f t="shared" si="3"/>
        <v>7</v>
      </c>
      <c r="AA12" s="11">
        <f t="shared" si="3"/>
        <v>7</v>
      </c>
      <c r="AB12" s="11">
        <f t="shared" si="3"/>
        <v>8</v>
      </c>
      <c r="AC12" s="11">
        <f t="shared" si="3"/>
        <v>8</v>
      </c>
      <c r="AD12" s="11">
        <f t="shared" si="3"/>
        <v>8</v>
      </c>
      <c r="AE12" s="11">
        <f t="shared" si="3"/>
        <v>9</v>
      </c>
      <c r="AF12" s="11">
        <f t="shared" si="3"/>
        <v>9</v>
      </c>
      <c r="AG12" s="11">
        <f t="shared" si="3"/>
        <v>10</v>
      </c>
      <c r="AH12" s="11">
        <f t="shared" si="3"/>
        <v>10</v>
      </c>
      <c r="AI12" s="11">
        <f t="shared" si="3"/>
        <v>11</v>
      </c>
      <c r="AJ12" s="11">
        <f t="shared" si="3"/>
        <v>11</v>
      </c>
      <c r="AK12" s="11">
        <f t="shared" si="3"/>
        <v>8</v>
      </c>
      <c r="AL12" s="11">
        <f t="shared" si="3"/>
        <v>8</v>
      </c>
      <c r="AM12" s="11">
        <f t="shared" si="3"/>
        <v>8</v>
      </c>
      <c r="AN12" s="11">
        <f t="shared" si="3"/>
        <v>9</v>
      </c>
      <c r="AO12" s="11">
        <f t="shared" si="3"/>
        <v>9</v>
      </c>
      <c r="AP12" s="11">
        <f t="shared" si="3"/>
        <v>10</v>
      </c>
      <c r="AQ12" s="11">
        <f t="shared" si="3"/>
        <v>10</v>
      </c>
      <c r="AR12" s="11">
        <f t="shared" si="3"/>
        <v>11</v>
      </c>
      <c r="AS12" s="11">
        <f t="shared" si="3"/>
        <v>11</v>
      </c>
      <c r="AT12" s="11">
        <f t="shared" si="3"/>
        <v>12</v>
      </c>
      <c r="AU12" s="11">
        <f t="shared" si="3"/>
        <v>12</v>
      </c>
      <c r="AV12" s="11">
        <f t="shared" si="3"/>
        <v>13</v>
      </c>
      <c r="AW12" s="11">
        <f t="shared" si="3"/>
        <v>4</v>
      </c>
      <c r="AX12" s="11">
        <f t="shared" si="3"/>
        <v>4</v>
      </c>
      <c r="AY12" s="11">
        <f t="shared" si="3"/>
        <v>5</v>
      </c>
      <c r="AZ12" s="11">
        <f t="shared" si="3"/>
        <v>5</v>
      </c>
      <c r="BA12" s="11">
        <f t="shared" si="3"/>
        <v>5</v>
      </c>
      <c r="BB12" s="11">
        <f t="shared" si="3"/>
        <v>5</v>
      </c>
      <c r="BC12" s="11">
        <f t="shared" si="3"/>
        <v>6</v>
      </c>
      <c r="BD12" s="11">
        <f t="shared" si="3"/>
        <v>6</v>
      </c>
      <c r="BE12" s="11">
        <f t="shared" si="3"/>
        <v>6</v>
      </c>
      <c r="BF12" s="11">
        <f t="shared" si="3"/>
        <v>7</v>
      </c>
      <c r="BG12" s="11">
        <f t="shared" si="3"/>
        <v>7</v>
      </c>
      <c r="BH12" s="11">
        <f t="shared" si="3"/>
        <v>7</v>
      </c>
      <c r="BI12" s="11">
        <f t="shared" si="3"/>
        <v>5</v>
      </c>
      <c r="BJ12" s="11">
        <f t="shared" si="3"/>
        <v>5</v>
      </c>
      <c r="BK12" s="11">
        <f t="shared" si="3"/>
        <v>6</v>
      </c>
      <c r="BL12" s="11">
        <f t="shared" si="3"/>
        <v>6</v>
      </c>
      <c r="BM12" s="11">
        <f t="shared" si="3"/>
        <v>6</v>
      </c>
      <c r="BN12" s="11">
        <f t="shared" si="3"/>
        <v>6</v>
      </c>
      <c r="BO12" s="11">
        <f t="shared" si="3"/>
        <v>7</v>
      </c>
      <c r="BP12" s="11">
        <f t="shared" si="3"/>
        <v>7</v>
      </c>
      <c r="BQ12" s="11">
        <f t="shared" si="3"/>
        <v>7</v>
      </c>
      <c r="BR12" s="11">
        <f t="shared" si="3"/>
        <v>8</v>
      </c>
      <c r="BS12" s="11">
        <f t="shared" si="3"/>
        <v>8</v>
      </c>
      <c r="BT12" s="11">
        <f t="shared" si="3"/>
        <v>9</v>
      </c>
    </row>
    <row r="13" spans="2:72" x14ac:dyDescent="0.3">
      <c r="C13" t="s">
        <v>37</v>
      </c>
      <c r="D13" s="33">
        <v>500</v>
      </c>
      <c r="E13" s="33">
        <v>550</v>
      </c>
      <c r="F13" s="33">
        <v>600</v>
      </c>
      <c r="G13" s="33">
        <v>650</v>
      </c>
      <c r="H13" s="33">
        <v>700</v>
      </c>
      <c r="L13" t="s">
        <v>35</v>
      </c>
      <c r="M13" s="11">
        <f t="shared" ref="M13:AB18" si="4">ROUND(M22,0)</f>
        <v>0</v>
      </c>
      <c r="N13" s="11">
        <f t="shared" si="4"/>
        <v>0</v>
      </c>
      <c r="O13" s="11">
        <f t="shared" si="4"/>
        <v>0</v>
      </c>
      <c r="P13" s="11">
        <f t="shared" si="4"/>
        <v>0</v>
      </c>
      <c r="Q13" s="11">
        <f t="shared" si="4"/>
        <v>0</v>
      </c>
      <c r="R13" s="11">
        <f t="shared" si="4"/>
        <v>0</v>
      </c>
      <c r="S13" s="11">
        <f t="shared" si="4"/>
        <v>0</v>
      </c>
      <c r="T13" s="11">
        <f t="shared" si="4"/>
        <v>0</v>
      </c>
      <c r="U13" s="11">
        <f t="shared" si="4"/>
        <v>0</v>
      </c>
      <c r="V13" s="11">
        <f t="shared" si="4"/>
        <v>0</v>
      </c>
      <c r="W13" s="11">
        <f t="shared" si="4"/>
        <v>0</v>
      </c>
      <c r="X13" s="11">
        <f t="shared" si="4"/>
        <v>0</v>
      </c>
      <c r="Y13" s="11">
        <f t="shared" si="4"/>
        <v>3</v>
      </c>
      <c r="Z13" s="11">
        <f t="shared" si="4"/>
        <v>3</v>
      </c>
      <c r="AA13" s="11">
        <f t="shared" si="4"/>
        <v>4</v>
      </c>
      <c r="AB13" s="11">
        <f t="shared" si="4"/>
        <v>4</v>
      </c>
      <c r="AC13" s="11">
        <f t="shared" si="3"/>
        <v>4</v>
      </c>
      <c r="AD13" s="11">
        <f t="shared" si="3"/>
        <v>4</v>
      </c>
      <c r="AE13" s="11">
        <f t="shared" si="3"/>
        <v>4</v>
      </c>
      <c r="AF13" s="11">
        <f t="shared" si="3"/>
        <v>5</v>
      </c>
      <c r="AG13" s="11">
        <f t="shared" si="3"/>
        <v>5</v>
      </c>
      <c r="AH13" s="11">
        <f t="shared" si="3"/>
        <v>5</v>
      </c>
      <c r="AI13" s="11">
        <f t="shared" si="3"/>
        <v>5</v>
      </c>
      <c r="AJ13" s="11">
        <f t="shared" si="3"/>
        <v>6</v>
      </c>
      <c r="AK13" s="11">
        <f t="shared" si="3"/>
        <v>11</v>
      </c>
      <c r="AL13" s="11">
        <f t="shared" si="3"/>
        <v>12</v>
      </c>
      <c r="AM13" s="11">
        <f t="shared" si="3"/>
        <v>13</v>
      </c>
      <c r="AN13" s="11">
        <f t="shared" si="3"/>
        <v>13</v>
      </c>
      <c r="AO13" s="11">
        <f t="shared" si="3"/>
        <v>14</v>
      </c>
      <c r="AP13" s="11">
        <f t="shared" si="3"/>
        <v>15</v>
      </c>
      <c r="AQ13" s="11">
        <f t="shared" si="3"/>
        <v>15</v>
      </c>
      <c r="AR13" s="11">
        <f t="shared" si="3"/>
        <v>16</v>
      </c>
      <c r="AS13" s="11">
        <f t="shared" si="3"/>
        <v>17</v>
      </c>
      <c r="AT13" s="11">
        <f t="shared" si="3"/>
        <v>18</v>
      </c>
      <c r="AU13" s="11">
        <f t="shared" si="3"/>
        <v>19</v>
      </c>
      <c r="AV13" s="11">
        <f t="shared" si="3"/>
        <v>20</v>
      </c>
      <c r="AW13" s="11">
        <f t="shared" si="3"/>
        <v>25</v>
      </c>
      <c r="AX13" s="11">
        <f t="shared" si="3"/>
        <v>27</v>
      </c>
      <c r="AY13" s="11">
        <f t="shared" si="3"/>
        <v>28</v>
      </c>
      <c r="AZ13" s="11">
        <f t="shared" si="3"/>
        <v>29</v>
      </c>
      <c r="BA13" s="11">
        <f t="shared" si="3"/>
        <v>31</v>
      </c>
      <c r="BB13" s="11">
        <f t="shared" si="3"/>
        <v>32</v>
      </c>
      <c r="BC13" s="11">
        <f t="shared" si="3"/>
        <v>34</v>
      </c>
      <c r="BD13" s="11">
        <f t="shared" si="3"/>
        <v>36</v>
      </c>
      <c r="BE13" s="11">
        <f t="shared" si="3"/>
        <v>37</v>
      </c>
      <c r="BF13" s="11">
        <f t="shared" si="3"/>
        <v>39</v>
      </c>
      <c r="BG13" s="11">
        <f t="shared" si="3"/>
        <v>41</v>
      </c>
      <c r="BH13" s="11">
        <f t="shared" si="3"/>
        <v>43</v>
      </c>
      <c r="BI13" s="11">
        <f t="shared" si="3"/>
        <v>28</v>
      </c>
      <c r="BJ13" s="11">
        <f t="shared" si="3"/>
        <v>30</v>
      </c>
      <c r="BK13" s="11">
        <f t="shared" si="3"/>
        <v>31</v>
      </c>
      <c r="BL13" s="11">
        <f t="shared" si="3"/>
        <v>33</v>
      </c>
      <c r="BM13" s="11">
        <f t="shared" si="3"/>
        <v>35</v>
      </c>
      <c r="BN13" s="11">
        <f t="shared" si="3"/>
        <v>36</v>
      </c>
      <c r="BO13" s="11">
        <f t="shared" si="3"/>
        <v>38</v>
      </c>
      <c r="BP13" s="11">
        <f t="shared" si="3"/>
        <v>40</v>
      </c>
      <c r="BQ13" s="11">
        <f t="shared" si="3"/>
        <v>42</v>
      </c>
      <c r="BR13" s="11">
        <f t="shared" si="3"/>
        <v>44</v>
      </c>
      <c r="BS13" s="11">
        <f t="shared" si="3"/>
        <v>46</v>
      </c>
      <c r="BT13" s="11">
        <f t="shared" si="3"/>
        <v>49</v>
      </c>
    </row>
    <row r="14" spans="2:72" x14ac:dyDescent="0.3">
      <c r="B14" s="16" t="s">
        <v>38</v>
      </c>
      <c r="D14" s="95"/>
      <c r="E14" s="95"/>
      <c r="F14" s="95"/>
      <c r="G14" s="95"/>
      <c r="H14" s="95"/>
      <c r="L14" t="s">
        <v>37</v>
      </c>
      <c r="M14" s="11">
        <f t="shared" si="4"/>
        <v>0</v>
      </c>
      <c r="N14" s="11">
        <f t="shared" si="3"/>
        <v>0</v>
      </c>
      <c r="O14" s="11">
        <f t="shared" si="3"/>
        <v>0</v>
      </c>
      <c r="P14" s="11">
        <f t="shared" si="3"/>
        <v>0</v>
      </c>
      <c r="Q14" s="11">
        <f t="shared" si="3"/>
        <v>0</v>
      </c>
      <c r="R14" s="11">
        <f t="shared" si="3"/>
        <v>0</v>
      </c>
      <c r="S14" s="11">
        <f t="shared" si="3"/>
        <v>0</v>
      </c>
      <c r="T14" s="11">
        <f t="shared" si="3"/>
        <v>0</v>
      </c>
      <c r="U14" s="11">
        <f t="shared" si="3"/>
        <v>0</v>
      </c>
      <c r="V14" s="11">
        <f t="shared" si="3"/>
        <v>0</v>
      </c>
      <c r="W14" s="11">
        <f t="shared" si="3"/>
        <v>0</v>
      </c>
      <c r="X14" s="11">
        <f t="shared" si="3"/>
        <v>0</v>
      </c>
      <c r="Y14" s="11">
        <f t="shared" si="3"/>
        <v>0</v>
      </c>
      <c r="Z14" s="11">
        <f t="shared" si="3"/>
        <v>0</v>
      </c>
      <c r="AA14" s="11">
        <f t="shared" si="3"/>
        <v>0</v>
      </c>
      <c r="AB14" s="11">
        <f t="shared" si="3"/>
        <v>0</v>
      </c>
      <c r="AC14" s="11">
        <f t="shared" si="3"/>
        <v>0</v>
      </c>
      <c r="AD14" s="11">
        <f t="shared" si="3"/>
        <v>0</v>
      </c>
      <c r="AE14" s="11">
        <f t="shared" si="3"/>
        <v>0</v>
      </c>
      <c r="AF14" s="11">
        <f t="shared" si="3"/>
        <v>0</v>
      </c>
      <c r="AG14" s="11">
        <f t="shared" si="3"/>
        <v>0</v>
      </c>
      <c r="AH14" s="11">
        <f t="shared" si="3"/>
        <v>0</v>
      </c>
      <c r="AI14" s="11">
        <f t="shared" si="3"/>
        <v>0</v>
      </c>
      <c r="AJ14" s="11">
        <f t="shared" si="3"/>
        <v>0</v>
      </c>
      <c r="AK14" s="11">
        <f t="shared" si="3"/>
        <v>4</v>
      </c>
      <c r="AL14" s="11">
        <f t="shared" si="3"/>
        <v>4</v>
      </c>
      <c r="AM14" s="11">
        <f t="shared" si="3"/>
        <v>4</v>
      </c>
      <c r="AN14" s="11">
        <f t="shared" si="3"/>
        <v>4</v>
      </c>
      <c r="AO14" s="11">
        <f t="shared" si="3"/>
        <v>5</v>
      </c>
      <c r="AP14" s="11">
        <f t="shared" si="3"/>
        <v>5</v>
      </c>
      <c r="AQ14" s="11">
        <f t="shared" si="3"/>
        <v>5</v>
      </c>
      <c r="AR14" s="11">
        <f t="shared" si="3"/>
        <v>5</v>
      </c>
      <c r="AS14" s="11">
        <f t="shared" si="3"/>
        <v>6</v>
      </c>
      <c r="AT14" s="11">
        <f t="shared" si="3"/>
        <v>6</v>
      </c>
      <c r="AU14" s="11">
        <f t="shared" si="3"/>
        <v>6</v>
      </c>
      <c r="AV14" s="11">
        <f t="shared" si="3"/>
        <v>7</v>
      </c>
      <c r="AW14" s="11">
        <f t="shared" si="3"/>
        <v>17</v>
      </c>
      <c r="AX14" s="11">
        <f t="shared" si="3"/>
        <v>18</v>
      </c>
      <c r="AY14" s="11">
        <f t="shared" si="3"/>
        <v>19</v>
      </c>
      <c r="AZ14" s="11">
        <f t="shared" si="3"/>
        <v>19</v>
      </c>
      <c r="BA14" s="11">
        <f t="shared" si="3"/>
        <v>20</v>
      </c>
      <c r="BB14" s="11">
        <f t="shared" si="3"/>
        <v>21</v>
      </c>
      <c r="BC14" s="11">
        <f t="shared" si="3"/>
        <v>23</v>
      </c>
      <c r="BD14" s="11">
        <f t="shared" si="3"/>
        <v>24</v>
      </c>
      <c r="BE14" s="11">
        <f t="shared" si="3"/>
        <v>25</v>
      </c>
      <c r="BF14" s="11">
        <f t="shared" si="3"/>
        <v>26</v>
      </c>
      <c r="BG14" s="11">
        <f t="shared" si="3"/>
        <v>27</v>
      </c>
      <c r="BH14" s="11">
        <f t="shared" si="3"/>
        <v>29</v>
      </c>
      <c r="BI14" s="11">
        <f t="shared" si="3"/>
        <v>50</v>
      </c>
      <c r="BJ14" s="11">
        <f t="shared" si="3"/>
        <v>53</v>
      </c>
      <c r="BK14" s="11">
        <f t="shared" si="3"/>
        <v>55</v>
      </c>
      <c r="BL14" s="11">
        <f t="shared" si="3"/>
        <v>58</v>
      </c>
      <c r="BM14" s="11">
        <f t="shared" si="3"/>
        <v>61</v>
      </c>
      <c r="BN14" s="11">
        <f t="shared" si="3"/>
        <v>64</v>
      </c>
      <c r="BO14" s="11">
        <f t="shared" si="3"/>
        <v>67</v>
      </c>
      <c r="BP14" s="11">
        <f t="shared" si="3"/>
        <v>71</v>
      </c>
      <c r="BQ14" s="11">
        <f t="shared" si="3"/>
        <v>74</v>
      </c>
      <c r="BR14" s="11">
        <f t="shared" si="3"/>
        <v>78</v>
      </c>
      <c r="BS14" s="11">
        <f t="shared" si="3"/>
        <v>82</v>
      </c>
      <c r="BT14" s="11">
        <f t="shared" si="3"/>
        <v>86</v>
      </c>
    </row>
    <row r="15" spans="2:72" x14ac:dyDescent="0.3">
      <c r="B15" s="9">
        <v>0.5</v>
      </c>
      <c r="C15" t="str" cm="1">
        <f t="array" ref="C15:C17">C11:C13</f>
        <v>Small Cap</v>
      </c>
      <c r="D15" s="33">
        <v>250</v>
      </c>
      <c r="E15" s="33">
        <v>300</v>
      </c>
      <c r="F15" s="33">
        <v>350</v>
      </c>
      <c r="G15" s="33">
        <v>400</v>
      </c>
      <c r="H15" s="33">
        <v>450</v>
      </c>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row>
    <row r="16" spans="2:72" x14ac:dyDescent="0.3">
      <c r="C16" t="str">
        <v>Mid Cap</v>
      </c>
      <c r="D16" s="33">
        <v>450</v>
      </c>
      <c r="E16" s="33">
        <v>525</v>
      </c>
      <c r="F16" s="33">
        <v>580</v>
      </c>
      <c r="G16" s="33">
        <v>650</v>
      </c>
      <c r="H16" s="33">
        <v>750</v>
      </c>
      <c r="K16" t="s">
        <v>39</v>
      </c>
      <c r="L16" t="s">
        <v>34</v>
      </c>
      <c r="M16" s="11">
        <f t="shared" si="4"/>
        <v>0</v>
      </c>
      <c r="N16" s="11">
        <f t="shared" si="3"/>
        <v>0</v>
      </c>
      <c r="O16" s="11">
        <f t="shared" si="3"/>
        <v>0</v>
      </c>
      <c r="P16" s="11">
        <f t="shared" si="3"/>
        <v>0</v>
      </c>
      <c r="Q16" s="11">
        <f t="shared" si="3"/>
        <v>0</v>
      </c>
      <c r="R16" s="11">
        <f t="shared" si="3"/>
        <v>0</v>
      </c>
      <c r="S16" s="11">
        <f t="shared" si="3"/>
        <v>2</v>
      </c>
      <c r="T16" s="11">
        <f t="shared" si="3"/>
        <v>2</v>
      </c>
      <c r="U16" s="11">
        <f t="shared" si="3"/>
        <v>2</v>
      </c>
      <c r="V16" s="11">
        <f t="shared" si="3"/>
        <v>2</v>
      </c>
      <c r="W16" s="11">
        <f t="shared" si="3"/>
        <v>2</v>
      </c>
      <c r="X16" s="11">
        <f t="shared" si="3"/>
        <v>2</v>
      </c>
      <c r="Y16" s="11">
        <f t="shared" si="3"/>
        <v>4</v>
      </c>
      <c r="Z16" s="11">
        <f t="shared" si="3"/>
        <v>4</v>
      </c>
      <c r="AA16" s="11">
        <f t="shared" si="3"/>
        <v>5</v>
      </c>
      <c r="AB16" s="11">
        <f t="shared" si="3"/>
        <v>5</v>
      </c>
      <c r="AC16" s="11">
        <f t="shared" si="3"/>
        <v>5</v>
      </c>
      <c r="AD16" s="11">
        <f t="shared" si="3"/>
        <v>5</v>
      </c>
      <c r="AE16" s="11">
        <f t="shared" si="3"/>
        <v>6</v>
      </c>
      <c r="AF16" s="11">
        <f t="shared" si="3"/>
        <v>6</v>
      </c>
      <c r="AG16" s="11">
        <f t="shared" si="3"/>
        <v>6</v>
      </c>
      <c r="AH16" s="11">
        <f t="shared" si="3"/>
        <v>6</v>
      </c>
      <c r="AI16" s="11">
        <f t="shared" si="3"/>
        <v>7</v>
      </c>
      <c r="AJ16" s="11">
        <f t="shared" si="3"/>
        <v>7</v>
      </c>
      <c r="AK16" s="11">
        <f t="shared" si="3"/>
        <v>6</v>
      </c>
      <c r="AL16" s="11">
        <f t="shared" si="3"/>
        <v>6</v>
      </c>
      <c r="AM16" s="11">
        <f t="shared" si="3"/>
        <v>6</v>
      </c>
      <c r="AN16" s="11">
        <f t="shared" si="3"/>
        <v>7</v>
      </c>
      <c r="AO16" s="11">
        <f t="shared" si="3"/>
        <v>7</v>
      </c>
      <c r="AP16" s="11">
        <f t="shared" si="3"/>
        <v>7</v>
      </c>
      <c r="AQ16" s="11">
        <f t="shared" si="3"/>
        <v>8</v>
      </c>
      <c r="AR16" s="11">
        <f t="shared" si="3"/>
        <v>8</v>
      </c>
      <c r="AS16" s="11">
        <f t="shared" si="3"/>
        <v>8</v>
      </c>
      <c r="AT16" s="11">
        <f t="shared" si="3"/>
        <v>9</v>
      </c>
      <c r="AU16" s="11">
        <f t="shared" si="3"/>
        <v>9</v>
      </c>
      <c r="AV16" s="11">
        <f t="shared" si="3"/>
        <v>10</v>
      </c>
      <c r="AW16" s="11">
        <f t="shared" si="3"/>
        <v>4</v>
      </c>
      <c r="AX16" s="11">
        <f t="shared" si="3"/>
        <v>4</v>
      </c>
      <c r="AY16" s="11">
        <f t="shared" si="3"/>
        <v>5</v>
      </c>
      <c r="AZ16" s="11">
        <f t="shared" si="3"/>
        <v>5</v>
      </c>
      <c r="BA16" s="11">
        <f t="shared" si="3"/>
        <v>5</v>
      </c>
      <c r="BB16" s="11">
        <f t="shared" si="3"/>
        <v>5</v>
      </c>
      <c r="BC16" s="11">
        <f t="shared" si="3"/>
        <v>6</v>
      </c>
      <c r="BD16" s="11">
        <f t="shared" si="3"/>
        <v>6</v>
      </c>
      <c r="BE16" s="11">
        <f t="shared" si="3"/>
        <v>6</v>
      </c>
      <c r="BF16" s="11">
        <f t="shared" si="3"/>
        <v>7</v>
      </c>
      <c r="BG16" s="11">
        <f t="shared" si="3"/>
        <v>7</v>
      </c>
      <c r="BH16" s="11">
        <f t="shared" si="3"/>
        <v>7</v>
      </c>
      <c r="BI16" s="11">
        <f t="shared" si="3"/>
        <v>8</v>
      </c>
      <c r="BJ16" s="11">
        <f t="shared" si="3"/>
        <v>9</v>
      </c>
      <c r="BK16" s="11">
        <f t="shared" si="3"/>
        <v>9</v>
      </c>
      <c r="BL16" s="11">
        <f t="shared" si="3"/>
        <v>10</v>
      </c>
      <c r="BM16" s="11">
        <f t="shared" si="3"/>
        <v>10</v>
      </c>
      <c r="BN16" s="11">
        <f t="shared" si="3"/>
        <v>11</v>
      </c>
      <c r="BO16" s="11">
        <f t="shared" si="3"/>
        <v>11</v>
      </c>
      <c r="BP16" s="11">
        <f t="shared" si="3"/>
        <v>12</v>
      </c>
      <c r="BQ16" s="11">
        <f t="shared" si="3"/>
        <v>12</v>
      </c>
      <c r="BR16" s="11">
        <f t="shared" si="3"/>
        <v>13</v>
      </c>
      <c r="BS16" s="11">
        <f t="shared" si="3"/>
        <v>14</v>
      </c>
      <c r="BT16" s="11">
        <f t="shared" si="3"/>
        <v>14</v>
      </c>
    </row>
    <row r="17" spans="2:72" x14ac:dyDescent="0.3">
      <c r="C17" t="str">
        <v>Large Cap</v>
      </c>
      <c r="D17" s="33">
        <v>850</v>
      </c>
      <c r="E17" s="33">
        <v>900</v>
      </c>
      <c r="F17" s="33">
        <v>1150</v>
      </c>
      <c r="G17" s="33">
        <v>1200</v>
      </c>
      <c r="H17" s="33">
        <v>1400</v>
      </c>
      <c r="L17" t="s">
        <v>35</v>
      </c>
      <c r="M17" s="11">
        <f t="shared" si="4"/>
        <v>0</v>
      </c>
      <c r="N17" s="11">
        <f t="shared" si="3"/>
        <v>0</v>
      </c>
      <c r="O17" s="11">
        <f t="shared" si="3"/>
        <v>0</v>
      </c>
      <c r="P17" s="11">
        <f t="shared" si="3"/>
        <v>0</v>
      </c>
      <c r="Q17" s="11">
        <f t="shared" si="3"/>
        <v>0</v>
      </c>
      <c r="R17" s="11">
        <f t="shared" si="3"/>
        <v>0</v>
      </c>
      <c r="S17" s="11">
        <f t="shared" si="3"/>
        <v>0</v>
      </c>
      <c r="T17" s="11">
        <f t="shared" si="3"/>
        <v>0</v>
      </c>
      <c r="U17" s="11">
        <f t="shared" si="3"/>
        <v>0</v>
      </c>
      <c r="V17" s="11">
        <f t="shared" si="3"/>
        <v>0</v>
      </c>
      <c r="W17" s="11">
        <f t="shared" si="3"/>
        <v>0</v>
      </c>
      <c r="X17" s="11">
        <f t="shared" si="3"/>
        <v>0</v>
      </c>
      <c r="Y17" s="11">
        <f t="shared" si="3"/>
        <v>2</v>
      </c>
      <c r="Z17" s="11">
        <f t="shared" si="3"/>
        <v>3</v>
      </c>
      <c r="AA17" s="11">
        <f t="shared" si="3"/>
        <v>3</v>
      </c>
      <c r="AB17" s="11">
        <f t="shared" si="3"/>
        <v>3</v>
      </c>
      <c r="AC17" s="11">
        <f t="shared" si="3"/>
        <v>3</v>
      </c>
      <c r="AD17" s="11">
        <f t="shared" si="3"/>
        <v>3</v>
      </c>
      <c r="AE17" s="11">
        <f t="shared" si="3"/>
        <v>3</v>
      </c>
      <c r="AF17" s="11">
        <f t="shared" si="3"/>
        <v>3</v>
      </c>
      <c r="AG17" s="11">
        <f t="shared" si="3"/>
        <v>4</v>
      </c>
      <c r="AH17" s="11">
        <f t="shared" si="3"/>
        <v>4</v>
      </c>
      <c r="AI17" s="11">
        <f t="shared" si="3"/>
        <v>4</v>
      </c>
      <c r="AJ17" s="11">
        <f t="shared" si="3"/>
        <v>4</v>
      </c>
      <c r="AK17" s="11">
        <f t="shared" si="3"/>
        <v>6</v>
      </c>
      <c r="AL17" s="11">
        <f t="shared" si="3"/>
        <v>6</v>
      </c>
      <c r="AM17" s="11">
        <f t="shared" si="3"/>
        <v>6</v>
      </c>
      <c r="AN17" s="11">
        <f t="shared" si="3"/>
        <v>7</v>
      </c>
      <c r="AO17" s="11">
        <f t="shared" si="3"/>
        <v>7</v>
      </c>
      <c r="AP17" s="11">
        <f t="shared" si="3"/>
        <v>7</v>
      </c>
      <c r="AQ17" s="11">
        <f t="shared" si="3"/>
        <v>8</v>
      </c>
      <c r="AR17" s="11">
        <f t="shared" si="3"/>
        <v>8</v>
      </c>
      <c r="AS17" s="11">
        <f t="shared" si="3"/>
        <v>8</v>
      </c>
      <c r="AT17" s="11">
        <f t="shared" si="3"/>
        <v>9</v>
      </c>
      <c r="AU17" s="11">
        <f t="shared" si="3"/>
        <v>9</v>
      </c>
      <c r="AV17" s="11">
        <f t="shared" ref="N17:BT18" si="5">ROUND(AV26,0)</f>
        <v>10</v>
      </c>
      <c r="AW17" s="11">
        <f t="shared" si="5"/>
        <v>17</v>
      </c>
      <c r="AX17" s="11">
        <f t="shared" si="5"/>
        <v>18</v>
      </c>
      <c r="AY17" s="11">
        <f t="shared" si="5"/>
        <v>19</v>
      </c>
      <c r="AZ17" s="11">
        <f t="shared" si="5"/>
        <v>19</v>
      </c>
      <c r="BA17" s="11">
        <f t="shared" si="5"/>
        <v>20</v>
      </c>
      <c r="BB17" s="11">
        <f t="shared" si="5"/>
        <v>21</v>
      </c>
      <c r="BC17" s="11">
        <f t="shared" si="5"/>
        <v>23</v>
      </c>
      <c r="BD17" s="11">
        <f t="shared" si="5"/>
        <v>24</v>
      </c>
      <c r="BE17" s="11">
        <f t="shared" si="5"/>
        <v>25</v>
      </c>
      <c r="BF17" s="11">
        <f t="shared" si="5"/>
        <v>26</v>
      </c>
      <c r="BG17" s="11">
        <f t="shared" si="5"/>
        <v>27</v>
      </c>
      <c r="BH17" s="11">
        <f t="shared" si="5"/>
        <v>29</v>
      </c>
      <c r="BI17" s="11">
        <f t="shared" si="5"/>
        <v>33</v>
      </c>
      <c r="BJ17" s="11">
        <f t="shared" si="5"/>
        <v>35</v>
      </c>
      <c r="BK17" s="11">
        <f t="shared" si="5"/>
        <v>37</v>
      </c>
      <c r="BL17" s="11">
        <f t="shared" si="5"/>
        <v>39</v>
      </c>
      <c r="BM17" s="11">
        <f t="shared" si="5"/>
        <v>41</v>
      </c>
      <c r="BN17" s="11">
        <f t="shared" si="5"/>
        <v>43</v>
      </c>
      <c r="BO17" s="11">
        <f t="shared" si="5"/>
        <v>45</v>
      </c>
      <c r="BP17" s="11">
        <f t="shared" si="5"/>
        <v>47</v>
      </c>
      <c r="BQ17" s="11">
        <f t="shared" si="5"/>
        <v>49</v>
      </c>
      <c r="BR17" s="11">
        <f t="shared" si="5"/>
        <v>52</v>
      </c>
      <c r="BS17" s="11">
        <f t="shared" si="5"/>
        <v>55</v>
      </c>
      <c r="BT17" s="11">
        <f t="shared" si="5"/>
        <v>57</v>
      </c>
    </row>
    <row r="18" spans="2:72" x14ac:dyDescent="0.3">
      <c r="D18" s="9"/>
      <c r="E18" s="10"/>
      <c r="F18" s="10"/>
      <c r="G18" s="10"/>
      <c r="H18" s="10"/>
      <c r="L18" t="s">
        <v>37</v>
      </c>
      <c r="M18" s="11">
        <f t="shared" si="4"/>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5"/>
        <v>0</v>
      </c>
      <c r="X18" s="11">
        <f t="shared" si="5"/>
        <v>0</v>
      </c>
      <c r="Y18" s="11">
        <f t="shared" si="5"/>
        <v>0</v>
      </c>
      <c r="Z18" s="11">
        <f t="shared" si="5"/>
        <v>0</v>
      </c>
      <c r="AA18" s="11">
        <f t="shared" si="5"/>
        <v>0</v>
      </c>
      <c r="AB18" s="11">
        <f t="shared" si="5"/>
        <v>0</v>
      </c>
      <c r="AC18" s="11">
        <f t="shared" si="5"/>
        <v>0</v>
      </c>
      <c r="AD18" s="11">
        <f t="shared" si="5"/>
        <v>0</v>
      </c>
      <c r="AE18" s="11">
        <f t="shared" si="5"/>
        <v>0</v>
      </c>
      <c r="AF18" s="11">
        <f t="shared" si="5"/>
        <v>0</v>
      </c>
      <c r="AG18" s="11">
        <f t="shared" si="5"/>
        <v>0</v>
      </c>
      <c r="AH18" s="11">
        <f t="shared" si="5"/>
        <v>0</v>
      </c>
      <c r="AI18" s="11">
        <f t="shared" si="5"/>
        <v>0</v>
      </c>
      <c r="AJ18" s="11">
        <f t="shared" si="5"/>
        <v>0</v>
      </c>
      <c r="AK18" s="11">
        <f t="shared" si="5"/>
        <v>4</v>
      </c>
      <c r="AL18" s="11">
        <f t="shared" si="5"/>
        <v>4</v>
      </c>
      <c r="AM18" s="11">
        <f t="shared" si="5"/>
        <v>4</v>
      </c>
      <c r="AN18" s="11">
        <f t="shared" si="5"/>
        <v>4</v>
      </c>
      <c r="AO18" s="11">
        <f t="shared" si="5"/>
        <v>5</v>
      </c>
      <c r="AP18" s="11">
        <f t="shared" si="5"/>
        <v>5</v>
      </c>
      <c r="AQ18" s="11">
        <f t="shared" si="5"/>
        <v>5</v>
      </c>
      <c r="AR18" s="11">
        <f t="shared" si="5"/>
        <v>5</v>
      </c>
      <c r="AS18" s="11">
        <f t="shared" si="5"/>
        <v>6</v>
      </c>
      <c r="AT18" s="11">
        <f t="shared" si="5"/>
        <v>6</v>
      </c>
      <c r="AU18" s="11">
        <f t="shared" si="5"/>
        <v>6</v>
      </c>
      <c r="AV18" s="11">
        <f t="shared" si="5"/>
        <v>7</v>
      </c>
      <c r="AW18" s="11">
        <f t="shared" si="5"/>
        <v>17</v>
      </c>
      <c r="AX18" s="11">
        <f t="shared" si="5"/>
        <v>18</v>
      </c>
      <c r="AY18" s="11">
        <f t="shared" si="5"/>
        <v>19</v>
      </c>
      <c r="AZ18" s="11">
        <f t="shared" si="5"/>
        <v>19</v>
      </c>
      <c r="BA18" s="11">
        <f t="shared" si="5"/>
        <v>20</v>
      </c>
      <c r="BB18" s="11">
        <f t="shared" si="5"/>
        <v>21</v>
      </c>
      <c r="BC18" s="11">
        <f t="shared" si="5"/>
        <v>23</v>
      </c>
      <c r="BD18" s="11">
        <f t="shared" si="5"/>
        <v>24</v>
      </c>
      <c r="BE18" s="11">
        <f t="shared" si="5"/>
        <v>25</v>
      </c>
      <c r="BF18" s="11">
        <f t="shared" si="5"/>
        <v>26</v>
      </c>
      <c r="BG18" s="11">
        <f t="shared" si="5"/>
        <v>27</v>
      </c>
      <c r="BH18" s="11">
        <f t="shared" si="5"/>
        <v>29</v>
      </c>
      <c r="BI18" s="11">
        <f t="shared" si="5"/>
        <v>42</v>
      </c>
      <c r="BJ18" s="11">
        <f t="shared" si="5"/>
        <v>44</v>
      </c>
      <c r="BK18" s="11">
        <f t="shared" si="5"/>
        <v>46</v>
      </c>
      <c r="BL18" s="11">
        <f t="shared" si="5"/>
        <v>48</v>
      </c>
      <c r="BM18" s="11">
        <f t="shared" si="5"/>
        <v>51</v>
      </c>
      <c r="BN18" s="11">
        <f t="shared" si="5"/>
        <v>53</v>
      </c>
      <c r="BO18" s="11">
        <f t="shared" si="5"/>
        <v>56</v>
      </c>
      <c r="BP18" s="11">
        <f t="shared" si="5"/>
        <v>59</v>
      </c>
      <c r="BQ18" s="11">
        <f t="shared" si="5"/>
        <v>62</v>
      </c>
      <c r="BR18" s="11">
        <f t="shared" si="5"/>
        <v>65</v>
      </c>
      <c r="BS18" s="11">
        <f t="shared" si="5"/>
        <v>68</v>
      </c>
      <c r="BT18" s="11">
        <f t="shared" si="5"/>
        <v>72</v>
      </c>
    </row>
    <row r="19" spans="2:72" x14ac:dyDescent="0.3">
      <c r="B19" s="16" t="s">
        <v>293</v>
      </c>
    </row>
    <row r="20" spans="2:72" x14ac:dyDescent="0.3">
      <c r="C20" t="s">
        <v>34</v>
      </c>
      <c r="D20" s="12">
        <v>0.7</v>
      </c>
      <c r="E20" s="12">
        <v>0.4</v>
      </c>
      <c r="F20" s="12">
        <v>0.2</v>
      </c>
      <c r="G20" s="12">
        <v>0.05</v>
      </c>
      <c r="H20" s="12">
        <v>0.03</v>
      </c>
      <c r="J20" s="16" t="s">
        <v>295</v>
      </c>
      <c r="M20" s="11" cm="1">
        <f t="array" ref="M20:BT20">'Sales Rev'!M13:BT13</f>
        <v>4</v>
      </c>
      <c r="N20" s="11">
        <v>4.2</v>
      </c>
      <c r="O20" s="11">
        <v>4.41</v>
      </c>
      <c r="P20" s="11">
        <v>4.6305000000000005</v>
      </c>
      <c r="Q20" s="11">
        <v>4.8620250000000009</v>
      </c>
      <c r="R20" s="11">
        <v>5.1051262500000014</v>
      </c>
      <c r="S20" s="11">
        <v>5.3603825625000017</v>
      </c>
      <c r="T20" s="11">
        <v>5.6284016906250018</v>
      </c>
      <c r="U20" s="11">
        <v>5.9098217751562521</v>
      </c>
      <c r="V20" s="11">
        <v>6.2053128639140649</v>
      </c>
      <c r="W20" s="11">
        <v>6.515578507109768</v>
      </c>
      <c r="X20" s="11">
        <v>6.8413574324652568</v>
      </c>
      <c r="Y20" s="11">
        <v>16.441357432465256</v>
      </c>
      <c r="Z20" s="11">
        <v>17.263425304088521</v>
      </c>
      <c r="AA20" s="11">
        <v>18.12659656929295</v>
      </c>
      <c r="AB20" s="11">
        <v>19.032926397757596</v>
      </c>
      <c r="AC20" s="11">
        <v>19.984572717645477</v>
      </c>
      <c r="AD20" s="11">
        <v>20.983801353527753</v>
      </c>
      <c r="AE20" s="11">
        <v>22.032991421204137</v>
      </c>
      <c r="AF20" s="11">
        <v>23.134640992264352</v>
      </c>
      <c r="AG20" s="11">
        <v>24.291373041877566</v>
      </c>
      <c r="AH20" s="11">
        <v>25.505941693971447</v>
      </c>
      <c r="AI20" s="11">
        <v>26.781238778670012</v>
      </c>
      <c r="AJ20" s="11">
        <v>28.12030071760352</v>
      </c>
      <c r="AK20" s="11">
        <v>38.320300717603516</v>
      </c>
      <c r="AL20" s="11">
        <v>40.236315753483694</v>
      </c>
      <c r="AM20" s="11">
        <v>42.248131541157889</v>
      </c>
      <c r="AN20" s="11">
        <v>44.360538118215779</v>
      </c>
      <c r="AO20" s="11">
        <v>46.578565024126569</v>
      </c>
      <c r="AP20" s="11">
        <v>48.907493275332897</v>
      </c>
      <c r="AQ20" s="11">
        <v>51.352867939099546</v>
      </c>
      <c r="AR20" s="11">
        <v>53.920511336054531</v>
      </c>
      <c r="AS20" s="11">
        <v>56.616536902857256</v>
      </c>
      <c r="AT20" s="11">
        <v>59.447363748000122</v>
      </c>
      <c r="AU20" s="11">
        <v>62.419731935400129</v>
      </c>
      <c r="AV20" s="11">
        <v>65.540718532170132</v>
      </c>
      <c r="AW20" s="11">
        <v>84.140718532170141</v>
      </c>
      <c r="AX20" s="11">
        <v>88.347754458778653</v>
      </c>
      <c r="AY20" s="11">
        <v>92.765142181717579</v>
      </c>
      <c r="AZ20" s="11">
        <v>97.403399290803478</v>
      </c>
      <c r="BA20" s="11">
        <v>102.27356925534365</v>
      </c>
      <c r="BB20" s="11">
        <v>107.38724771811083</v>
      </c>
      <c r="BC20" s="11">
        <v>112.75661010401639</v>
      </c>
      <c r="BD20" s="11">
        <v>118.39444060921718</v>
      </c>
      <c r="BE20" s="11">
        <v>124.31416263967806</v>
      </c>
      <c r="BF20" s="11">
        <v>130.52987077166196</v>
      </c>
      <c r="BG20" s="11">
        <v>137.05636431024507</v>
      </c>
      <c r="BH20" s="11">
        <v>143.90918252575733</v>
      </c>
      <c r="BI20" s="11">
        <v>167.30918252575734</v>
      </c>
      <c r="BJ20" s="11">
        <v>175.67464165204524</v>
      </c>
      <c r="BK20" s="11">
        <v>184.45837373464749</v>
      </c>
      <c r="BL20" s="11">
        <v>193.68129242137988</v>
      </c>
      <c r="BM20" s="11">
        <v>203.36535704244889</v>
      </c>
      <c r="BN20" s="11">
        <v>213.53362489457132</v>
      </c>
      <c r="BO20" s="11">
        <v>224.21030613929989</v>
      </c>
      <c r="BP20" s="11">
        <v>235.42082144626494</v>
      </c>
      <c r="BQ20" s="11">
        <v>247.19186251857815</v>
      </c>
      <c r="BR20" s="11">
        <v>259.55145564450709</v>
      </c>
      <c r="BS20" s="11">
        <v>272.52902842673245</v>
      </c>
      <c r="BT20" s="11">
        <v>286.15547984806909</v>
      </c>
    </row>
    <row r="21" spans="2:72" x14ac:dyDescent="0.3">
      <c r="C21" t="s">
        <v>35</v>
      </c>
      <c r="D21" s="12"/>
      <c r="E21" s="12">
        <v>0.2</v>
      </c>
      <c r="F21" s="12">
        <v>0.3</v>
      </c>
      <c r="G21" s="12">
        <v>0.3</v>
      </c>
      <c r="H21" s="12">
        <v>0.17</v>
      </c>
      <c r="K21" t="s">
        <v>36</v>
      </c>
      <c r="L21" t="s">
        <v>34</v>
      </c>
      <c r="M21" s="11">
        <v>0</v>
      </c>
      <c r="N21" s="11">
        <v>0</v>
      </c>
      <c r="O21" s="11">
        <v>0</v>
      </c>
      <c r="P21" s="11">
        <v>0</v>
      </c>
      <c r="Q21" s="11">
        <v>0</v>
      </c>
      <c r="R21" s="11">
        <v>0</v>
      </c>
      <c r="S21" s="11">
        <f t="shared" ref="N21:U23" si="6">S$20*_xlfn.XLOOKUP(_xlfn.NUMBERVALUE(RIGHT(S$3,1)),$D$7:$H$7,$D20:$H20)</f>
        <v>3.7522677937500011</v>
      </c>
      <c r="T21" s="11">
        <f t="shared" si="6"/>
        <v>3.9398811834375009</v>
      </c>
      <c r="U21" s="11">
        <f t="shared" si="6"/>
        <v>4.136875242609376</v>
      </c>
      <c r="V21" s="11">
        <f t="shared" ref="V21:V23" si="7">V$20*_xlfn.XLOOKUP(_xlfn.NUMBERVALUE(RIGHT(V$3,1)),$D$7:$H$7,$D20:$H20)</f>
        <v>4.3437190047398451</v>
      </c>
      <c r="W21" s="11">
        <f t="shared" ref="W21:W23" si="8">W$20*_xlfn.XLOOKUP(_xlfn.NUMBERVALUE(RIGHT(W$3,1)),$D$7:$H$7,$D20:$H20)</f>
        <v>4.560904954976837</v>
      </c>
      <c r="X21" s="11">
        <f t="shared" ref="X21:X23" si="9">X$20*_xlfn.XLOOKUP(_xlfn.NUMBERVALUE(RIGHT(X$3,1)),$D$7:$H$7,$D20:$H20)</f>
        <v>4.7889502027256796</v>
      </c>
      <c r="Y21" s="11">
        <f t="shared" ref="Y21:Y23" si="10">Y$20*_xlfn.XLOOKUP(_xlfn.NUMBERVALUE(RIGHT(Y$3,1)),$D$7:$H$7,$D20:$H20)</f>
        <v>6.5765429729861031</v>
      </c>
      <c r="Z21" s="11">
        <f t="shared" ref="Z21:Z23" si="11">Z$20*_xlfn.XLOOKUP(_xlfn.NUMBERVALUE(RIGHT(Z$3,1)),$D$7:$H$7,$D20:$H20)</f>
        <v>6.9053701216354089</v>
      </c>
      <c r="AA21" s="11">
        <f t="shared" ref="AA21:AA23" si="12">AA$20*_xlfn.XLOOKUP(_xlfn.NUMBERVALUE(RIGHT(AA$3,1)),$D$7:$H$7,$D20:$H20)</f>
        <v>7.2506386277171799</v>
      </c>
      <c r="AB21" s="11">
        <f t="shared" ref="AB21:AB23" si="13">AB$20*_xlfn.XLOOKUP(_xlfn.NUMBERVALUE(RIGHT(AB$3,1)),$D$7:$H$7,$D20:$H20)</f>
        <v>7.6131705591030387</v>
      </c>
      <c r="AC21" s="11">
        <f t="shared" ref="AC21:AC23" si="14">AC$20*_xlfn.XLOOKUP(_xlfn.NUMBERVALUE(RIGHT(AC$3,1)),$D$7:$H$7,$D20:$H20)</f>
        <v>7.9938290870581916</v>
      </c>
      <c r="AD21" s="11">
        <f t="shared" ref="AD21:AD23" si="15">AD$20*_xlfn.XLOOKUP(_xlfn.NUMBERVALUE(RIGHT(AD$3,1)),$D$7:$H$7,$D20:$H20)</f>
        <v>8.3935205414111014</v>
      </c>
      <c r="AE21" s="11">
        <f t="shared" ref="AE21:AE23" si="16">AE$20*_xlfn.XLOOKUP(_xlfn.NUMBERVALUE(RIGHT(AE$3,1)),$D$7:$H$7,$D20:$H20)</f>
        <v>8.813196568481656</v>
      </c>
      <c r="AF21" s="11">
        <f t="shared" ref="AF21:AF23" si="17">AF$20*_xlfn.XLOOKUP(_xlfn.NUMBERVALUE(RIGHT(AF$3,1)),$D$7:$H$7,$D20:$H20)</f>
        <v>9.253856396905741</v>
      </c>
      <c r="AG21" s="11">
        <f t="shared" ref="AG21:AG23" si="18">AG$20*_xlfn.XLOOKUP(_xlfn.NUMBERVALUE(RIGHT(AG$3,1)),$D$7:$H$7,$D20:$H20)</f>
        <v>9.7165492167510266</v>
      </c>
      <c r="AH21" s="11">
        <f t="shared" ref="AH21:AH23" si="19">AH$20*_xlfn.XLOOKUP(_xlfn.NUMBERVALUE(RIGHT(AH$3,1)),$D$7:$H$7,$D20:$H20)</f>
        <v>10.20237667758858</v>
      </c>
      <c r="AI21" s="11">
        <f t="shared" ref="AI21:AI23" si="20">AI$20*_xlfn.XLOOKUP(_xlfn.NUMBERVALUE(RIGHT(AI$3,1)),$D$7:$H$7,$D20:$H20)</f>
        <v>10.712495511468006</v>
      </c>
      <c r="AJ21" s="11">
        <f t="shared" ref="AJ21:AJ23" si="21">AJ$20*_xlfn.XLOOKUP(_xlfn.NUMBERVALUE(RIGHT(AJ$3,1)),$D$7:$H$7,$D20:$H20)</f>
        <v>11.248120287041409</v>
      </c>
      <c r="AK21" s="11">
        <f t="shared" ref="AK21:AK23" si="22">AK$20*_xlfn.XLOOKUP(_xlfn.NUMBERVALUE(RIGHT(AK$3,1)),$D$7:$H$7,$D20:$H20)</f>
        <v>7.6640601435207039</v>
      </c>
      <c r="AL21" s="11">
        <f t="shared" ref="AL21:AL23" si="23">AL$20*_xlfn.XLOOKUP(_xlfn.NUMBERVALUE(RIGHT(AL$3,1)),$D$7:$H$7,$D20:$H20)</f>
        <v>8.0472631506967396</v>
      </c>
      <c r="AM21" s="11">
        <f t="shared" ref="AM21:AM23" si="24">AM$20*_xlfn.XLOOKUP(_xlfn.NUMBERVALUE(RIGHT(AM$3,1)),$D$7:$H$7,$D20:$H20)</f>
        <v>8.4496263082315775</v>
      </c>
      <c r="AN21" s="11">
        <f t="shared" ref="AN21:AN23" si="25">AN$20*_xlfn.XLOOKUP(_xlfn.NUMBERVALUE(RIGHT(AN$3,1)),$D$7:$H$7,$D20:$H20)</f>
        <v>8.8721076236431564</v>
      </c>
      <c r="AO21" s="11">
        <f t="shared" ref="AO21:AO23" si="26">AO$20*_xlfn.XLOOKUP(_xlfn.NUMBERVALUE(RIGHT(AO$3,1)),$D$7:$H$7,$D20:$H20)</f>
        <v>9.3157130048253141</v>
      </c>
      <c r="AP21" s="11">
        <f t="shared" ref="AP21:AP23" si="27">AP$20*_xlfn.XLOOKUP(_xlfn.NUMBERVALUE(RIGHT(AP$3,1)),$D$7:$H$7,$D20:$H20)</f>
        <v>9.7814986550665797</v>
      </c>
      <c r="AQ21" s="11">
        <f t="shared" ref="AQ21:AQ23" si="28">AQ$20*_xlfn.XLOOKUP(_xlfn.NUMBERVALUE(RIGHT(AQ$3,1)),$D$7:$H$7,$D20:$H20)</f>
        <v>10.270573587819911</v>
      </c>
      <c r="AR21" s="11">
        <f t="shared" ref="AR21:AR23" si="29">AR$20*_xlfn.XLOOKUP(_xlfn.NUMBERVALUE(RIGHT(AR$3,1)),$D$7:$H$7,$D20:$H20)</f>
        <v>10.784102267210907</v>
      </c>
      <c r="AS21" s="11">
        <f t="shared" ref="AS21:AS23" si="30">AS$20*_xlfn.XLOOKUP(_xlfn.NUMBERVALUE(RIGHT(AS$3,1)),$D$7:$H$7,$D20:$H20)</f>
        <v>11.323307380571451</v>
      </c>
      <c r="AT21" s="11">
        <f t="shared" ref="AT21:AT23" si="31">AT$20*_xlfn.XLOOKUP(_xlfn.NUMBERVALUE(RIGHT(AT$3,1)),$D$7:$H$7,$D20:$H20)</f>
        <v>11.889472749600024</v>
      </c>
      <c r="AU21" s="11">
        <f t="shared" ref="AU21:AU23" si="32">AU$20*_xlfn.XLOOKUP(_xlfn.NUMBERVALUE(RIGHT(AU$3,1)),$D$7:$H$7,$D20:$H20)</f>
        <v>12.483946387080026</v>
      </c>
      <c r="AV21" s="11">
        <f t="shared" ref="AV21:AV23" si="33">AV$20*_xlfn.XLOOKUP(_xlfn.NUMBERVALUE(RIGHT(AV$3,1)),$D$7:$H$7,$D20:$H20)</f>
        <v>13.108143706434028</v>
      </c>
      <c r="AW21" s="11">
        <f t="shared" ref="AW21:AW23" si="34">AW$20*_xlfn.XLOOKUP(_xlfn.NUMBERVALUE(RIGHT(AW$3,1)),$D$7:$H$7,$D20:$H20)</f>
        <v>4.2070359266085076</v>
      </c>
      <c r="AX21" s="11">
        <f t="shared" ref="AX21:AX23" si="35">AX$20*_xlfn.XLOOKUP(_xlfn.NUMBERVALUE(RIGHT(AX$3,1)),$D$7:$H$7,$D20:$H20)</f>
        <v>4.4173877229389324</v>
      </c>
      <c r="AY21" s="11">
        <f t="shared" ref="AY21:AY23" si="36">AY$20*_xlfn.XLOOKUP(_xlfn.NUMBERVALUE(RIGHT(AY$3,1)),$D$7:$H$7,$D20:$H20)</f>
        <v>4.6382571090858793</v>
      </c>
      <c r="AZ21" s="11">
        <f t="shared" ref="AZ21:AZ23" si="37">AZ$20*_xlfn.XLOOKUP(_xlfn.NUMBERVALUE(RIGHT(AZ$3,1)),$D$7:$H$7,$D20:$H20)</f>
        <v>4.8701699645401746</v>
      </c>
      <c r="BA21" s="11">
        <f t="shared" ref="BA21:BA23" si="38">BA$20*_xlfn.XLOOKUP(_xlfn.NUMBERVALUE(RIGHT(BA$3,1)),$D$7:$H$7,$D20:$H20)</f>
        <v>5.113678462767183</v>
      </c>
      <c r="BB21" s="11">
        <f t="shared" ref="BB21:BB23" si="39">BB$20*_xlfn.XLOOKUP(_xlfn.NUMBERVALUE(RIGHT(BB$3,1)),$D$7:$H$7,$D20:$H20)</f>
        <v>5.3693623859055419</v>
      </c>
      <c r="BC21" s="11">
        <f t="shared" ref="BC21:BC23" si="40">BC$20*_xlfn.XLOOKUP(_xlfn.NUMBERVALUE(RIGHT(BC$3,1)),$D$7:$H$7,$D20:$H20)</f>
        <v>5.63783050520082</v>
      </c>
      <c r="BD21" s="11">
        <f t="shared" ref="BD21:BD23" si="41">BD$20*_xlfn.XLOOKUP(_xlfn.NUMBERVALUE(RIGHT(BD$3,1)),$D$7:$H$7,$D20:$H20)</f>
        <v>5.9197220304608598</v>
      </c>
      <c r="BE21" s="11">
        <f t="shared" ref="BE21:BE23" si="42">BE$20*_xlfn.XLOOKUP(_xlfn.NUMBERVALUE(RIGHT(BE$3,1)),$D$7:$H$7,$D20:$H20)</f>
        <v>6.2157081319839032</v>
      </c>
      <c r="BF21" s="11">
        <f t="shared" ref="BF21:BF23" si="43">BF$20*_xlfn.XLOOKUP(_xlfn.NUMBERVALUE(RIGHT(BF$3,1)),$D$7:$H$7,$D20:$H20)</f>
        <v>6.5264935385830984</v>
      </c>
      <c r="BG21" s="11">
        <f t="shared" ref="BG21:BG23" si="44">BG$20*_xlfn.XLOOKUP(_xlfn.NUMBERVALUE(RIGHT(BG$3,1)),$D$7:$H$7,$D20:$H20)</f>
        <v>6.8528182155122543</v>
      </c>
      <c r="BH21" s="11">
        <f t="shared" ref="BH21:BH23" si="45">BH$20*_xlfn.XLOOKUP(_xlfn.NUMBERVALUE(RIGHT(BH$3,1)),$D$7:$H$7,$D20:$H20)</f>
        <v>7.1954591262878669</v>
      </c>
      <c r="BI21" s="11">
        <f t="shared" ref="BI21:BI23" si="46">BI$20*_xlfn.XLOOKUP(_xlfn.NUMBERVALUE(RIGHT(BI$3,1)),$D$7:$H$7,$D20:$H20)</f>
        <v>5.0192754757727203</v>
      </c>
      <c r="BJ21" s="11">
        <f t="shared" ref="BJ21:BJ23" si="47">BJ$20*_xlfn.XLOOKUP(_xlfn.NUMBERVALUE(RIGHT(BJ$3,1)),$D$7:$H$7,$D20:$H20)</f>
        <v>5.2702392495613566</v>
      </c>
      <c r="BK21" s="11">
        <f t="shared" ref="BK21:BK23" si="48">BK$20*_xlfn.XLOOKUP(_xlfn.NUMBERVALUE(RIGHT(BK$3,1)),$D$7:$H$7,$D20:$H20)</f>
        <v>5.5337512120394248</v>
      </c>
      <c r="BL21" s="11">
        <f t="shared" ref="BL21:BL23" si="49">BL$20*_xlfn.XLOOKUP(_xlfn.NUMBERVALUE(RIGHT(BL$3,1)),$D$7:$H$7,$D20:$H20)</f>
        <v>5.8104387726413957</v>
      </c>
      <c r="BM21" s="11">
        <f t="shared" ref="BM21:BM23" si="50">BM$20*_xlfn.XLOOKUP(_xlfn.NUMBERVALUE(RIGHT(BM$3,1)),$D$7:$H$7,$D20:$H20)</f>
        <v>6.1009607112734665</v>
      </c>
      <c r="BN21" s="11">
        <f t="shared" ref="BN21:BN23" si="51">BN$20*_xlfn.XLOOKUP(_xlfn.NUMBERVALUE(RIGHT(BN$3,1)),$D$7:$H$7,$D20:$H20)</f>
        <v>6.4060087468371396</v>
      </c>
      <c r="BO21" s="11">
        <f t="shared" ref="BO21:BO23" si="52">BO$20*_xlfn.XLOOKUP(_xlfn.NUMBERVALUE(RIGHT(BO$3,1)),$D$7:$H$7,$D20:$H20)</f>
        <v>6.7263091841789961</v>
      </c>
      <c r="BP21" s="11">
        <f t="shared" ref="BP21:BP23" si="53">BP$20*_xlfn.XLOOKUP(_xlfn.NUMBERVALUE(RIGHT(BP$3,1)),$D$7:$H$7,$D20:$H20)</f>
        <v>7.0626246433879478</v>
      </c>
      <c r="BQ21" s="11">
        <f t="shared" ref="BQ21:BQ23" si="54">BQ$20*_xlfn.XLOOKUP(_xlfn.NUMBERVALUE(RIGHT(BQ$3,1)),$D$7:$H$7,$D20:$H20)</f>
        <v>7.4157558755573438</v>
      </c>
      <c r="BR21" s="11">
        <f t="shared" ref="BR21:BR23" si="55">BR$20*_xlfn.XLOOKUP(_xlfn.NUMBERVALUE(RIGHT(BR$3,1)),$D$7:$H$7,$D20:$H20)</f>
        <v>7.7865436693352121</v>
      </c>
      <c r="BS21" s="11">
        <f t="shared" ref="BS21:BS23" si="56">BS$20*_xlfn.XLOOKUP(_xlfn.NUMBERVALUE(RIGHT(BS$3,1)),$D$7:$H$7,$D20:$H20)</f>
        <v>8.1758708528019728</v>
      </c>
      <c r="BT21" s="11">
        <f t="shared" ref="BT21:BT23" si="57">BT$20*_xlfn.XLOOKUP(_xlfn.NUMBERVALUE(RIGHT(BT$3,1)),$D$7:$H$7,$D20:$H20)</f>
        <v>8.584664395442072</v>
      </c>
    </row>
    <row r="22" spans="2:72" x14ac:dyDescent="0.3">
      <c r="C22" t="s">
        <v>37</v>
      </c>
      <c r="D22" s="12"/>
      <c r="E22" s="12"/>
      <c r="F22" s="12">
        <v>0.1</v>
      </c>
      <c r="G22" s="12">
        <v>0.2</v>
      </c>
      <c r="H22" s="12">
        <v>0.3</v>
      </c>
      <c r="L22" t="s">
        <v>35</v>
      </c>
      <c r="M22" s="11">
        <f t="shared" ref="M22:M27" si="58">M$20*_xlfn.XLOOKUP(_xlfn.NUMBERVALUE(RIGHT(M$3,1)),$D$7:$H$7,$D21:$H21)</f>
        <v>0</v>
      </c>
      <c r="N22" s="11">
        <f t="shared" si="6"/>
        <v>0</v>
      </c>
      <c r="O22" s="11">
        <f t="shared" si="6"/>
        <v>0</v>
      </c>
      <c r="P22" s="11">
        <f t="shared" si="6"/>
        <v>0</v>
      </c>
      <c r="Q22" s="11">
        <f t="shared" si="6"/>
        <v>0</v>
      </c>
      <c r="R22" s="11">
        <f t="shared" si="6"/>
        <v>0</v>
      </c>
      <c r="S22" s="11">
        <f t="shared" si="6"/>
        <v>0</v>
      </c>
      <c r="T22" s="11">
        <f t="shared" si="6"/>
        <v>0</v>
      </c>
      <c r="U22" s="11">
        <f t="shared" si="6"/>
        <v>0</v>
      </c>
      <c r="V22" s="11">
        <f t="shared" si="7"/>
        <v>0</v>
      </c>
      <c r="W22" s="11">
        <f t="shared" si="8"/>
        <v>0</v>
      </c>
      <c r="X22" s="11">
        <f t="shared" si="9"/>
        <v>0</v>
      </c>
      <c r="Y22" s="11">
        <f t="shared" si="10"/>
        <v>3.2882714864930516</v>
      </c>
      <c r="Z22" s="11">
        <f t="shared" si="11"/>
        <v>3.4526850608177044</v>
      </c>
      <c r="AA22" s="11">
        <f t="shared" si="12"/>
        <v>3.62531931385859</v>
      </c>
      <c r="AB22" s="11">
        <f t="shared" si="13"/>
        <v>3.8065852795515194</v>
      </c>
      <c r="AC22" s="11">
        <f t="shared" si="14"/>
        <v>3.9969145435290958</v>
      </c>
      <c r="AD22" s="11">
        <f t="shared" si="15"/>
        <v>4.1967602707055507</v>
      </c>
      <c r="AE22" s="11">
        <f t="shared" si="16"/>
        <v>4.406598284240828</v>
      </c>
      <c r="AF22" s="11">
        <f t="shared" si="17"/>
        <v>4.6269281984528705</v>
      </c>
      <c r="AG22" s="11">
        <f t="shared" si="18"/>
        <v>4.8582746083755133</v>
      </c>
      <c r="AH22" s="11">
        <f t="shared" si="19"/>
        <v>5.10118833879429</v>
      </c>
      <c r="AI22" s="11">
        <f t="shared" si="20"/>
        <v>5.3562477557340031</v>
      </c>
      <c r="AJ22" s="11">
        <f t="shared" si="21"/>
        <v>5.6240601435207047</v>
      </c>
      <c r="AK22" s="11">
        <f t="shared" si="22"/>
        <v>11.496090215281054</v>
      </c>
      <c r="AL22" s="11">
        <f t="shared" si="23"/>
        <v>12.070894726045108</v>
      </c>
      <c r="AM22" s="11">
        <f t="shared" si="24"/>
        <v>12.674439462347367</v>
      </c>
      <c r="AN22" s="11">
        <f t="shared" si="25"/>
        <v>13.308161435464733</v>
      </c>
      <c r="AO22" s="11">
        <f t="shared" si="26"/>
        <v>13.97356950723797</v>
      </c>
      <c r="AP22" s="11">
        <f t="shared" si="27"/>
        <v>14.672247982599869</v>
      </c>
      <c r="AQ22" s="11">
        <f t="shared" si="28"/>
        <v>15.405860381729862</v>
      </c>
      <c r="AR22" s="11">
        <f t="shared" si="29"/>
        <v>16.176153400816357</v>
      </c>
      <c r="AS22" s="11">
        <f t="shared" si="30"/>
        <v>16.984961070857175</v>
      </c>
      <c r="AT22" s="11">
        <f t="shared" si="31"/>
        <v>17.834209124400036</v>
      </c>
      <c r="AU22" s="11">
        <f t="shared" si="32"/>
        <v>18.725919580620037</v>
      </c>
      <c r="AV22" s="11">
        <f t="shared" si="33"/>
        <v>19.662215559651038</v>
      </c>
      <c r="AW22" s="11">
        <f t="shared" si="34"/>
        <v>25.24221555965104</v>
      </c>
      <c r="AX22" s="11">
        <f t="shared" si="35"/>
        <v>26.504326337633596</v>
      </c>
      <c r="AY22" s="11">
        <f t="shared" si="36"/>
        <v>27.829542654515272</v>
      </c>
      <c r="AZ22" s="11">
        <f t="shared" si="37"/>
        <v>29.22101978724104</v>
      </c>
      <c r="BA22" s="11">
        <f t="shared" si="38"/>
        <v>30.682070776603091</v>
      </c>
      <c r="BB22" s="11">
        <f t="shared" si="39"/>
        <v>32.21617431543325</v>
      </c>
      <c r="BC22" s="11">
        <f t="shared" si="40"/>
        <v>33.826983031204918</v>
      </c>
      <c r="BD22" s="11">
        <f t="shared" si="41"/>
        <v>35.518332182765157</v>
      </c>
      <c r="BE22" s="11">
        <f t="shared" si="42"/>
        <v>37.294248791903414</v>
      </c>
      <c r="BF22" s="11">
        <f t="shared" si="43"/>
        <v>39.158961231498587</v>
      </c>
      <c r="BG22" s="11">
        <f t="shared" si="44"/>
        <v>41.116909293073519</v>
      </c>
      <c r="BH22" s="11">
        <f t="shared" si="45"/>
        <v>43.172754757727198</v>
      </c>
      <c r="BI22" s="11">
        <f t="shared" si="46"/>
        <v>28.442561029378748</v>
      </c>
      <c r="BJ22" s="11">
        <f t="shared" si="47"/>
        <v>29.864689080847693</v>
      </c>
      <c r="BK22" s="11">
        <f t="shared" si="48"/>
        <v>31.357923534890077</v>
      </c>
      <c r="BL22" s="11">
        <f t="shared" si="49"/>
        <v>32.925819711634581</v>
      </c>
      <c r="BM22" s="11">
        <f t="shared" si="50"/>
        <v>34.572110697216317</v>
      </c>
      <c r="BN22" s="11">
        <f t="shared" si="51"/>
        <v>36.300716232077129</v>
      </c>
      <c r="BO22" s="11">
        <f t="shared" si="52"/>
        <v>38.115752043680985</v>
      </c>
      <c r="BP22" s="11">
        <f t="shared" si="53"/>
        <v>40.02153964586504</v>
      </c>
      <c r="BQ22" s="11">
        <f t="shared" si="54"/>
        <v>42.022616628158289</v>
      </c>
      <c r="BR22" s="11">
        <f t="shared" si="55"/>
        <v>44.123747459566211</v>
      </c>
      <c r="BS22" s="11">
        <f t="shared" si="56"/>
        <v>46.329934832544524</v>
      </c>
      <c r="BT22" s="11">
        <f t="shared" si="57"/>
        <v>48.64643157417175</v>
      </c>
    </row>
    <row r="23" spans="2:72" x14ac:dyDescent="0.3">
      <c r="B23" s="16" t="s">
        <v>294</v>
      </c>
      <c r="D23" s="12"/>
      <c r="E23" s="12"/>
      <c r="F23" s="12"/>
      <c r="G23" s="12"/>
      <c r="H23" s="12"/>
      <c r="L23" t="s">
        <v>37</v>
      </c>
      <c r="M23" s="11">
        <f t="shared" si="58"/>
        <v>0</v>
      </c>
      <c r="N23" s="11">
        <f t="shared" si="6"/>
        <v>0</v>
      </c>
      <c r="O23" s="11">
        <f t="shared" si="6"/>
        <v>0</v>
      </c>
      <c r="P23" s="11">
        <f t="shared" si="6"/>
        <v>0</v>
      </c>
      <c r="Q23" s="11">
        <f t="shared" si="6"/>
        <v>0</v>
      </c>
      <c r="R23" s="11">
        <f t="shared" si="6"/>
        <v>0</v>
      </c>
      <c r="S23" s="11">
        <f t="shared" si="6"/>
        <v>0</v>
      </c>
      <c r="T23" s="11">
        <f t="shared" si="6"/>
        <v>0</v>
      </c>
      <c r="U23" s="11">
        <f t="shared" si="6"/>
        <v>0</v>
      </c>
      <c r="V23" s="11">
        <f t="shared" si="7"/>
        <v>0</v>
      </c>
      <c r="W23" s="11">
        <f t="shared" si="8"/>
        <v>0</v>
      </c>
      <c r="X23" s="11">
        <f t="shared" si="9"/>
        <v>0</v>
      </c>
      <c r="Y23" s="11">
        <f t="shared" si="10"/>
        <v>0</v>
      </c>
      <c r="Z23" s="11">
        <f t="shared" si="11"/>
        <v>0</v>
      </c>
      <c r="AA23" s="11">
        <f t="shared" si="12"/>
        <v>0</v>
      </c>
      <c r="AB23" s="11">
        <f t="shared" si="13"/>
        <v>0</v>
      </c>
      <c r="AC23" s="11">
        <f t="shared" si="14"/>
        <v>0</v>
      </c>
      <c r="AD23" s="11">
        <f t="shared" si="15"/>
        <v>0</v>
      </c>
      <c r="AE23" s="11">
        <f t="shared" si="16"/>
        <v>0</v>
      </c>
      <c r="AF23" s="11">
        <f t="shared" si="17"/>
        <v>0</v>
      </c>
      <c r="AG23" s="11">
        <f t="shared" si="18"/>
        <v>0</v>
      </c>
      <c r="AH23" s="11">
        <f t="shared" si="19"/>
        <v>0</v>
      </c>
      <c r="AI23" s="11">
        <f t="shared" si="20"/>
        <v>0</v>
      </c>
      <c r="AJ23" s="11">
        <f t="shared" si="21"/>
        <v>0</v>
      </c>
      <c r="AK23" s="11">
        <f t="shared" si="22"/>
        <v>3.8320300717603519</v>
      </c>
      <c r="AL23" s="11">
        <f t="shared" si="23"/>
        <v>4.0236315753483698</v>
      </c>
      <c r="AM23" s="11">
        <f t="shared" si="24"/>
        <v>4.2248131541157887</v>
      </c>
      <c r="AN23" s="11">
        <f t="shared" si="25"/>
        <v>4.4360538118215782</v>
      </c>
      <c r="AO23" s="11">
        <f t="shared" si="26"/>
        <v>4.657856502412657</v>
      </c>
      <c r="AP23" s="11">
        <f t="shared" si="27"/>
        <v>4.8907493275332898</v>
      </c>
      <c r="AQ23" s="11">
        <f t="shared" si="28"/>
        <v>5.1352867939099553</v>
      </c>
      <c r="AR23" s="11">
        <f t="shared" si="29"/>
        <v>5.3920511336054533</v>
      </c>
      <c r="AS23" s="11">
        <f t="shared" si="30"/>
        <v>5.6616536902857257</v>
      </c>
      <c r="AT23" s="11">
        <f t="shared" si="31"/>
        <v>5.9447363748000122</v>
      </c>
      <c r="AU23" s="11">
        <f t="shared" si="32"/>
        <v>6.2419731935400131</v>
      </c>
      <c r="AV23" s="11">
        <f t="shared" si="33"/>
        <v>6.5540718532170139</v>
      </c>
      <c r="AW23" s="11">
        <f t="shared" si="34"/>
        <v>16.82814370643403</v>
      </c>
      <c r="AX23" s="11">
        <f t="shared" si="35"/>
        <v>17.66955089175573</v>
      </c>
      <c r="AY23" s="11">
        <f t="shared" si="36"/>
        <v>18.553028436343517</v>
      </c>
      <c r="AZ23" s="11">
        <f t="shared" si="37"/>
        <v>19.480679858160698</v>
      </c>
      <c r="BA23" s="11">
        <f t="shared" si="38"/>
        <v>20.454713851068732</v>
      </c>
      <c r="BB23" s="11">
        <f t="shared" si="39"/>
        <v>21.477449543622168</v>
      </c>
      <c r="BC23" s="11">
        <f t="shared" si="40"/>
        <v>22.55132202080328</v>
      </c>
      <c r="BD23" s="11">
        <f t="shared" si="41"/>
        <v>23.678888121843439</v>
      </c>
      <c r="BE23" s="11">
        <f t="shared" si="42"/>
        <v>24.862832527935613</v>
      </c>
      <c r="BF23" s="11">
        <f t="shared" si="43"/>
        <v>26.105974154332394</v>
      </c>
      <c r="BG23" s="11">
        <f t="shared" si="44"/>
        <v>27.411272862049017</v>
      </c>
      <c r="BH23" s="11">
        <f t="shared" si="45"/>
        <v>28.781836505151468</v>
      </c>
      <c r="BI23" s="11">
        <f t="shared" si="46"/>
        <v>50.192754757727201</v>
      </c>
      <c r="BJ23" s="11">
        <f t="shared" si="47"/>
        <v>52.702392495613573</v>
      </c>
      <c r="BK23" s="11">
        <f t="shared" si="48"/>
        <v>55.337512120394244</v>
      </c>
      <c r="BL23" s="11">
        <f t="shared" si="49"/>
        <v>58.104387726413961</v>
      </c>
      <c r="BM23" s="11">
        <f t="shared" si="50"/>
        <v>61.009607112734663</v>
      </c>
      <c r="BN23" s="11">
        <f t="shared" si="51"/>
        <v>64.060087468371393</v>
      </c>
      <c r="BO23" s="11">
        <f t="shared" si="52"/>
        <v>67.263091841789958</v>
      </c>
      <c r="BP23" s="11">
        <f t="shared" si="53"/>
        <v>70.626246433879473</v>
      </c>
      <c r="BQ23" s="11">
        <f t="shared" si="54"/>
        <v>74.157558755573447</v>
      </c>
      <c r="BR23" s="11">
        <f t="shared" si="55"/>
        <v>77.865436693352123</v>
      </c>
      <c r="BS23" s="11">
        <f t="shared" si="56"/>
        <v>81.758708528019739</v>
      </c>
      <c r="BT23" s="11">
        <f t="shared" si="57"/>
        <v>85.846643954420728</v>
      </c>
    </row>
    <row r="24" spans="2:72" x14ac:dyDescent="0.3">
      <c r="B24" s="9"/>
      <c r="C24" t="str" cm="1">
        <f t="array" ref="C24:C26">C20:C22</f>
        <v>Small Cap</v>
      </c>
      <c r="D24" s="12">
        <v>0.3</v>
      </c>
      <c r="E24" s="12">
        <v>0.25</v>
      </c>
      <c r="F24" s="12">
        <v>0.15</v>
      </c>
      <c r="G24" s="12">
        <v>0.05</v>
      </c>
      <c r="H24" s="12">
        <v>0.05</v>
      </c>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row>
    <row r="25" spans="2:72" x14ac:dyDescent="0.3">
      <c r="C25" t="str">
        <v>Mid Cap</v>
      </c>
      <c r="D25" s="12"/>
      <c r="E25" s="12">
        <v>0.15</v>
      </c>
      <c r="F25" s="12">
        <v>0.15</v>
      </c>
      <c r="G25" s="12">
        <v>0.2</v>
      </c>
      <c r="H25" s="12">
        <v>0.2</v>
      </c>
      <c r="K25" t="s">
        <v>39</v>
      </c>
      <c r="L25" t="s">
        <v>34</v>
      </c>
      <c r="M25" s="11">
        <v>0</v>
      </c>
      <c r="N25" s="11">
        <v>0</v>
      </c>
      <c r="O25" s="11">
        <v>0</v>
      </c>
      <c r="P25" s="11">
        <v>0</v>
      </c>
      <c r="Q25" s="11">
        <v>0</v>
      </c>
      <c r="R25" s="11">
        <v>0</v>
      </c>
      <c r="S25" s="11">
        <f t="shared" ref="S25:S27" si="59">S$20*_xlfn.XLOOKUP(_xlfn.NUMBERVALUE(RIGHT(S$3,1)),$D$7:$H$7,$D24:$H24)</f>
        <v>1.6081147687500004</v>
      </c>
      <c r="T25" s="11">
        <f t="shared" ref="T25:T27" si="60">T$20*_xlfn.XLOOKUP(_xlfn.NUMBERVALUE(RIGHT(T$3,1)),$D$7:$H$7,$D24:$H24)</f>
        <v>1.6885205071875005</v>
      </c>
      <c r="U25" s="11">
        <f t="shared" ref="U25:U27" si="61">U$20*_xlfn.XLOOKUP(_xlfn.NUMBERVALUE(RIGHT(U$3,1)),$D$7:$H$7,$D24:$H24)</f>
        <v>1.7729465325468756</v>
      </c>
      <c r="V25" s="11">
        <f t="shared" ref="V25:V27" si="62">V$20*_xlfn.XLOOKUP(_xlfn.NUMBERVALUE(RIGHT(V$3,1)),$D$7:$H$7,$D24:$H24)</f>
        <v>1.8615938591742194</v>
      </c>
      <c r="W25" s="11">
        <f t="shared" ref="W25:W27" si="63">W$20*_xlfn.XLOOKUP(_xlfn.NUMBERVALUE(RIGHT(W$3,1)),$D$7:$H$7,$D24:$H24)</f>
        <v>1.9546735521329304</v>
      </c>
      <c r="X25" s="11">
        <f t="shared" ref="X25:X27" si="64">X$20*_xlfn.XLOOKUP(_xlfn.NUMBERVALUE(RIGHT(X$3,1)),$D$7:$H$7,$D24:$H24)</f>
        <v>2.0524072297395768</v>
      </c>
      <c r="Y25" s="11">
        <f t="shared" ref="Y25:Y27" si="65">Y$20*_xlfn.XLOOKUP(_xlfn.NUMBERVALUE(RIGHT(Y$3,1)),$D$7:$H$7,$D24:$H24)</f>
        <v>4.1103393581163141</v>
      </c>
      <c r="Z25" s="11">
        <f t="shared" ref="Z25:Z27" si="66">Z$20*_xlfn.XLOOKUP(_xlfn.NUMBERVALUE(RIGHT(Z$3,1)),$D$7:$H$7,$D24:$H24)</f>
        <v>4.3158563260221303</v>
      </c>
      <c r="AA25" s="11">
        <f t="shared" ref="AA25:AA27" si="67">AA$20*_xlfn.XLOOKUP(_xlfn.NUMBERVALUE(RIGHT(AA$3,1)),$D$7:$H$7,$D24:$H24)</f>
        <v>4.5316491423232375</v>
      </c>
      <c r="AB25" s="11">
        <f t="shared" ref="AB25:AB27" si="68">AB$20*_xlfn.XLOOKUP(_xlfn.NUMBERVALUE(RIGHT(AB$3,1)),$D$7:$H$7,$D24:$H24)</f>
        <v>4.7582315994393989</v>
      </c>
      <c r="AC25" s="11">
        <f t="shared" ref="AC25:AC27" si="69">AC$20*_xlfn.XLOOKUP(_xlfn.NUMBERVALUE(RIGHT(AC$3,1)),$D$7:$H$7,$D24:$H24)</f>
        <v>4.9961431794113693</v>
      </c>
      <c r="AD25" s="11">
        <f t="shared" ref="AD25:AD27" si="70">AD$20*_xlfn.XLOOKUP(_xlfn.NUMBERVALUE(RIGHT(AD$3,1)),$D$7:$H$7,$D24:$H24)</f>
        <v>5.2459503383819381</v>
      </c>
      <c r="AE25" s="11">
        <f t="shared" ref="AE25:AE27" si="71">AE$20*_xlfn.XLOOKUP(_xlfn.NUMBERVALUE(RIGHT(AE$3,1)),$D$7:$H$7,$D24:$H24)</f>
        <v>5.5082478553010343</v>
      </c>
      <c r="AF25" s="11">
        <f t="shared" ref="AF25:AF27" si="72">AF$20*_xlfn.XLOOKUP(_xlfn.NUMBERVALUE(RIGHT(AF$3,1)),$D$7:$H$7,$D24:$H24)</f>
        <v>5.7836602480660879</v>
      </c>
      <c r="AG25" s="11">
        <f t="shared" ref="AG25:AG27" si="73">AG$20*_xlfn.XLOOKUP(_xlfn.NUMBERVALUE(RIGHT(AG$3,1)),$D$7:$H$7,$D24:$H24)</f>
        <v>6.0728432604693916</v>
      </c>
      <c r="AH25" s="11">
        <f t="shared" ref="AH25:AH27" si="74">AH$20*_xlfn.XLOOKUP(_xlfn.NUMBERVALUE(RIGHT(AH$3,1)),$D$7:$H$7,$D24:$H24)</f>
        <v>6.3764854234928618</v>
      </c>
      <c r="AI25" s="11">
        <f t="shared" ref="AI25:AI27" si="75">AI$20*_xlfn.XLOOKUP(_xlfn.NUMBERVALUE(RIGHT(AI$3,1)),$D$7:$H$7,$D24:$H24)</f>
        <v>6.695309694667503</v>
      </c>
      <c r="AJ25" s="11">
        <f t="shared" ref="AJ25:AJ27" si="76">AJ$20*_xlfn.XLOOKUP(_xlfn.NUMBERVALUE(RIGHT(AJ$3,1)),$D$7:$H$7,$D24:$H24)</f>
        <v>7.03007517940088</v>
      </c>
      <c r="AK25" s="11">
        <f t="shared" ref="AK25:AK27" si="77">AK$20*_xlfn.XLOOKUP(_xlfn.NUMBERVALUE(RIGHT(AK$3,1)),$D$7:$H$7,$D24:$H24)</f>
        <v>5.748045107640527</v>
      </c>
      <c r="AL25" s="11">
        <f t="shared" ref="AL25:AL27" si="78">AL$20*_xlfn.XLOOKUP(_xlfn.NUMBERVALUE(RIGHT(AL$3,1)),$D$7:$H$7,$D24:$H24)</f>
        <v>6.0354473630225538</v>
      </c>
      <c r="AM25" s="11">
        <f t="shared" ref="AM25:AM27" si="79">AM$20*_xlfn.XLOOKUP(_xlfn.NUMBERVALUE(RIGHT(AM$3,1)),$D$7:$H$7,$D24:$H24)</f>
        <v>6.3372197311736835</v>
      </c>
      <c r="AN25" s="11">
        <f t="shared" ref="AN25:AN27" si="80">AN$20*_xlfn.XLOOKUP(_xlfn.NUMBERVALUE(RIGHT(AN$3,1)),$D$7:$H$7,$D24:$H24)</f>
        <v>6.6540807177323664</v>
      </c>
      <c r="AO25" s="11">
        <f t="shared" ref="AO25:AO27" si="81">AO$20*_xlfn.XLOOKUP(_xlfn.NUMBERVALUE(RIGHT(AO$3,1)),$D$7:$H$7,$D24:$H24)</f>
        <v>6.9867847536189851</v>
      </c>
      <c r="AP25" s="11">
        <f t="shared" ref="AP25:AP27" si="82">AP$20*_xlfn.XLOOKUP(_xlfn.NUMBERVALUE(RIGHT(AP$3,1)),$D$7:$H$7,$D24:$H24)</f>
        <v>7.3361239912999343</v>
      </c>
      <c r="AQ25" s="11">
        <f t="shared" ref="AQ25:AQ27" si="83">AQ$20*_xlfn.XLOOKUP(_xlfn.NUMBERVALUE(RIGHT(AQ$3,1)),$D$7:$H$7,$D24:$H24)</f>
        <v>7.7029301908649312</v>
      </c>
      <c r="AR25" s="11">
        <f t="shared" ref="AR25:AR27" si="84">AR$20*_xlfn.XLOOKUP(_xlfn.NUMBERVALUE(RIGHT(AR$3,1)),$D$7:$H$7,$D24:$H24)</f>
        <v>8.0880767004081786</v>
      </c>
      <c r="AS25" s="11">
        <f t="shared" ref="AS25:AS27" si="85">AS$20*_xlfn.XLOOKUP(_xlfn.NUMBERVALUE(RIGHT(AS$3,1)),$D$7:$H$7,$D24:$H24)</f>
        <v>8.4924805354285873</v>
      </c>
      <c r="AT25" s="11">
        <f t="shared" ref="AT25:AT27" si="86">AT$20*_xlfn.XLOOKUP(_xlfn.NUMBERVALUE(RIGHT(AT$3,1)),$D$7:$H$7,$D24:$H24)</f>
        <v>8.9171045622000182</v>
      </c>
      <c r="AU25" s="11">
        <f t="shared" ref="AU25:AU27" si="87">AU$20*_xlfn.XLOOKUP(_xlfn.NUMBERVALUE(RIGHT(AU$3,1)),$D$7:$H$7,$D24:$H24)</f>
        <v>9.3629597903100183</v>
      </c>
      <c r="AV25" s="11">
        <f t="shared" ref="AV25:AV27" si="88">AV$20*_xlfn.XLOOKUP(_xlfn.NUMBERVALUE(RIGHT(AV$3,1)),$D$7:$H$7,$D24:$H24)</f>
        <v>9.8311077798255191</v>
      </c>
      <c r="AW25" s="11">
        <f t="shared" ref="AW25:AW27" si="89">AW$20*_xlfn.XLOOKUP(_xlfn.NUMBERVALUE(RIGHT(AW$3,1)),$D$7:$H$7,$D24:$H24)</f>
        <v>4.2070359266085076</v>
      </c>
      <c r="AX25" s="11">
        <f t="shared" ref="AX25:AX27" si="90">AX$20*_xlfn.XLOOKUP(_xlfn.NUMBERVALUE(RIGHT(AX$3,1)),$D$7:$H$7,$D24:$H24)</f>
        <v>4.4173877229389324</v>
      </c>
      <c r="AY25" s="11">
        <f t="shared" ref="AY25:AY27" si="91">AY$20*_xlfn.XLOOKUP(_xlfn.NUMBERVALUE(RIGHT(AY$3,1)),$D$7:$H$7,$D24:$H24)</f>
        <v>4.6382571090858793</v>
      </c>
      <c r="AZ25" s="11">
        <f t="shared" ref="AZ25:AZ27" si="92">AZ$20*_xlfn.XLOOKUP(_xlfn.NUMBERVALUE(RIGHT(AZ$3,1)),$D$7:$H$7,$D24:$H24)</f>
        <v>4.8701699645401746</v>
      </c>
      <c r="BA25" s="11">
        <f t="shared" ref="BA25:BA27" si="93">BA$20*_xlfn.XLOOKUP(_xlfn.NUMBERVALUE(RIGHT(BA$3,1)),$D$7:$H$7,$D24:$H24)</f>
        <v>5.113678462767183</v>
      </c>
      <c r="BB25" s="11">
        <f t="shared" ref="BB25:BB27" si="94">BB$20*_xlfn.XLOOKUP(_xlfn.NUMBERVALUE(RIGHT(BB$3,1)),$D$7:$H$7,$D24:$H24)</f>
        <v>5.3693623859055419</v>
      </c>
      <c r="BC25" s="11">
        <f t="shared" ref="BC25:BC27" si="95">BC$20*_xlfn.XLOOKUP(_xlfn.NUMBERVALUE(RIGHT(BC$3,1)),$D$7:$H$7,$D24:$H24)</f>
        <v>5.63783050520082</v>
      </c>
      <c r="BD25" s="11">
        <f t="shared" ref="BD25:BD27" si="96">BD$20*_xlfn.XLOOKUP(_xlfn.NUMBERVALUE(RIGHT(BD$3,1)),$D$7:$H$7,$D24:$H24)</f>
        <v>5.9197220304608598</v>
      </c>
      <c r="BE25" s="11">
        <f t="shared" ref="BE25:BE27" si="97">BE$20*_xlfn.XLOOKUP(_xlfn.NUMBERVALUE(RIGHT(BE$3,1)),$D$7:$H$7,$D24:$H24)</f>
        <v>6.2157081319839032</v>
      </c>
      <c r="BF25" s="11">
        <f t="shared" ref="BF25:BF27" si="98">BF$20*_xlfn.XLOOKUP(_xlfn.NUMBERVALUE(RIGHT(BF$3,1)),$D$7:$H$7,$D24:$H24)</f>
        <v>6.5264935385830984</v>
      </c>
      <c r="BG25" s="11">
        <f t="shared" ref="BG25:BG27" si="99">BG$20*_xlfn.XLOOKUP(_xlfn.NUMBERVALUE(RIGHT(BG$3,1)),$D$7:$H$7,$D24:$H24)</f>
        <v>6.8528182155122543</v>
      </c>
      <c r="BH25" s="11">
        <f t="shared" ref="BH25:BH27" si="100">BH$20*_xlfn.XLOOKUP(_xlfn.NUMBERVALUE(RIGHT(BH$3,1)),$D$7:$H$7,$D24:$H24)</f>
        <v>7.1954591262878669</v>
      </c>
      <c r="BI25" s="11">
        <f t="shared" ref="BI25:BI27" si="101">BI$20*_xlfn.XLOOKUP(_xlfn.NUMBERVALUE(RIGHT(BI$3,1)),$D$7:$H$7,$D24:$H24)</f>
        <v>8.3654591262878668</v>
      </c>
      <c r="BJ25" s="11">
        <f t="shared" ref="BJ25:BJ27" si="102">BJ$20*_xlfn.XLOOKUP(_xlfn.NUMBERVALUE(RIGHT(BJ$3,1)),$D$7:$H$7,$D24:$H24)</f>
        <v>8.7837320826022616</v>
      </c>
      <c r="BK25" s="11">
        <f t="shared" ref="BK25:BK27" si="103">BK$20*_xlfn.XLOOKUP(_xlfn.NUMBERVALUE(RIGHT(BK$3,1)),$D$7:$H$7,$D24:$H24)</f>
        <v>9.2229186867323758</v>
      </c>
      <c r="BL25" s="11">
        <f t="shared" ref="BL25:BL27" si="104">BL$20*_xlfn.XLOOKUP(_xlfn.NUMBERVALUE(RIGHT(BL$3,1)),$D$7:$H$7,$D24:$H24)</f>
        <v>9.6840646210689947</v>
      </c>
      <c r="BM25" s="11">
        <f t="shared" ref="BM25:BM27" si="105">BM$20*_xlfn.XLOOKUP(_xlfn.NUMBERVALUE(RIGHT(BM$3,1)),$D$7:$H$7,$D24:$H24)</f>
        <v>10.168267852122446</v>
      </c>
      <c r="BN25" s="11">
        <f t="shared" ref="BN25:BN27" si="106">BN$20*_xlfn.XLOOKUP(_xlfn.NUMBERVALUE(RIGHT(BN$3,1)),$D$7:$H$7,$D24:$H24)</f>
        <v>10.676681244728567</v>
      </c>
      <c r="BO25" s="11">
        <f t="shared" ref="BO25:BO27" si="107">BO$20*_xlfn.XLOOKUP(_xlfn.NUMBERVALUE(RIGHT(BO$3,1)),$D$7:$H$7,$D24:$H24)</f>
        <v>11.210515306964995</v>
      </c>
      <c r="BP25" s="11">
        <f t="shared" ref="BP25:BP27" si="108">BP$20*_xlfn.XLOOKUP(_xlfn.NUMBERVALUE(RIGHT(BP$3,1)),$D$7:$H$7,$D24:$H24)</f>
        <v>11.771041072313247</v>
      </c>
      <c r="BQ25" s="11">
        <f t="shared" ref="BQ25:BQ27" si="109">BQ$20*_xlfn.XLOOKUP(_xlfn.NUMBERVALUE(RIGHT(BQ$3,1)),$D$7:$H$7,$D24:$H24)</f>
        <v>12.359593125928908</v>
      </c>
      <c r="BR25" s="11">
        <f t="shared" ref="BR25:BR27" si="110">BR$20*_xlfn.XLOOKUP(_xlfn.NUMBERVALUE(RIGHT(BR$3,1)),$D$7:$H$7,$D24:$H24)</f>
        <v>12.977572782225355</v>
      </c>
      <c r="BS25" s="11">
        <f t="shared" ref="BS25:BS27" si="111">BS$20*_xlfn.XLOOKUP(_xlfn.NUMBERVALUE(RIGHT(BS$3,1)),$D$7:$H$7,$D24:$H24)</f>
        <v>13.626451421336624</v>
      </c>
      <c r="BT25" s="11">
        <f t="shared" ref="BT25:BT27" si="112">BT$20*_xlfn.XLOOKUP(_xlfn.NUMBERVALUE(RIGHT(BT$3,1)),$D$7:$H$7,$D24:$H24)</f>
        <v>14.307773992403455</v>
      </c>
    </row>
    <row r="26" spans="2:72" x14ac:dyDescent="0.3">
      <c r="C26" t="str">
        <v>Large Cap</v>
      </c>
      <c r="D26" s="12"/>
      <c r="E26" s="12"/>
      <c r="F26" s="12">
        <v>0.1</v>
      </c>
      <c r="G26" s="12">
        <v>0.2</v>
      </c>
      <c r="H26" s="12">
        <v>0.25</v>
      </c>
      <c r="L26" t="s">
        <v>35</v>
      </c>
      <c r="M26" s="11">
        <f t="shared" si="58"/>
        <v>0</v>
      </c>
      <c r="N26" s="11">
        <f t="shared" ref="N26:N27" si="113">N$20*_xlfn.XLOOKUP(_xlfn.NUMBERVALUE(RIGHT(N$3,1)),$D$7:$H$7,$D25:$H25)</f>
        <v>0</v>
      </c>
      <c r="O26" s="11">
        <f t="shared" ref="O26:O27" si="114">O$20*_xlfn.XLOOKUP(_xlfn.NUMBERVALUE(RIGHT(O$3,1)),$D$7:$H$7,$D25:$H25)</f>
        <v>0</v>
      </c>
      <c r="P26" s="11">
        <f t="shared" ref="P26:P27" si="115">P$20*_xlfn.XLOOKUP(_xlfn.NUMBERVALUE(RIGHT(P$3,1)),$D$7:$H$7,$D25:$H25)</f>
        <v>0</v>
      </c>
      <c r="Q26" s="11">
        <f t="shared" ref="Q26:Q27" si="116">Q$20*_xlfn.XLOOKUP(_xlfn.NUMBERVALUE(RIGHT(Q$3,1)),$D$7:$H$7,$D25:$H25)</f>
        <v>0</v>
      </c>
      <c r="R26" s="11">
        <f t="shared" ref="R26:R27" si="117">R$20*_xlfn.XLOOKUP(_xlfn.NUMBERVALUE(RIGHT(R$3,1)),$D$7:$H$7,$D25:$H25)</f>
        <v>0</v>
      </c>
      <c r="S26" s="11">
        <f t="shared" si="59"/>
        <v>0</v>
      </c>
      <c r="T26" s="11">
        <f t="shared" si="60"/>
        <v>0</v>
      </c>
      <c r="U26" s="11">
        <f t="shared" si="61"/>
        <v>0</v>
      </c>
      <c r="V26" s="11">
        <f t="shared" si="62"/>
        <v>0</v>
      </c>
      <c r="W26" s="11">
        <f t="shared" si="63"/>
        <v>0</v>
      </c>
      <c r="X26" s="11">
        <f t="shared" si="64"/>
        <v>0</v>
      </c>
      <c r="Y26" s="11">
        <f t="shared" si="65"/>
        <v>2.4662036148697886</v>
      </c>
      <c r="Z26" s="11">
        <f t="shared" si="66"/>
        <v>2.5895137956132781</v>
      </c>
      <c r="AA26" s="11">
        <f t="shared" si="67"/>
        <v>2.7189894853939425</v>
      </c>
      <c r="AB26" s="11">
        <f t="shared" si="68"/>
        <v>2.8549389596636394</v>
      </c>
      <c r="AC26" s="11">
        <f t="shared" si="69"/>
        <v>2.9976859076468214</v>
      </c>
      <c r="AD26" s="11">
        <f t="shared" si="70"/>
        <v>3.1475702030291628</v>
      </c>
      <c r="AE26" s="11">
        <f t="shared" si="71"/>
        <v>3.3049487131806203</v>
      </c>
      <c r="AF26" s="11">
        <f t="shared" si="72"/>
        <v>3.4701961488396527</v>
      </c>
      <c r="AG26" s="11">
        <f t="shared" si="73"/>
        <v>3.643705956281635</v>
      </c>
      <c r="AH26" s="11">
        <f t="shared" si="74"/>
        <v>3.8258912540957168</v>
      </c>
      <c r="AI26" s="11">
        <f t="shared" si="75"/>
        <v>4.0171858168005015</v>
      </c>
      <c r="AJ26" s="11">
        <f t="shared" si="76"/>
        <v>4.2180451076405276</v>
      </c>
      <c r="AK26" s="11">
        <f t="shared" si="77"/>
        <v>5.748045107640527</v>
      </c>
      <c r="AL26" s="11">
        <f t="shared" si="78"/>
        <v>6.0354473630225538</v>
      </c>
      <c r="AM26" s="11">
        <f t="shared" si="79"/>
        <v>6.3372197311736835</v>
      </c>
      <c r="AN26" s="11">
        <f t="shared" si="80"/>
        <v>6.6540807177323664</v>
      </c>
      <c r="AO26" s="11">
        <f t="shared" si="81"/>
        <v>6.9867847536189851</v>
      </c>
      <c r="AP26" s="11">
        <f t="shared" si="82"/>
        <v>7.3361239912999343</v>
      </c>
      <c r="AQ26" s="11">
        <f t="shared" si="83"/>
        <v>7.7029301908649312</v>
      </c>
      <c r="AR26" s="11">
        <f t="shared" si="84"/>
        <v>8.0880767004081786</v>
      </c>
      <c r="AS26" s="11">
        <f t="shared" si="85"/>
        <v>8.4924805354285873</v>
      </c>
      <c r="AT26" s="11">
        <f t="shared" si="86"/>
        <v>8.9171045622000182</v>
      </c>
      <c r="AU26" s="11">
        <f t="shared" si="87"/>
        <v>9.3629597903100183</v>
      </c>
      <c r="AV26" s="11">
        <f t="shared" si="88"/>
        <v>9.8311077798255191</v>
      </c>
      <c r="AW26" s="11">
        <f t="shared" si="89"/>
        <v>16.82814370643403</v>
      </c>
      <c r="AX26" s="11">
        <f t="shared" si="90"/>
        <v>17.66955089175573</v>
      </c>
      <c r="AY26" s="11">
        <f t="shared" si="91"/>
        <v>18.553028436343517</v>
      </c>
      <c r="AZ26" s="11">
        <f t="shared" si="92"/>
        <v>19.480679858160698</v>
      </c>
      <c r="BA26" s="11">
        <f t="shared" si="93"/>
        <v>20.454713851068732</v>
      </c>
      <c r="BB26" s="11">
        <f t="shared" si="94"/>
        <v>21.477449543622168</v>
      </c>
      <c r="BC26" s="11">
        <f t="shared" si="95"/>
        <v>22.55132202080328</v>
      </c>
      <c r="BD26" s="11">
        <f t="shared" si="96"/>
        <v>23.678888121843439</v>
      </c>
      <c r="BE26" s="11">
        <f t="shared" si="97"/>
        <v>24.862832527935613</v>
      </c>
      <c r="BF26" s="11">
        <f t="shared" si="98"/>
        <v>26.105974154332394</v>
      </c>
      <c r="BG26" s="11">
        <f t="shared" si="99"/>
        <v>27.411272862049017</v>
      </c>
      <c r="BH26" s="11">
        <f t="shared" si="100"/>
        <v>28.781836505151468</v>
      </c>
      <c r="BI26" s="11">
        <f t="shared" si="101"/>
        <v>33.461836505151467</v>
      </c>
      <c r="BJ26" s="11">
        <f t="shared" si="102"/>
        <v>35.134928330409046</v>
      </c>
      <c r="BK26" s="11">
        <f t="shared" si="103"/>
        <v>36.891674746929503</v>
      </c>
      <c r="BL26" s="11">
        <f t="shared" si="104"/>
        <v>38.736258484275979</v>
      </c>
      <c r="BM26" s="11">
        <f t="shared" si="105"/>
        <v>40.673071408489783</v>
      </c>
      <c r="BN26" s="11">
        <f t="shared" si="106"/>
        <v>42.706724978914266</v>
      </c>
      <c r="BO26" s="11">
        <f t="shared" si="107"/>
        <v>44.842061227859979</v>
      </c>
      <c r="BP26" s="11">
        <f t="shared" si="108"/>
        <v>47.084164289252989</v>
      </c>
      <c r="BQ26" s="11">
        <f t="shared" si="109"/>
        <v>49.438372503715634</v>
      </c>
      <c r="BR26" s="11">
        <f t="shared" si="110"/>
        <v>51.91029112890142</v>
      </c>
      <c r="BS26" s="11">
        <f t="shared" si="111"/>
        <v>54.505805685346495</v>
      </c>
      <c r="BT26" s="11">
        <f t="shared" si="112"/>
        <v>57.231095969613818</v>
      </c>
    </row>
    <row r="27" spans="2:72" x14ac:dyDescent="0.3">
      <c r="D27" s="10"/>
      <c r="E27" s="10"/>
      <c r="F27" s="10"/>
      <c r="G27" s="10"/>
      <c r="H27" s="10"/>
      <c r="L27" t="s">
        <v>37</v>
      </c>
      <c r="M27" s="11">
        <f t="shared" si="58"/>
        <v>0</v>
      </c>
      <c r="N27" s="11">
        <f t="shared" si="113"/>
        <v>0</v>
      </c>
      <c r="O27" s="11">
        <f t="shared" si="114"/>
        <v>0</v>
      </c>
      <c r="P27" s="11">
        <f t="shared" si="115"/>
        <v>0</v>
      </c>
      <c r="Q27" s="11">
        <f t="shared" si="116"/>
        <v>0</v>
      </c>
      <c r="R27" s="11">
        <f t="shared" si="117"/>
        <v>0</v>
      </c>
      <c r="S27" s="11">
        <f t="shared" si="59"/>
        <v>0</v>
      </c>
      <c r="T27" s="11">
        <f t="shared" si="60"/>
        <v>0</v>
      </c>
      <c r="U27" s="11">
        <f t="shared" si="61"/>
        <v>0</v>
      </c>
      <c r="V27" s="11">
        <f t="shared" si="62"/>
        <v>0</v>
      </c>
      <c r="W27" s="11">
        <f t="shared" si="63"/>
        <v>0</v>
      </c>
      <c r="X27" s="11">
        <f t="shared" si="64"/>
        <v>0</v>
      </c>
      <c r="Y27" s="11">
        <f t="shared" si="65"/>
        <v>0</v>
      </c>
      <c r="Z27" s="11">
        <f t="shared" si="66"/>
        <v>0</v>
      </c>
      <c r="AA27" s="11">
        <f t="shared" si="67"/>
        <v>0</v>
      </c>
      <c r="AB27" s="11">
        <f t="shared" si="68"/>
        <v>0</v>
      </c>
      <c r="AC27" s="11">
        <f t="shared" si="69"/>
        <v>0</v>
      </c>
      <c r="AD27" s="11">
        <f t="shared" si="70"/>
        <v>0</v>
      </c>
      <c r="AE27" s="11">
        <f t="shared" si="71"/>
        <v>0</v>
      </c>
      <c r="AF27" s="11">
        <f t="shared" si="72"/>
        <v>0</v>
      </c>
      <c r="AG27" s="11">
        <f t="shared" si="73"/>
        <v>0</v>
      </c>
      <c r="AH27" s="11">
        <f t="shared" si="74"/>
        <v>0</v>
      </c>
      <c r="AI27" s="11">
        <f t="shared" si="75"/>
        <v>0</v>
      </c>
      <c r="AJ27" s="11">
        <f t="shared" si="76"/>
        <v>0</v>
      </c>
      <c r="AK27" s="11">
        <f t="shared" si="77"/>
        <v>3.8320300717603519</v>
      </c>
      <c r="AL27" s="11">
        <f t="shared" si="78"/>
        <v>4.0236315753483698</v>
      </c>
      <c r="AM27" s="11">
        <f t="shared" si="79"/>
        <v>4.2248131541157887</v>
      </c>
      <c r="AN27" s="11">
        <f t="shared" si="80"/>
        <v>4.4360538118215782</v>
      </c>
      <c r="AO27" s="11">
        <f t="shared" si="81"/>
        <v>4.657856502412657</v>
      </c>
      <c r="AP27" s="11">
        <f t="shared" si="82"/>
        <v>4.8907493275332898</v>
      </c>
      <c r="AQ27" s="11">
        <f t="shared" si="83"/>
        <v>5.1352867939099553</v>
      </c>
      <c r="AR27" s="11">
        <f t="shared" si="84"/>
        <v>5.3920511336054533</v>
      </c>
      <c r="AS27" s="11">
        <f t="shared" si="85"/>
        <v>5.6616536902857257</v>
      </c>
      <c r="AT27" s="11">
        <f t="shared" si="86"/>
        <v>5.9447363748000122</v>
      </c>
      <c r="AU27" s="11">
        <f t="shared" si="87"/>
        <v>6.2419731935400131</v>
      </c>
      <c r="AV27" s="11">
        <f t="shared" si="88"/>
        <v>6.5540718532170139</v>
      </c>
      <c r="AW27" s="11">
        <f t="shared" si="89"/>
        <v>16.82814370643403</v>
      </c>
      <c r="AX27" s="11">
        <f t="shared" si="90"/>
        <v>17.66955089175573</v>
      </c>
      <c r="AY27" s="11">
        <f t="shared" si="91"/>
        <v>18.553028436343517</v>
      </c>
      <c r="AZ27" s="11">
        <f t="shared" si="92"/>
        <v>19.480679858160698</v>
      </c>
      <c r="BA27" s="11">
        <f t="shared" si="93"/>
        <v>20.454713851068732</v>
      </c>
      <c r="BB27" s="11">
        <f t="shared" si="94"/>
        <v>21.477449543622168</v>
      </c>
      <c r="BC27" s="11">
        <f t="shared" si="95"/>
        <v>22.55132202080328</v>
      </c>
      <c r="BD27" s="11">
        <f t="shared" si="96"/>
        <v>23.678888121843439</v>
      </c>
      <c r="BE27" s="11">
        <f t="shared" si="97"/>
        <v>24.862832527935613</v>
      </c>
      <c r="BF27" s="11">
        <f t="shared" si="98"/>
        <v>26.105974154332394</v>
      </c>
      <c r="BG27" s="11">
        <f t="shared" si="99"/>
        <v>27.411272862049017</v>
      </c>
      <c r="BH27" s="11">
        <f t="shared" si="100"/>
        <v>28.781836505151468</v>
      </c>
      <c r="BI27" s="11">
        <f t="shared" si="101"/>
        <v>41.827295631439334</v>
      </c>
      <c r="BJ27" s="11">
        <f t="shared" si="102"/>
        <v>43.91866041301131</v>
      </c>
      <c r="BK27" s="11">
        <f t="shared" si="103"/>
        <v>46.114593433661874</v>
      </c>
      <c r="BL27" s="11">
        <f t="shared" si="104"/>
        <v>48.42032310534497</v>
      </c>
      <c r="BM27" s="11">
        <f t="shared" si="105"/>
        <v>50.841339260612223</v>
      </c>
      <c r="BN27" s="11">
        <f t="shared" si="106"/>
        <v>53.38340622364283</v>
      </c>
      <c r="BO27" s="11">
        <f t="shared" si="107"/>
        <v>56.052576534824972</v>
      </c>
      <c r="BP27" s="11">
        <f t="shared" si="108"/>
        <v>58.855205361566235</v>
      </c>
      <c r="BQ27" s="11">
        <f t="shared" si="109"/>
        <v>61.797965629644537</v>
      </c>
      <c r="BR27" s="11">
        <f t="shared" si="110"/>
        <v>64.887863911126772</v>
      </c>
      <c r="BS27" s="11">
        <f t="shared" si="111"/>
        <v>68.132257106683113</v>
      </c>
      <c r="BT27" s="11">
        <f t="shared" si="112"/>
        <v>71.538869962017273</v>
      </c>
    </row>
    <row r="29" spans="2:72" x14ac:dyDescent="0.3">
      <c r="J29" s="16" t="s">
        <v>297</v>
      </c>
    </row>
    <row r="30" spans="2:72" x14ac:dyDescent="0.3">
      <c r="D30" s="9"/>
      <c r="E30" s="10"/>
      <c r="F30" s="10"/>
      <c r="G30" s="10"/>
      <c r="H30" s="10"/>
      <c r="K30" t="s">
        <v>36</v>
      </c>
      <c r="L30" t="s">
        <v>34</v>
      </c>
      <c r="M30" s="8">
        <f>M12</f>
        <v>0</v>
      </c>
      <c r="N30" s="8">
        <f>M30+N12</f>
        <v>0</v>
      </c>
      <c r="O30" s="8">
        <f t="shared" ref="O30:BS30" si="118">N30+O12</f>
        <v>0</v>
      </c>
      <c r="P30" s="8">
        <f t="shared" si="118"/>
        <v>0</v>
      </c>
      <c r="Q30" s="8">
        <f t="shared" si="118"/>
        <v>0</v>
      </c>
      <c r="R30" s="8">
        <f t="shared" si="118"/>
        <v>0</v>
      </c>
      <c r="S30" s="8">
        <f t="shared" si="118"/>
        <v>4</v>
      </c>
      <c r="T30" s="8">
        <f t="shared" si="118"/>
        <v>8</v>
      </c>
      <c r="U30" s="8">
        <f t="shared" si="118"/>
        <v>12</v>
      </c>
      <c r="V30" s="8">
        <f t="shared" si="118"/>
        <v>16</v>
      </c>
      <c r="W30" s="8">
        <f t="shared" si="118"/>
        <v>21</v>
      </c>
      <c r="X30" s="8">
        <f t="shared" si="118"/>
        <v>26</v>
      </c>
      <c r="Y30" s="8">
        <f t="shared" si="118"/>
        <v>33</v>
      </c>
      <c r="Z30" s="8">
        <f t="shared" si="118"/>
        <v>40</v>
      </c>
      <c r="AA30" s="8">
        <f t="shared" si="118"/>
        <v>47</v>
      </c>
      <c r="AB30" s="8">
        <f t="shared" si="118"/>
        <v>55</v>
      </c>
      <c r="AC30" s="8">
        <f t="shared" si="118"/>
        <v>63</v>
      </c>
      <c r="AD30" s="8">
        <f t="shared" si="118"/>
        <v>71</v>
      </c>
      <c r="AE30" s="8">
        <f t="shared" si="118"/>
        <v>80</v>
      </c>
      <c r="AF30" s="8">
        <f t="shared" si="118"/>
        <v>89</v>
      </c>
      <c r="AG30" s="8">
        <f t="shared" si="118"/>
        <v>99</v>
      </c>
      <c r="AH30" s="8">
        <f t="shared" si="118"/>
        <v>109</v>
      </c>
      <c r="AI30" s="8">
        <f t="shared" si="118"/>
        <v>120</v>
      </c>
      <c r="AJ30" s="8">
        <f t="shared" si="118"/>
        <v>131</v>
      </c>
      <c r="AK30" s="8">
        <f t="shared" si="118"/>
        <v>139</v>
      </c>
      <c r="AL30" s="8">
        <f t="shared" si="118"/>
        <v>147</v>
      </c>
      <c r="AM30" s="8">
        <f t="shared" si="118"/>
        <v>155</v>
      </c>
      <c r="AN30" s="8">
        <f t="shared" si="118"/>
        <v>164</v>
      </c>
      <c r="AO30" s="8">
        <f t="shared" si="118"/>
        <v>173</v>
      </c>
      <c r="AP30" s="8">
        <f t="shared" si="118"/>
        <v>183</v>
      </c>
      <c r="AQ30" s="8">
        <f t="shared" si="118"/>
        <v>193</v>
      </c>
      <c r="AR30" s="8">
        <f t="shared" si="118"/>
        <v>204</v>
      </c>
      <c r="AS30" s="8">
        <f t="shared" si="118"/>
        <v>215</v>
      </c>
      <c r="AT30" s="8">
        <f t="shared" si="118"/>
        <v>227</v>
      </c>
      <c r="AU30" s="8">
        <f t="shared" si="118"/>
        <v>239</v>
      </c>
      <c r="AV30" s="8">
        <f t="shared" si="118"/>
        <v>252</v>
      </c>
      <c r="AW30" s="8">
        <f t="shared" si="118"/>
        <v>256</v>
      </c>
      <c r="AX30" s="8">
        <f t="shared" si="118"/>
        <v>260</v>
      </c>
      <c r="AY30" s="8">
        <f t="shared" si="118"/>
        <v>265</v>
      </c>
      <c r="AZ30" s="8">
        <f t="shared" si="118"/>
        <v>270</v>
      </c>
      <c r="BA30" s="8">
        <f t="shared" si="118"/>
        <v>275</v>
      </c>
      <c r="BB30" s="8">
        <f t="shared" si="118"/>
        <v>280</v>
      </c>
      <c r="BC30" s="8">
        <f t="shared" si="118"/>
        <v>286</v>
      </c>
      <c r="BD30" s="8">
        <f t="shared" si="118"/>
        <v>292</v>
      </c>
      <c r="BE30" s="8">
        <f t="shared" si="118"/>
        <v>298</v>
      </c>
      <c r="BF30" s="8">
        <f t="shared" si="118"/>
        <v>305</v>
      </c>
      <c r="BG30" s="8">
        <f t="shared" si="118"/>
        <v>312</v>
      </c>
      <c r="BH30" s="8">
        <f t="shared" si="118"/>
        <v>319</v>
      </c>
      <c r="BI30" s="8">
        <f t="shared" si="118"/>
        <v>324</v>
      </c>
      <c r="BJ30" s="8">
        <f t="shared" si="118"/>
        <v>329</v>
      </c>
      <c r="BK30" s="8">
        <f t="shared" si="118"/>
        <v>335</v>
      </c>
      <c r="BL30" s="8">
        <f t="shared" si="118"/>
        <v>341</v>
      </c>
      <c r="BM30" s="8">
        <f t="shared" si="118"/>
        <v>347</v>
      </c>
      <c r="BN30" s="8">
        <f t="shared" si="118"/>
        <v>353</v>
      </c>
      <c r="BO30" s="8">
        <f t="shared" si="118"/>
        <v>360</v>
      </c>
      <c r="BP30" s="8">
        <f t="shared" si="118"/>
        <v>367</v>
      </c>
      <c r="BQ30" s="8">
        <f t="shared" si="118"/>
        <v>374</v>
      </c>
      <c r="BR30" s="8">
        <f t="shared" si="118"/>
        <v>382</v>
      </c>
      <c r="BS30" s="8">
        <f t="shared" si="118"/>
        <v>390</v>
      </c>
      <c r="BT30" s="8">
        <f>BS30+BT12</f>
        <v>399</v>
      </c>
    </row>
    <row r="31" spans="2:72" x14ac:dyDescent="0.3">
      <c r="B31" s="22" t="s">
        <v>41</v>
      </c>
      <c r="C31" t="s">
        <v>42</v>
      </c>
      <c r="D31" s="9">
        <v>0.95</v>
      </c>
      <c r="E31" s="10"/>
      <c r="F31" s="10"/>
      <c r="G31" s="10"/>
      <c r="H31" s="10"/>
      <c r="L31" t="s">
        <v>35</v>
      </c>
      <c r="M31" s="8">
        <f>M13</f>
        <v>0</v>
      </c>
      <c r="N31" s="8">
        <f>M31+N13</f>
        <v>0</v>
      </c>
      <c r="O31" s="8">
        <f t="shared" ref="O31:BS31" si="119">N31+O13</f>
        <v>0</v>
      </c>
      <c r="P31" s="8">
        <f t="shared" si="119"/>
        <v>0</v>
      </c>
      <c r="Q31" s="8">
        <f t="shared" si="119"/>
        <v>0</v>
      </c>
      <c r="R31" s="8">
        <f t="shared" si="119"/>
        <v>0</v>
      </c>
      <c r="S31" s="8">
        <f t="shared" si="119"/>
        <v>0</v>
      </c>
      <c r="T31" s="8">
        <f t="shared" si="119"/>
        <v>0</v>
      </c>
      <c r="U31" s="8">
        <f t="shared" si="119"/>
        <v>0</v>
      </c>
      <c r="V31" s="8">
        <f t="shared" si="119"/>
        <v>0</v>
      </c>
      <c r="W31" s="8">
        <f t="shared" si="119"/>
        <v>0</v>
      </c>
      <c r="X31" s="8">
        <f t="shared" si="119"/>
        <v>0</v>
      </c>
      <c r="Y31" s="8">
        <f t="shared" si="119"/>
        <v>3</v>
      </c>
      <c r="Z31" s="8">
        <f t="shared" si="119"/>
        <v>6</v>
      </c>
      <c r="AA31" s="8">
        <f t="shared" si="119"/>
        <v>10</v>
      </c>
      <c r="AB31" s="8">
        <f t="shared" si="119"/>
        <v>14</v>
      </c>
      <c r="AC31" s="8">
        <f t="shared" si="119"/>
        <v>18</v>
      </c>
      <c r="AD31" s="8">
        <f t="shared" si="119"/>
        <v>22</v>
      </c>
      <c r="AE31" s="8">
        <f t="shared" si="119"/>
        <v>26</v>
      </c>
      <c r="AF31" s="8">
        <f t="shared" si="119"/>
        <v>31</v>
      </c>
      <c r="AG31" s="8">
        <f t="shared" si="119"/>
        <v>36</v>
      </c>
      <c r="AH31" s="8">
        <f t="shared" si="119"/>
        <v>41</v>
      </c>
      <c r="AI31" s="8">
        <f t="shared" si="119"/>
        <v>46</v>
      </c>
      <c r="AJ31" s="8">
        <f t="shared" si="119"/>
        <v>52</v>
      </c>
      <c r="AK31" s="8">
        <f t="shared" si="119"/>
        <v>63</v>
      </c>
      <c r="AL31" s="8">
        <f t="shared" si="119"/>
        <v>75</v>
      </c>
      <c r="AM31" s="8">
        <f t="shared" si="119"/>
        <v>88</v>
      </c>
      <c r="AN31" s="8">
        <f t="shared" si="119"/>
        <v>101</v>
      </c>
      <c r="AO31" s="8">
        <f t="shared" si="119"/>
        <v>115</v>
      </c>
      <c r="AP31" s="8">
        <f t="shared" si="119"/>
        <v>130</v>
      </c>
      <c r="AQ31" s="8">
        <f t="shared" si="119"/>
        <v>145</v>
      </c>
      <c r="AR31" s="8">
        <f t="shared" si="119"/>
        <v>161</v>
      </c>
      <c r="AS31" s="8">
        <f t="shared" si="119"/>
        <v>178</v>
      </c>
      <c r="AT31" s="8">
        <f t="shared" si="119"/>
        <v>196</v>
      </c>
      <c r="AU31" s="8">
        <f t="shared" si="119"/>
        <v>215</v>
      </c>
      <c r="AV31" s="8">
        <f t="shared" si="119"/>
        <v>235</v>
      </c>
      <c r="AW31" s="8">
        <f t="shared" si="119"/>
        <v>260</v>
      </c>
      <c r="AX31" s="8">
        <f t="shared" si="119"/>
        <v>287</v>
      </c>
      <c r="AY31" s="8">
        <f t="shared" si="119"/>
        <v>315</v>
      </c>
      <c r="AZ31" s="8">
        <f t="shared" si="119"/>
        <v>344</v>
      </c>
      <c r="BA31" s="8">
        <f t="shared" si="119"/>
        <v>375</v>
      </c>
      <c r="BB31" s="8">
        <f t="shared" si="119"/>
        <v>407</v>
      </c>
      <c r="BC31" s="8">
        <f t="shared" si="119"/>
        <v>441</v>
      </c>
      <c r="BD31" s="8">
        <f t="shared" si="119"/>
        <v>477</v>
      </c>
      <c r="BE31" s="8">
        <f t="shared" si="119"/>
        <v>514</v>
      </c>
      <c r="BF31" s="8">
        <f t="shared" si="119"/>
        <v>553</v>
      </c>
      <c r="BG31" s="8">
        <f t="shared" si="119"/>
        <v>594</v>
      </c>
      <c r="BH31" s="8">
        <f t="shared" si="119"/>
        <v>637</v>
      </c>
      <c r="BI31" s="8">
        <f t="shared" si="119"/>
        <v>665</v>
      </c>
      <c r="BJ31" s="8">
        <f t="shared" si="119"/>
        <v>695</v>
      </c>
      <c r="BK31" s="8">
        <f t="shared" si="119"/>
        <v>726</v>
      </c>
      <c r="BL31" s="8">
        <f t="shared" si="119"/>
        <v>759</v>
      </c>
      <c r="BM31" s="8">
        <f t="shared" si="119"/>
        <v>794</v>
      </c>
      <c r="BN31" s="8">
        <f t="shared" si="119"/>
        <v>830</v>
      </c>
      <c r="BO31" s="8">
        <f t="shared" si="119"/>
        <v>868</v>
      </c>
      <c r="BP31" s="8">
        <f t="shared" si="119"/>
        <v>908</v>
      </c>
      <c r="BQ31" s="8">
        <f t="shared" si="119"/>
        <v>950</v>
      </c>
      <c r="BR31" s="8">
        <f t="shared" si="119"/>
        <v>994</v>
      </c>
      <c r="BS31" s="8">
        <f t="shared" si="119"/>
        <v>1040</v>
      </c>
      <c r="BT31" s="8">
        <f>BS31+BT13</f>
        <v>1089</v>
      </c>
    </row>
    <row r="32" spans="2:72" x14ac:dyDescent="0.3">
      <c r="B32" s="16"/>
      <c r="C32" t="s">
        <v>43</v>
      </c>
      <c r="D32" s="9">
        <v>0.04</v>
      </c>
      <c r="E32" s="10"/>
      <c r="F32" s="10"/>
      <c r="G32" s="10"/>
      <c r="H32" s="10"/>
      <c r="L32" t="s">
        <v>37</v>
      </c>
      <c r="M32" s="8">
        <f>M14</f>
        <v>0</v>
      </c>
      <c r="N32" s="8">
        <f>M32+N14</f>
        <v>0</v>
      </c>
      <c r="O32" s="8">
        <f t="shared" ref="O32:BS32" si="120">N32+O14</f>
        <v>0</v>
      </c>
      <c r="P32" s="8">
        <f t="shared" si="120"/>
        <v>0</v>
      </c>
      <c r="Q32" s="8">
        <f t="shared" si="120"/>
        <v>0</v>
      </c>
      <c r="R32" s="8">
        <f t="shared" si="120"/>
        <v>0</v>
      </c>
      <c r="S32" s="8">
        <f t="shared" si="120"/>
        <v>0</v>
      </c>
      <c r="T32" s="8">
        <f t="shared" si="120"/>
        <v>0</v>
      </c>
      <c r="U32" s="8">
        <f t="shared" si="120"/>
        <v>0</v>
      </c>
      <c r="V32" s="8">
        <f t="shared" si="120"/>
        <v>0</v>
      </c>
      <c r="W32" s="8">
        <f t="shared" si="120"/>
        <v>0</v>
      </c>
      <c r="X32" s="8">
        <f t="shared" si="120"/>
        <v>0</v>
      </c>
      <c r="Y32" s="8">
        <f t="shared" si="120"/>
        <v>0</v>
      </c>
      <c r="Z32" s="8">
        <f t="shared" si="120"/>
        <v>0</v>
      </c>
      <c r="AA32" s="8">
        <f t="shared" si="120"/>
        <v>0</v>
      </c>
      <c r="AB32" s="8">
        <f t="shared" si="120"/>
        <v>0</v>
      </c>
      <c r="AC32" s="8">
        <f t="shared" si="120"/>
        <v>0</v>
      </c>
      <c r="AD32" s="8">
        <f t="shared" si="120"/>
        <v>0</v>
      </c>
      <c r="AE32" s="8">
        <f t="shared" si="120"/>
        <v>0</v>
      </c>
      <c r="AF32" s="8">
        <f t="shared" si="120"/>
        <v>0</v>
      </c>
      <c r="AG32" s="8">
        <f t="shared" si="120"/>
        <v>0</v>
      </c>
      <c r="AH32" s="8">
        <f t="shared" si="120"/>
        <v>0</v>
      </c>
      <c r="AI32" s="8">
        <f t="shared" si="120"/>
        <v>0</v>
      </c>
      <c r="AJ32" s="8">
        <f t="shared" si="120"/>
        <v>0</v>
      </c>
      <c r="AK32" s="8">
        <f t="shared" si="120"/>
        <v>4</v>
      </c>
      <c r="AL32" s="8">
        <f t="shared" si="120"/>
        <v>8</v>
      </c>
      <c r="AM32" s="8">
        <f t="shared" si="120"/>
        <v>12</v>
      </c>
      <c r="AN32" s="8">
        <f t="shared" si="120"/>
        <v>16</v>
      </c>
      <c r="AO32" s="8">
        <f t="shared" si="120"/>
        <v>21</v>
      </c>
      <c r="AP32" s="8">
        <f t="shared" si="120"/>
        <v>26</v>
      </c>
      <c r="AQ32" s="8">
        <f t="shared" si="120"/>
        <v>31</v>
      </c>
      <c r="AR32" s="8">
        <f t="shared" si="120"/>
        <v>36</v>
      </c>
      <c r="AS32" s="8">
        <f t="shared" si="120"/>
        <v>42</v>
      </c>
      <c r="AT32" s="8">
        <f t="shared" si="120"/>
        <v>48</v>
      </c>
      <c r="AU32" s="8">
        <f t="shared" si="120"/>
        <v>54</v>
      </c>
      <c r="AV32" s="8">
        <f t="shared" si="120"/>
        <v>61</v>
      </c>
      <c r="AW32" s="8">
        <f t="shared" si="120"/>
        <v>78</v>
      </c>
      <c r="AX32" s="8">
        <f t="shared" si="120"/>
        <v>96</v>
      </c>
      <c r="AY32" s="8">
        <f t="shared" si="120"/>
        <v>115</v>
      </c>
      <c r="AZ32" s="8">
        <f t="shared" si="120"/>
        <v>134</v>
      </c>
      <c r="BA32" s="8">
        <f t="shared" si="120"/>
        <v>154</v>
      </c>
      <c r="BB32" s="8">
        <f t="shared" si="120"/>
        <v>175</v>
      </c>
      <c r="BC32" s="8">
        <f t="shared" si="120"/>
        <v>198</v>
      </c>
      <c r="BD32" s="8">
        <f t="shared" si="120"/>
        <v>222</v>
      </c>
      <c r="BE32" s="8">
        <f t="shared" si="120"/>
        <v>247</v>
      </c>
      <c r="BF32" s="8">
        <f t="shared" si="120"/>
        <v>273</v>
      </c>
      <c r="BG32" s="8">
        <f t="shared" si="120"/>
        <v>300</v>
      </c>
      <c r="BH32" s="8">
        <f t="shared" si="120"/>
        <v>329</v>
      </c>
      <c r="BI32" s="8">
        <f t="shared" si="120"/>
        <v>379</v>
      </c>
      <c r="BJ32" s="8">
        <f t="shared" si="120"/>
        <v>432</v>
      </c>
      <c r="BK32" s="8">
        <f t="shared" si="120"/>
        <v>487</v>
      </c>
      <c r="BL32" s="8">
        <f t="shared" si="120"/>
        <v>545</v>
      </c>
      <c r="BM32" s="8">
        <f t="shared" si="120"/>
        <v>606</v>
      </c>
      <c r="BN32" s="8">
        <f t="shared" si="120"/>
        <v>670</v>
      </c>
      <c r="BO32" s="8">
        <f t="shared" si="120"/>
        <v>737</v>
      </c>
      <c r="BP32" s="8">
        <f t="shared" si="120"/>
        <v>808</v>
      </c>
      <c r="BQ32" s="8">
        <f t="shared" si="120"/>
        <v>882</v>
      </c>
      <c r="BR32" s="8">
        <f t="shared" si="120"/>
        <v>960</v>
      </c>
      <c r="BS32" s="8">
        <f t="shared" si="120"/>
        <v>1042</v>
      </c>
      <c r="BT32" s="8">
        <f>BS32+BT14</f>
        <v>1128</v>
      </c>
    </row>
    <row r="33" spans="2:74" x14ac:dyDescent="0.3">
      <c r="B33" s="16"/>
      <c r="C33" t="s">
        <v>45</v>
      </c>
      <c r="D33" s="9">
        <v>0.01</v>
      </c>
      <c r="E33" s="10"/>
      <c r="F33" s="10"/>
      <c r="G33" s="10"/>
      <c r="H33" s="10"/>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spans="2:74" x14ac:dyDescent="0.3">
      <c r="K34" t="s">
        <v>39</v>
      </c>
      <c r="L34" t="s">
        <v>34</v>
      </c>
      <c r="M34" s="8">
        <f>M16</f>
        <v>0</v>
      </c>
      <c r="N34" s="8">
        <f>M34+N16</f>
        <v>0</v>
      </c>
      <c r="O34" s="8">
        <f t="shared" ref="O34:BS34" si="121">N34+O16</f>
        <v>0</v>
      </c>
      <c r="P34" s="8">
        <f t="shared" si="121"/>
        <v>0</v>
      </c>
      <c r="Q34" s="8">
        <f t="shared" si="121"/>
        <v>0</v>
      </c>
      <c r="R34" s="8">
        <f t="shared" si="121"/>
        <v>0</v>
      </c>
      <c r="S34" s="8">
        <f t="shared" si="121"/>
        <v>2</v>
      </c>
      <c r="T34" s="8">
        <f t="shared" si="121"/>
        <v>4</v>
      </c>
      <c r="U34" s="8">
        <f t="shared" si="121"/>
        <v>6</v>
      </c>
      <c r="V34" s="8">
        <f t="shared" si="121"/>
        <v>8</v>
      </c>
      <c r="W34" s="8">
        <f t="shared" si="121"/>
        <v>10</v>
      </c>
      <c r="X34" s="8">
        <f t="shared" si="121"/>
        <v>12</v>
      </c>
      <c r="Y34" s="8">
        <f t="shared" si="121"/>
        <v>16</v>
      </c>
      <c r="Z34" s="8">
        <f t="shared" si="121"/>
        <v>20</v>
      </c>
      <c r="AA34" s="8">
        <f t="shared" si="121"/>
        <v>25</v>
      </c>
      <c r="AB34" s="8">
        <f t="shared" si="121"/>
        <v>30</v>
      </c>
      <c r="AC34" s="8">
        <f t="shared" si="121"/>
        <v>35</v>
      </c>
      <c r="AD34" s="8">
        <f t="shared" si="121"/>
        <v>40</v>
      </c>
      <c r="AE34" s="8">
        <f t="shared" si="121"/>
        <v>46</v>
      </c>
      <c r="AF34" s="8">
        <f t="shared" si="121"/>
        <v>52</v>
      </c>
      <c r="AG34" s="8">
        <f t="shared" si="121"/>
        <v>58</v>
      </c>
      <c r="AH34" s="8">
        <f t="shared" si="121"/>
        <v>64</v>
      </c>
      <c r="AI34" s="8">
        <f t="shared" si="121"/>
        <v>71</v>
      </c>
      <c r="AJ34" s="8">
        <f t="shared" si="121"/>
        <v>78</v>
      </c>
      <c r="AK34" s="8">
        <f t="shared" si="121"/>
        <v>84</v>
      </c>
      <c r="AL34" s="8">
        <f t="shared" si="121"/>
        <v>90</v>
      </c>
      <c r="AM34" s="8">
        <f t="shared" si="121"/>
        <v>96</v>
      </c>
      <c r="AN34" s="8">
        <f t="shared" si="121"/>
        <v>103</v>
      </c>
      <c r="AO34" s="8">
        <f t="shared" si="121"/>
        <v>110</v>
      </c>
      <c r="AP34" s="8">
        <f t="shared" si="121"/>
        <v>117</v>
      </c>
      <c r="AQ34" s="8">
        <f t="shared" si="121"/>
        <v>125</v>
      </c>
      <c r="AR34" s="8">
        <f t="shared" si="121"/>
        <v>133</v>
      </c>
      <c r="AS34" s="8">
        <f t="shared" si="121"/>
        <v>141</v>
      </c>
      <c r="AT34" s="8">
        <f t="shared" si="121"/>
        <v>150</v>
      </c>
      <c r="AU34" s="8">
        <f t="shared" si="121"/>
        <v>159</v>
      </c>
      <c r="AV34" s="8">
        <f t="shared" si="121"/>
        <v>169</v>
      </c>
      <c r="AW34" s="8">
        <f t="shared" si="121"/>
        <v>173</v>
      </c>
      <c r="AX34" s="8">
        <f t="shared" si="121"/>
        <v>177</v>
      </c>
      <c r="AY34" s="8">
        <f t="shared" si="121"/>
        <v>182</v>
      </c>
      <c r="AZ34" s="8">
        <f t="shared" si="121"/>
        <v>187</v>
      </c>
      <c r="BA34" s="8">
        <f t="shared" si="121"/>
        <v>192</v>
      </c>
      <c r="BB34" s="8">
        <f t="shared" si="121"/>
        <v>197</v>
      </c>
      <c r="BC34" s="8">
        <f t="shared" si="121"/>
        <v>203</v>
      </c>
      <c r="BD34" s="8">
        <f t="shared" si="121"/>
        <v>209</v>
      </c>
      <c r="BE34" s="8">
        <f t="shared" si="121"/>
        <v>215</v>
      </c>
      <c r="BF34" s="8">
        <f t="shared" si="121"/>
        <v>222</v>
      </c>
      <c r="BG34" s="8">
        <f t="shared" si="121"/>
        <v>229</v>
      </c>
      <c r="BH34" s="8">
        <f t="shared" si="121"/>
        <v>236</v>
      </c>
      <c r="BI34" s="8">
        <f t="shared" si="121"/>
        <v>244</v>
      </c>
      <c r="BJ34" s="8">
        <f t="shared" si="121"/>
        <v>253</v>
      </c>
      <c r="BK34" s="8">
        <f t="shared" si="121"/>
        <v>262</v>
      </c>
      <c r="BL34" s="8">
        <f t="shared" si="121"/>
        <v>272</v>
      </c>
      <c r="BM34" s="8">
        <f t="shared" si="121"/>
        <v>282</v>
      </c>
      <c r="BN34" s="8">
        <f t="shared" si="121"/>
        <v>293</v>
      </c>
      <c r="BO34" s="8">
        <f t="shared" si="121"/>
        <v>304</v>
      </c>
      <c r="BP34" s="8">
        <f t="shared" si="121"/>
        <v>316</v>
      </c>
      <c r="BQ34" s="8">
        <f t="shared" si="121"/>
        <v>328</v>
      </c>
      <c r="BR34" s="8">
        <f t="shared" si="121"/>
        <v>341</v>
      </c>
      <c r="BS34" s="8">
        <f t="shared" si="121"/>
        <v>355</v>
      </c>
      <c r="BT34" s="8">
        <f>BS34+BT16</f>
        <v>369</v>
      </c>
    </row>
    <row r="35" spans="2:74" x14ac:dyDescent="0.3">
      <c r="D35" s="133" t="s">
        <v>27</v>
      </c>
      <c r="E35" s="133"/>
      <c r="F35" s="133"/>
      <c r="G35" s="133"/>
      <c r="H35" s="133"/>
      <c r="L35" t="s">
        <v>35</v>
      </c>
      <c r="M35" s="8">
        <f>M17</f>
        <v>0</v>
      </c>
      <c r="N35" s="8">
        <f>M35+N17</f>
        <v>0</v>
      </c>
      <c r="O35" s="8">
        <f t="shared" ref="O35:BS35" si="122">N35+O17</f>
        <v>0</v>
      </c>
      <c r="P35" s="8">
        <f t="shared" si="122"/>
        <v>0</v>
      </c>
      <c r="Q35" s="8">
        <f t="shared" si="122"/>
        <v>0</v>
      </c>
      <c r="R35" s="8">
        <f t="shared" si="122"/>
        <v>0</v>
      </c>
      <c r="S35" s="8">
        <f t="shared" si="122"/>
        <v>0</v>
      </c>
      <c r="T35" s="8">
        <f t="shared" si="122"/>
        <v>0</v>
      </c>
      <c r="U35" s="8">
        <f t="shared" si="122"/>
        <v>0</v>
      </c>
      <c r="V35" s="8">
        <f t="shared" si="122"/>
        <v>0</v>
      </c>
      <c r="W35" s="8">
        <f t="shared" si="122"/>
        <v>0</v>
      </c>
      <c r="X35" s="8">
        <f t="shared" si="122"/>
        <v>0</v>
      </c>
      <c r="Y35" s="8">
        <f t="shared" si="122"/>
        <v>2</v>
      </c>
      <c r="Z35" s="8">
        <f t="shared" si="122"/>
        <v>5</v>
      </c>
      <c r="AA35" s="8">
        <f t="shared" si="122"/>
        <v>8</v>
      </c>
      <c r="AB35" s="8">
        <f t="shared" si="122"/>
        <v>11</v>
      </c>
      <c r="AC35" s="8">
        <f t="shared" si="122"/>
        <v>14</v>
      </c>
      <c r="AD35" s="8">
        <f t="shared" si="122"/>
        <v>17</v>
      </c>
      <c r="AE35" s="8">
        <f t="shared" si="122"/>
        <v>20</v>
      </c>
      <c r="AF35" s="8">
        <f t="shared" si="122"/>
        <v>23</v>
      </c>
      <c r="AG35" s="8">
        <f t="shared" si="122"/>
        <v>27</v>
      </c>
      <c r="AH35" s="8">
        <f t="shared" si="122"/>
        <v>31</v>
      </c>
      <c r="AI35" s="8">
        <f t="shared" si="122"/>
        <v>35</v>
      </c>
      <c r="AJ35" s="8">
        <f t="shared" si="122"/>
        <v>39</v>
      </c>
      <c r="AK35" s="8">
        <f t="shared" si="122"/>
        <v>45</v>
      </c>
      <c r="AL35" s="8">
        <f t="shared" si="122"/>
        <v>51</v>
      </c>
      <c r="AM35" s="8">
        <f t="shared" si="122"/>
        <v>57</v>
      </c>
      <c r="AN35" s="8">
        <f t="shared" si="122"/>
        <v>64</v>
      </c>
      <c r="AO35" s="8">
        <f t="shared" si="122"/>
        <v>71</v>
      </c>
      <c r="AP35" s="8">
        <f t="shared" si="122"/>
        <v>78</v>
      </c>
      <c r="AQ35" s="8">
        <f t="shared" si="122"/>
        <v>86</v>
      </c>
      <c r="AR35" s="8">
        <f t="shared" si="122"/>
        <v>94</v>
      </c>
      <c r="AS35" s="8">
        <f t="shared" si="122"/>
        <v>102</v>
      </c>
      <c r="AT35" s="8">
        <f t="shared" si="122"/>
        <v>111</v>
      </c>
      <c r="AU35" s="8">
        <f t="shared" si="122"/>
        <v>120</v>
      </c>
      <c r="AV35" s="8">
        <f t="shared" si="122"/>
        <v>130</v>
      </c>
      <c r="AW35" s="8">
        <f t="shared" si="122"/>
        <v>147</v>
      </c>
      <c r="AX35" s="8">
        <f t="shared" si="122"/>
        <v>165</v>
      </c>
      <c r="AY35" s="8">
        <f t="shared" si="122"/>
        <v>184</v>
      </c>
      <c r="AZ35" s="8">
        <f t="shared" si="122"/>
        <v>203</v>
      </c>
      <c r="BA35" s="8">
        <f t="shared" si="122"/>
        <v>223</v>
      </c>
      <c r="BB35" s="8">
        <f t="shared" si="122"/>
        <v>244</v>
      </c>
      <c r="BC35" s="8">
        <f t="shared" si="122"/>
        <v>267</v>
      </c>
      <c r="BD35" s="8">
        <f t="shared" si="122"/>
        <v>291</v>
      </c>
      <c r="BE35" s="8">
        <f t="shared" si="122"/>
        <v>316</v>
      </c>
      <c r="BF35" s="8">
        <f t="shared" si="122"/>
        <v>342</v>
      </c>
      <c r="BG35" s="8">
        <f t="shared" si="122"/>
        <v>369</v>
      </c>
      <c r="BH35" s="8">
        <f t="shared" si="122"/>
        <v>398</v>
      </c>
      <c r="BI35" s="8">
        <f t="shared" si="122"/>
        <v>431</v>
      </c>
      <c r="BJ35" s="8">
        <f t="shared" si="122"/>
        <v>466</v>
      </c>
      <c r="BK35" s="8">
        <f t="shared" si="122"/>
        <v>503</v>
      </c>
      <c r="BL35" s="8">
        <f t="shared" si="122"/>
        <v>542</v>
      </c>
      <c r="BM35" s="8">
        <f t="shared" si="122"/>
        <v>583</v>
      </c>
      <c r="BN35" s="8">
        <f t="shared" si="122"/>
        <v>626</v>
      </c>
      <c r="BO35" s="8">
        <f t="shared" si="122"/>
        <v>671</v>
      </c>
      <c r="BP35" s="8">
        <f t="shared" si="122"/>
        <v>718</v>
      </c>
      <c r="BQ35" s="8">
        <f t="shared" si="122"/>
        <v>767</v>
      </c>
      <c r="BR35" s="8">
        <f t="shared" si="122"/>
        <v>819</v>
      </c>
      <c r="BS35" s="8">
        <f t="shared" si="122"/>
        <v>874</v>
      </c>
      <c r="BT35" s="8">
        <f>BS35+BT17</f>
        <v>931</v>
      </c>
    </row>
    <row r="36" spans="2:74" x14ac:dyDescent="0.3">
      <c r="B36" s="3" t="s">
        <v>46</v>
      </c>
      <c r="C36" t="s">
        <v>47</v>
      </c>
      <c r="D36" s="5" t="s">
        <v>48</v>
      </c>
      <c r="E36" s="5" t="s">
        <v>49</v>
      </c>
      <c r="F36" s="5" t="s">
        <v>50</v>
      </c>
      <c r="G36" s="5" t="s">
        <v>51</v>
      </c>
      <c r="H36" s="5" t="s">
        <v>52</v>
      </c>
      <c r="L36" t="s">
        <v>37</v>
      </c>
      <c r="M36" s="8">
        <f>M18</f>
        <v>0</v>
      </c>
      <c r="N36" s="8">
        <f>M36+N18</f>
        <v>0</v>
      </c>
      <c r="O36" s="8">
        <f t="shared" ref="O36:BS36" si="123">N36+O18</f>
        <v>0</v>
      </c>
      <c r="P36" s="8">
        <f t="shared" si="123"/>
        <v>0</v>
      </c>
      <c r="Q36" s="8">
        <f t="shared" si="123"/>
        <v>0</v>
      </c>
      <c r="R36" s="8">
        <f t="shared" si="123"/>
        <v>0</v>
      </c>
      <c r="S36" s="8">
        <f t="shared" si="123"/>
        <v>0</v>
      </c>
      <c r="T36" s="8">
        <f t="shared" si="123"/>
        <v>0</v>
      </c>
      <c r="U36" s="8">
        <f t="shared" si="123"/>
        <v>0</v>
      </c>
      <c r="V36" s="8">
        <f t="shared" si="123"/>
        <v>0</v>
      </c>
      <c r="W36" s="8">
        <f t="shared" si="123"/>
        <v>0</v>
      </c>
      <c r="X36" s="8">
        <f t="shared" si="123"/>
        <v>0</v>
      </c>
      <c r="Y36" s="8">
        <f t="shared" si="123"/>
        <v>0</v>
      </c>
      <c r="Z36" s="8">
        <f t="shared" si="123"/>
        <v>0</v>
      </c>
      <c r="AA36" s="8">
        <f t="shared" si="123"/>
        <v>0</v>
      </c>
      <c r="AB36" s="8">
        <f t="shared" si="123"/>
        <v>0</v>
      </c>
      <c r="AC36" s="8">
        <f t="shared" si="123"/>
        <v>0</v>
      </c>
      <c r="AD36" s="8">
        <f t="shared" si="123"/>
        <v>0</v>
      </c>
      <c r="AE36" s="8">
        <f t="shared" si="123"/>
        <v>0</v>
      </c>
      <c r="AF36" s="8">
        <f t="shared" si="123"/>
        <v>0</v>
      </c>
      <c r="AG36" s="8">
        <f t="shared" si="123"/>
        <v>0</v>
      </c>
      <c r="AH36" s="8">
        <f t="shared" si="123"/>
        <v>0</v>
      </c>
      <c r="AI36" s="8">
        <f t="shared" si="123"/>
        <v>0</v>
      </c>
      <c r="AJ36" s="8">
        <f t="shared" si="123"/>
        <v>0</v>
      </c>
      <c r="AK36" s="8">
        <f t="shared" si="123"/>
        <v>4</v>
      </c>
      <c r="AL36" s="8">
        <f t="shared" si="123"/>
        <v>8</v>
      </c>
      <c r="AM36" s="8">
        <f t="shared" si="123"/>
        <v>12</v>
      </c>
      <c r="AN36" s="8">
        <f t="shared" si="123"/>
        <v>16</v>
      </c>
      <c r="AO36" s="8">
        <f t="shared" si="123"/>
        <v>21</v>
      </c>
      <c r="AP36" s="8">
        <f t="shared" si="123"/>
        <v>26</v>
      </c>
      <c r="AQ36" s="8">
        <f t="shared" si="123"/>
        <v>31</v>
      </c>
      <c r="AR36" s="8">
        <f t="shared" si="123"/>
        <v>36</v>
      </c>
      <c r="AS36" s="8">
        <f t="shared" si="123"/>
        <v>42</v>
      </c>
      <c r="AT36" s="8">
        <f t="shared" si="123"/>
        <v>48</v>
      </c>
      <c r="AU36" s="8">
        <f t="shared" si="123"/>
        <v>54</v>
      </c>
      <c r="AV36" s="8">
        <f t="shared" si="123"/>
        <v>61</v>
      </c>
      <c r="AW36" s="8">
        <f t="shared" si="123"/>
        <v>78</v>
      </c>
      <c r="AX36" s="8">
        <f t="shared" si="123"/>
        <v>96</v>
      </c>
      <c r="AY36" s="8">
        <f t="shared" si="123"/>
        <v>115</v>
      </c>
      <c r="AZ36" s="8">
        <f t="shared" si="123"/>
        <v>134</v>
      </c>
      <c r="BA36" s="8">
        <f t="shared" si="123"/>
        <v>154</v>
      </c>
      <c r="BB36" s="8">
        <f t="shared" si="123"/>
        <v>175</v>
      </c>
      <c r="BC36" s="8">
        <f t="shared" si="123"/>
        <v>198</v>
      </c>
      <c r="BD36" s="8">
        <f t="shared" si="123"/>
        <v>222</v>
      </c>
      <c r="BE36" s="8">
        <f t="shared" si="123"/>
        <v>247</v>
      </c>
      <c r="BF36" s="8">
        <f t="shared" si="123"/>
        <v>273</v>
      </c>
      <c r="BG36" s="8">
        <f t="shared" si="123"/>
        <v>300</v>
      </c>
      <c r="BH36" s="8">
        <f t="shared" si="123"/>
        <v>329</v>
      </c>
      <c r="BI36" s="8">
        <f t="shared" si="123"/>
        <v>371</v>
      </c>
      <c r="BJ36" s="8">
        <f t="shared" si="123"/>
        <v>415</v>
      </c>
      <c r="BK36" s="8">
        <f t="shared" si="123"/>
        <v>461</v>
      </c>
      <c r="BL36" s="8">
        <f t="shared" si="123"/>
        <v>509</v>
      </c>
      <c r="BM36" s="8">
        <f t="shared" si="123"/>
        <v>560</v>
      </c>
      <c r="BN36" s="8">
        <f t="shared" si="123"/>
        <v>613</v>
      </c>
      <c r="BO36" s="8">
        <f t="shared" si="123"/>
        <v>669</v>
      </c>
      <c r="BP36" s="8">
        <f t="shared" si="123"/>
        <v>728</v>
      </c>
      <c r="BQ36" s="8">
        <f t="shared" si="123"/>
        <v>790</v>
      </c>
      <c r="BR36" s="8">
        <f t="shared" si="123"/>
        <v>855</v>
      </c>
      <c r="BS36" s="8">
        <f t="shared" si="123"/>
        <v>923</v>
      </c>
      <c r="BT36" s="8">
        <f>BS36+BT18</f>
        <v>995</v>
      </c>
    </row>
    <row r="37" spans="2:74" x14ac:dyDescent="0.3">
      <c r="B37" t="s">
        <v>53</v>
      </c>
      <c r="D37" s="26">
        <v>0.01</v>
      </c>
      <c r="E37" s="26">
        <v>0.15</v>
      </c>
      <c r="F37" s="26">
        <v>0.15</v>
      </c>
      <c r="G37" s="26">
        <v>0.15</v>
      </c>
      <c r="H37" s="27">
        <v>0.15</v>
      </c>
    </row>
    <row r="38" spans="2:74" x14ac:dyDescent="0.3">
      <c r="B38" t="s">
        <v>54</v>
      </c>
      <c r="D38" s="26">
        <v>0.1</v>
      </c>
      <c r="E38" s="26">
        <v>0.2</v>
      </c>
      <c r="F38" s="26">
        <v>0.2</v>
      </c>
      <c r="G38" s="26">
        <v>0.2</v>
      </c>
      <c r="H38" s="26">
        <v>0.2</v>
      </c>
    </row>
    <row r="39" spans="2:74" x14ac:dyDescent="0.3">
      <c r="J39" s="16" t="s">
        <v>40</v>
      </c>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2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row>
    <row r="40" spans="2:74" x14ac:dyDescent="0.3">
      <c r="B40" t="s">
        <v>55</v>
      </c>
      <c r="K40" t="s">
        <v>36</v>
      </c>
      <c r="L40" t="s">
        <v>34</v>
      </c>
      <c r="M40" s="11"/>
      <c r="N40" s="11">
        <f t="shared" ref="N40:AS40" si="124">(M30*(_xlfn.XLOOKUP(_xlfn.NUMBERVALUE(RIGHT(N$3,1)),$D$7:$H$7,$D$38:$H$38)))</f>
        <v>0</v>
      </c>
      <c r="O40" s="11">
        <f t="shared" si="124"/>
        <v>0</v>
      </c>
      <c r="P40" s="11">
        <f t="shared" si="124"/>
        <v>0</v>
      </c>
      <c r="Q40" s="11">
        <f t="shared" si="124"/>
        <v>0</v>
      </c>
      <c r="R40" s="11">
        <f t="shared" si="124"/>
        <v>0</v>
      </c>
      <c r="S40" s="11">
        <f t="shared" si="124"/>
        <v>0</v>
      </c>
      <c r="T40" s="11">
        <f t="shared" si="124"/>
        <v>0.4</v>
      </c>
      <c r="U40" s="11">
        <f t="shared" si="124"/>
        <v>0.8</v>
      </c>
      <c r="V40" s="11">
        <f t="shared" si="124"/>
        <v>1.2000000000000002</v>
      </c>
      <c r="W40" s="11">
        <f t="shared" si="124"/>
        <v>1.6</v>
      </c>
      <c r="X40" s="11">
        <f t="shared" si="124"/>
        <v>2.1</v>
      </c>
      <c r="Y40" s="11">
        <f t="shared" si="124"/>
        <v>5.2</v>
      </c>
      <c r="Z40" s="11">
        <f t="shared" si="124"/>
        <v>6.6000000000000005</v>
      </c>
      <c r="AA40" s="11">
        <f t="shared" si="124"/>
        <v>8</v>
      </c>
      <c r="AB40" s="11">
        <f t="shared" si="124"/>
        <v>9.4</v>
      </c>
      <c r="AC40" s="11">
        <f t="shared" si="124"/>
        <v>11</v>
      </c>
      <c r="AD40" s="11">
        <f t="shared" si="124"/>
        <v>12.600000000000001</v>
      </c>
      <c r="AE40" s="11">
        <f t="shared" si="124"/>
        <v>14.200000000000001</v>
      </c>
      <c r="AF40" s="11">
        <f t="shared" si="124"/>
        <v>16</v>
      </c>
      <c r="AG40" s="11">
        <f t="shared" si="124"/>
        <v>17.8</v>
      </c>
      <c r="AH40" s="11">
        <f t="shared" si="124"/>
        <v>19.8</v>
      </c>
      <c r="AI40" s="11">
        <f t="shared" si="124"/>
        <v>21.8</v>
      </c>
      <c r="AJ40" s="11">
        <f t="shared" si="124"/>
        <v>24</v>
      </c>
      <c r="AK40" s="11">
        <f t="shared" si="124"/>
        <v>26.200000000000003</v>
      </c>
      <c r="AL40" s="11">
        <f t="shared" si="124"/>
        <v>27.8</v>
      </c>
      <c r="AM40" s="11">
        <f t="shared" si="124"/>
        <v>29.400000000000002</v>
      </c>
      <c r="AN40" s="11">
        <f t="shared" si="124"/>
        <v>31</v>
      </c>
      <c r="AO40" s="11">
        <f t="shared" si="124"/>
        <v>32.800000000000004</v>
      </c>
      <c r="AP40" s="11">
        <f t="shared" si="124"/>
        <v>34.6</v>
      </c>
      <c r="AQ40" s="11">
        <f t="shared" si="124"/>
        <v>36.6</v>
      </c>
      <c r="AR40" s="11">
        <f t="shared" si="124"/>
        <v>38.6</v>
      </c>
      <c r="AS40" s="11">
        <f t="shared" si="124"/>
        <v>40.800000000000004</v>
      </c>
      <c r="AT40" s="11">
        <f t="shared" ref="AT40:BT40" si="125">(AS30*(_xlfn.XLOOKUP(_xlfn.NUMBERVALUE(RIGHT(AT$3,1)),$D$7:$H$7,$D$38:$H$38)))</f>
        <v>43</v>
      </c>
      <c r="AU40" s="11">
        <f t="shared" si="125"/>
        <v>45.400000000000006</v>
      </c>
      <c r="AV40" s="11">
        <f t="shared" si="125"/>
        <v>47.800000000000004</v>
      </c>
      <c r="AW40" s="11">
        <f t="shared" si="125"/>
        <v>50.400000000000006</v>
      </c>
      <c r="AX40" s="11">
        <f t="shared" si="125"/>
        <v>51.2</v>
      </c>
      <c r="AY40" s="11">
        <f t="shared" si="125"/>
        <v>52</v>
      </c>
      <c r="AZ40" s="11">
        <f t="shared" si="125"/>
        <v>53</v>
      </c>
      <c r="BA40" s="11">
        <f t="shared" si="125"/>
        <v>54</v>
      </c>
      <c r="BB40" s="11">
        <f t="shared" si="125"/>
        <v>55</v>
      </c>
      <c r="BC40" s="11">
        <f t="shared" si="125"/>
        <v>56</v>
      </c>
      <c r="BD40" s="11">
        <f t="shared" si="125"/>
        <v>57.2</v>
      </c>
      <c r="BE40" s="11">
        <f t="shared" si="125"/>
        <v>58.400000000000006</v>
      </c>
      <c r="BF40" s="11">
        <f t="shared" si="125"/>
        <v>59.6</v>
      </c>
      <c r="BG40" s="11">
        <f t="shared" si="125"/>
        <v>61</v>
      </c>
      <c r="BH40" s="11">
        <f t="shared" si="125"/>
        <v>62.400000000000006</v>
      </c>
      <c r="BI40" s="11">
        <f t="shared" si="125"/>
        <v>63.800000000000004</v>
      </c>
      <c r="BJ40" s="11">
        <f t="shared" si="125"/>
        <v>64.8</v>
      </c>
      <c r="BK40" s="11">
        <f t="shared" si="125"/>
        <v>65.8</v>
      </c>
      <c r="BL40" s="11">
        <f t="shared" si="125"/>
        <v>67</v>
      </c>
      <c r="BM40" s="11">
        <f t="shared" si="125"/>
        <v>68.2</v>
      </c>
      <c r="BN40" s="11">
        <f t="shared" si="125"/>
        <v>69.400000000000006</v>
      </c>
      <c r="BO40" s="11">
        <f t="shared" si="125"/>
        <v>70.600000000000009</v>
      </c>
      <c r="BP40" s="11">
        <f t="shared" si="125"/>
        <v>72</v>
      </c>
      <c r="BQ40" s="11">
        <f t="shared" si="125"/>
        <v>73.400000000000006</v>
      </c>
      <c r="BR40" s="11">
        <f t="shared" si="125"/>
        <v>74.8</v>
      </c>
      <c r="BS40" s="11">
        <f t="shared" si="125"/>
        <v>76.400000000000006</v>
      </c>
      <c r="BT40" s="11">
        <f t="shared" si="125"/>
        <v>78</v>
      </c>
      <c r="BU40" s="11"/>
      <c r="BV40" s="11"/>
    </row>
    <row r="41" spans="2:74" x14ac:dyDescent="0.3">
      <c r="B41" t="s">
        <v>36</v>
      </c>
      <c r="C41" t="s">
        <v>34</v>
      </c>
      <c r="D41" s="7">
        <v>10</v>
      </c>
      <c r="L41" t="s">
        <v>35</v>
      </c>
      <c r="M41" s="11"/>
      <c r="N41" s="11">
        <f t="shared" ref="N41:AS41" si="126">(M31*(_xlfn.XLOOKUP(_xlfn.NUMBERVALUE(RIGHT(N$3,1)),$D$7:$H$7,$D$38:$H$38)))</f>
        <v>0</v>
      </c>
      <c r="O41" s="11">
        <f t="shared" si="126"/>
        <v>0</v>
      </c>
      <c r="P41" s="11">
        <f t="shared" si="126"/>
        <v>0</v>
      </c>
      <c r="Q41" s="11">
        <f t="shared" si="126"/>
        <v>0</v>
      </c>
      <c r="R41" s="11">
        <f t="shared" si="126"/>
        <v>0</v>
      </c>
      <c r="S41" s="11">
        <f t="shared" si="126"/>
        <v>0</v>
      </c>
      <c r="T41" s="11">
        <f t="shared" si="126"/>
        <v>0</v>
      </c>
      <c r="U41" s="11">
        <f t="shared" si="126"/>
        <v>0</v>
      </c>
      <c r="V41" s="11">
        <f t="shared" si="126"/>
        <v>0</v>
      </c>
      <c r="W41" s="11">
        <f t="shared" si="126"/>
        <v>0</v>
      </c>
      <c r="X41" s="11">
        <f t="shared" si="126"/>
        <v>0</v>
      </c>
      <c r="Y41" s="11">
        <f t="shared" si="126"/>
        <v>0</v>
      </c>
      <c r="Z41" s="11">
        <f t="shared" si="126"/>
        <v>0.60000000000000009</v>
      </c>
      <c r="AA41" s="11">
        <f t="shared" si="126"/>
        <v>1.2000000000000002</v>
      </c>
      <c r="AB41" s="11">
        <f t="shared" si="126"/>
        <v>2</v>
      </c>
      <c r="AC41" s="11">
        <f t="shared" si="126"/>
        <v>2.8000000000000003</v>
      </c>
      <c r="AD41" s="11">
        <f t="shared" si="126"/>
        <v>3.6</v>
      </c>
      <c r="AE41" s="11">
        <f t="shared" si="126"/>
        <v>4.4000000000000004</v>
      </c>
      <c r="AF41" s="11">
        <f t="shared" si="126"/>
        <v>5.2</v>
      </c>
      <c r="AG41" s="11">
        <f t="shared" si="126"/>
        <v>6.2</v>
      </c>
      <c r="AH41" s="11">
        <f t="shared" si="126"/>
        <v>7.2</v>
      </c>
      <c r="AI41" s="11">
        <f t="shared" si="126"/>
        <v>8.2000000000000011</v>
      </c>
      <c r="AJ41" s="11">
        <f t="shared" si="126"/>
        <v>9.2000000000000011</v>
      </c>
      <c r="AK41" s="11">
        <f t="shared" si="126"/>
        <v>10.4</v>
      </c>
      <c r="AL41" s="11">
        <f t="shared" si="126"/>
        <v>12.600000000000001</v>
      </c>
      <c r="AM41" s="11">
        <f t="shared" si="126"/>
        <v>15</v>
      </c>
      <c r="AN41" s="11">
        <f t="shared" si="126"/>
        <v>17.600000000000001</v>
      </c>
      <c r="AO41" s="11">
        <f t="shared" si="126"/>
        <v>20.200000000000003</v>
      </c>
      <c r="AP41" s="11">
        <f t="shared" si="126"/>
        <v>23</v>
      </c>
      <c r="AQ41" s="11">
        <f t="shared" si="126"/>
        <v>26</v>
      </c>
      <c r="AR41" s="11">
        <f t="shared" si="126"/>
        <v>29</v>
      </c>
      <c r="AS41" s="11">
        <f t="shared" si="126"/>
        <v>32.200000000000003</v>
      </c>
      <c r="AT41" s="11">
        <f t="shared" ref="AT41:BT41" si="127">(AS31*(_xlfn.XLOOKUP(_xlfn.NUMBERVALUE(RIGHT(AT$3,1)),$D$7:$H$7,$D$38:$H$38)))</f>
        <v>35.6</v>
      </c>
      <c r="AU41" s="11">
        <f t="shared" si="127"/>
        <v>39.200000000000003</v>
      </c>
      <c r="AV41" s="11">
        <f t="shared" si="127"/>
        <v>43</v>
      </c>
      <c r="AW41" s="11">
        <f t="shared" si="127"/>
        <v>47</v>
      </c>
      <c r="AX41" s="11">
        <f t="shared" si="127"/>
        <v>52</v>
      </c>
      <c r="AY41" s="11">
        <f t="shared" si="127"/>
        <v>57.400000000000006</v>
      </c>
      <c r="AZ41" s="11">
        <f t="shared" si="127"/>
        <v>63</v>
      </c>
      <c r="BA41" s="11">
        <f t="shared" si="127"/>
        <v>68.8</v>
      </c>
      <c r="BB41" s="11">
        <f t="shared" si="127"/>
        <v>75</v>
      </c>
      <c r="BC41" s="11">
        <f t="shared" si="127"/>
        <v>81.400000000000006</v>
      </c>
      <c r="BD41" s="11">
        <f t="shared" si="127"/>
        <v>88.2</v>
      </c>
      <c r="BE41" s="11">
        <f t="shared" si="127"/>
        <v>95.4</v>
      </c>
      <c r="BF41" s="11">
        <f t="shared" si="127"/>
        <v>102.80000000000001</v>
      </c>
      <c r="BG41" s="11">
        <f t="shared" si="127"/>
        <v>110.60000000000001</v>
      </c>
      <c r="BH41" s="11">
        <f t="shared" si="127"/>
        <v>118.80000000000001</v>
      </c>
      <c r="BI41" s="11">
        <f t="shared" si="127"/>
        <v>127.4</v>
      </c>
      <c r="BJ41" s="11">
        <f t="shared" si="127"/>
        <v>133</v>
      </c>
      <c r="BK41" s="11">
        <f t="shared" si="127"/>
        <v>139</v>
      </c>
      <c r="BL41" s="11">
        <f t="shared" si="127"/>
        <v>145.20000000000002</v>
      </c>
      <c r="BM41" s="11">
        <f t="shared" si="127"/>
        <v>151.80000000000001</v>
      </c>
      <c r="BN41" s="11">
        <f t="shared" si="127"/>
        <v>158.80000000000001</v>
      </c>
      <c r="BO41" s="11">
        <f t="shared" si="127"/>
        <v>166</v>
      </c>
      <c r="BP41" s="11">
        <f t="shared" si="127"/>
        <v>173.60000000000002</v>
      </c>
      <c r="BQ41" s="11">
        <f t="shared" si="127"/>
        <v>181.60000000000002</v>
      </c>
      <c r="BR41" s="11">
        <f t="shared" si="127"/>
        <v>190</v>
      </c>
      <c r="BS41" s="11">
        <f t="shared" si="127"/>
        <v>198.8</v>
      </c>
      <c r="BT41" s="11">
        <f t="shared" si="127"/>
        <v>208</v>
      </c>
      <c r="BU41" s="11"/>
      <c r="BV41" s="11"/>
    </row>
    <row r="42" spans="2:74" x14ac:dyDescent="0.3">
      <c r="C42" t="s">
        <v>35</v>
      </c>
      <c r="D42" s="7">
        <v>10</v>
      </c>
      <c r="L42" t="s">
        <v>37</v>
      </c>
      <c r="M42" s="11"/>
      <c r="N42" s="11">
        <f t="shared" ref="N42:AS42" si="128">(M32*(_xlfn.XLOOKUP(_xlfn.NUMBERVALUE(RIGHT(N$3,1)),$D$7:$H$7,$D$38:$H$38)))</f>
        <v>0</v>
      </c>
      <c r="O42" s="11">
        <f t="shared" si="128"/>
        <v>0</v>
      </c>
      <c r="P42" s="11">
        <f t="shared" si="128"/>
        <v>0</v>
      </c>
      <c r="Q42" s="11">
        <f t="shared" si="128"/>
        <v>0</v>
      </c>
      <c r="R42" s="11">
        <f t="shared" si="128"/>
        <v>0</v>
      </c>
      <c r="S42" s="11">
        <f t="shared" si="128"/>
        <v>0</v>
      </c>
      <c r="T42" s="11">
        <f t="shared" si="128"/>
        <v>0</v>
      </c>
      <c r="U42" s="11">
        <f t="shared" si="128"/>
        <v>0</v>
      </c>
      <c r="V42" s="11">
        <f t="shared" si="128"/>
        <v>0</v>
      </c>
      <c r="W42" s="11">
        <f t="shared" si="128"/>
        <v>0</v>
      </c>
      <c r="X42" s="11">
        <f t="shared" si="128"/>
        <v>0</v>
      </c>
      <c r="Y42" s="11">
        <f t="shared" si="128"/>
        <v>0</v>
      </c>
      <c r="Z42" s="11">
        <f t="shared" si="128"/>
        <v>0</v>
      </c>
      <c r="AA42" s="11">
        <f t="shared" si="128"/>
        <v>0</v>
      </c>
      <c r="AB42" s="11">
        <f t="shared" si="128"/>
        <v>0</v>
      </c>
      <c r="AC42" s="11">
        <f t="shared" si="128"/>
        <v>0</v>
      </c>
      <c r="AD42" s="11">
        <f t="shared" si="128"/>
        <v>0</v>
      </c>
      <c r="AE42" s="11">
        <f t="shared" si="128"/>
        <v>0</v>
      </c>
      <c r="AF42" s="11">
        <f t="shared" si="128"/>
        <v>0</v>
      </c>
      <c r="AG42" s="11">
        <f t="shared" si="128"/>
        <v>0</v>
      </c>
      <c r="AH42" s="11">
        <f t="shared" si="128"/>
        <v>0</v>
      </c>
      <c r="AI42" s="11">
        <f t="shared" si="128"/>
        <v>0</v>
      </c>
      <c r="AJ42" s="11">
        <f t="shared" si="128"/>
        <v>0</v>
      </c>
      <c r="AK42" s="11">
        <f t="shared" si="128"/>
        <v>0</v>
      </c>
      <c r="AL42" s="11">
        <f t="shared" si="128"/>
        <v>0.8</v>
      </c>
      <c r="AM42" s="11">
        <f t="shared" si="128"/>
        <v>1.6</v>
      </c>
      <c r="AN42" s="11">
        <f t="shared" si="128"/>
        <v>2.4000000000000004</v>
      </c>
      <c r="AO42" s="11">
        <f t="shared" si="128"/>
        <v>3.2</v>
      </c>
      <c r="AP42" s="11">
        <f t="shared" si="128"/>
        <v>4.2</v>
      </c>
      <c r="AQ42" s="11">
        <f t="shared" si="128"/>
        <v>5.2</v>
      </c>
      <c r="AR42" s="11">
        <f t="shared" si="128"/>
        <v>6.2</v>
      </c>
      <c r="AS42" s="11">
        <f t="shared" si="128"/>
        <v>7.2</v>
      </c>
      <c r="AT42" s="11">
        <f t="shared" ref="AT42:BT42" si="129">(AS32*(_xlfn.XLOOKUP(_xlfn.NUMBERVALUE(RIGHT(AT$3,1)),$D$7:$H$7,$D$38:$H$38)))</f>
        <v>8.4</v>
      </c>
      <c r="AU42" s="11">
        <f t="shared" si="129"/>
        <v>9.6000000000000014</v>
      </c>
      <c r="AV42" s="11">
        <f t="shared" si="129"/>
        <v>10.8</v>
      </c>
      <c r="AW42" s="11">
        <f t="shared" si="129"/>
        <v>12.200000000000001</v>
      </c>
      <c r="AX42" s="11">
        <f t="shared" si="129"/>
        <v>15.600000000000001</v>
      </c>
      <c r="AY42" s="11">
        <f t="shared" si="129"/>
        <v>19.200000000000003</v>
      </c>
      <c r="AZ42" s="11">
        <f t="shared" si="129"/>
        <v>23</v>
      </c>
      <c r="BA42" s="11">
        <f t="shared" si="129"/>
        <v>26.8</v>
      </c>
      <c r="BB42" s="11">
        <f t="shared" si="129"/>
        <v>30.8</v>
      </c>
      <c r="BC42" s="11">
        <f t="shared" si="129"/>
        <v>35</v>
      </c>
      <c r="BD42" s="11">
        <f t="shared" si="129"/>
        <v>39.6</v>
      </c>
      <c r="BE42" s="11">
        <f t="shared" si="129"/>
        <v>44.400000000000006</v>
      </c>
      <c r="BF42" s="11">
        <f t="shared" si="129"/>
        <v>49.400000000000006</v>
      </c>
      <c r="BG42" s="11">
        <f t="shared" si="129"/>
        <v>54.6</v>
      </c>
      <c r="BH42" s="11">
        <f t="shared" si="129"/>
        <v>60</v>
      </c>
      <c r="BI42" s="11">
        <f t="shared" si="129"/>
        <v>65.8</v>
      </c>
      <c r="BJ42" s="11">
        <f t="shared" si="129"/>
        <v>75.8</v>
      </c>
      <c r="BK42" s="11">
        <f t="shared" si="129"/>
        <v>86.4</v>
      </c>
      <c r="BL42" s="11">
        <f t="shared" si="129"/>
        <v>97.4</v>
      </c>
      <c r="BM42" s="11">
        <f t="shared" si="129"/>
        <v>109</v>
      </c>
      <c r="BN42" s="11">
        <f t="shared" si="129"/>
        <v>121.2</v>
      </c>
      <c r="BO42" s="11">
        <f t="shared" si="129"/>
        <v>134</v>
      </c>
      <c r="BP42" s="11">
        <f t="shared" si="129"/>
        <v>147.4</v>
      </c>
      <c r="BQ42" s="11">
        <f t="shared" si="129"/>
        <v>161.60000000000002</v>
      </c>
      <c r="BR42" s="11">
        <f t="shared" si="129"/>
        <v>176.4</v>
      </c>
      <c r="BS42" s="11">
        <f t="shared" si="129"/>
        <v>192</v>
      </c>
      <c r="BT42" s="11">
        <f t="shared" si="129"/>
        <v>208.4</v>
      </c>
      <c r="BU42" s="11"/>
      <c r="BV42" s="11"/>
    </row>
    <row r="43" spans="2:74" x14ac:dyDescent="0.3">
      <c r="C43" t="s">
        <v>37</v>
      </c>
      <c r="D43" s="7">
        <v>5</v>
      </c>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2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row>
    <row r="44" spans="2:74" x14ac:dyDescent="0.3">
      <c r="B44" t="s">
        <v>39</v>
      </c>
      <c r="D44" s="7"/>
      <c r="K44" t="s">
        <v>39</v>
      </c>
      <c r="L44" t="s">
        <v>34</v>
      </c>
      <c r="M44" s="11"/>
      <c r="N44" s="11">
        <f t="shared" ref="N44:AS44" si="130">(M34*(_xlfn.XLOOKUP(_xlfn.NUMBERVALUE(RIGHT(N$3,1)),$D$7:$H$7,$D$38:$H$38)))</f>
        <v>0</v>
      </c>
      <c r="O44" s="11">
        <f t="shared" si="130"/>
        <v>0</v>
      </c>
      <c r="P44" s="11">
        <f t="shared" si="130"/>
        <v>0</v>
      </c>
      <c r="Q44" s="11">
        <f t="shared" si="130"/>
        <v>0</v>
      </c>
      <c r="R44" s="11">
        <f t="shared" si="130"/>
        <v>0</v>
      </c>
      <c r="S44" s="11">
        <f t="shared" si="130"/>
        <v>0</v>
      </c>
      <c r="T44" s="11">
        <f t="shared" si="130"/>
        <v>0.2</v>
      </c>
      <c r="U44" s="11">
        <f t="shared" si="130"/>
        <v>0.4</v>
      </c>
      <c r="V44" s="11">
        <f t="shared" si="130"/>
        <v>0.60000000000000009</v>
      </c>
      <c r="W44" s="11">
        <f t="shared" si="130"/>
        <v>0.8</v>
      </c>
      <c r="X44" s="11">
        <f t="shared" si="130"/>
        <v>1</v>
      </c>
      <c r="Y44" s="11">
        <f t="shared" si="130"/>
        <v>2.4000000000000004</v>
      </c>
      <c r="Z44" s="11">
        <f t="shared" si="130"/>
        <v>3.2</v>
      </c>
      <c r="AA44" s="11">
        <f t="shared" si="130"/>
        <v>4</v>
      </c>
      <c r="AB44" s="11">
        <f t="shared" si="130"/>
        <v>5</v>
      </c>
      <c r="AC44" s="11">
        <f t="shared" si="130"/>
        <v>6</v>
      </c>
      <c r="AD44" s="11">
        <f t="shared" si="130"/>
        <v>7</v>
      </c>
      <c r="AE44" s="11">
        <f t="shared" si="130"/>
        <v>8</v>
      </c>
      <c r="AF44" s="11">
        <f t="shared" si="130"/>
        <v>9.2000000000000011</v>
      </c>
      <c r="AG44" s="11">
        <f t="shared" si="130"/>
        <v>10.4</v>
      </c>
      <c r="AH44" s="11">
        <f t="shared" si="130"/>
        <v>11.600000000000001</v>
      </c>
      <c r="AI44" s="11">
        <f t="shared" si="130"/>
        <v>12.8</v>
      </c>
      <c r="AJ44" s="11">
        <f t="shared" si="130"/>
        <v>14.200000000000001</v>
      </c>
      <c r="AK44" s="11">
        <f t="shared" si="130"/>
        <v>15.600000000000001</v>
      </c>
      <c r="AL44" s="11">
        <f t="shared" si="130"/>
        <v>16.8</v>
      </c>
      <c r="AM44" s="11">
        <f t="shared" si="130"/>
        <v>18</v>
      </c>
      <c r="AN44" s="11">
        <f t="shared" si="130"/>
        <v>19.200000000000003</v>
      </c>
      <c r="AO44" s="11">
        <f t="shared" si="130"/>
        <v>20.6</v>
      </c>
      <c r="AP44" s="11">
        <f t="shared" si="130"/>
        <v>22</v>
      </c>
      <c r="AQ44" s="11">
        <f t="shared" si="130"/>
        <v>23.400000000000002</v>
      </c>
      <c r="AR44" s="11">
        <f t="shared" si="130"/>
        <v>25</v>
      </c>
      <c r="AS44" s="11">
        <f t="shared" si="130"/>
        <v>26.6</v>
      </c>
      <c r="AT44" s="11">
        <f t="shared" ref="AT44:BT44" si="131">(AS34*(_xlfn.XLOOKUP(_xlfn.NUMBERVALUE(RIGHT(AT$3,1)),$D$7:$H$7,$D$38:$H$38)))</f>
        <v>28.200000000000003</v>
      </c>
      <c r="AU44" s="11">
        <f t="shared" si="131"/>
        <v>30</v>
      </c>
      <c r="AV44" s="11">
        <f t="shared" si="131"/>
        <v>31.8</v>
      </c>
      <c r="AW44" s="11">
        <f t="shared" si="131"/>
        <v>33.800000000000004</v>
      </c>
      <c r="AX44" s="11">
        <f t="shared" si="131"/>
        <v>34.6</v>
      </c>
      <c r="AY44" s="11">
        <f t="shared" si="131"/>
        <v>35.4</v>
      </c>
      <c r="AZ44" s="11">
        <f t="shared" si="131"/>
        <v>36.4</v>
      </c>
      <c r="BA44" s="11">
        <f t="shared" si="131"/>
        <v>37.4</v>
      </c>
      <c r="BB44" s="11">
        <f t="shared" si="131"/>
        <v>38.400000000000006</v>
      </c>
      <c r="BC44" s="11">
        <f t="shared" si="131"/>
        <v>39.400000000000006</v>
      </c>
      <c r="BD44" s="11">
        <f t="shared" si="131"/>
        <v>40.6</v>
      </c>
      <c r="BE44" s="11">
        <f t="shared" si="131"/>
        <v>41.800000000000004</v>
      </c>
      <c r="BF44" s="11">
        <f t="shared" si="131"/>
        <v>43</v>
      </c>
      <c r="BG44" s="11">
        <f t="shared" si="131"/>
        <v>44.400000000000006</v>
      </c>
      <c r="BH44" s="11">
        <f t="shared" si="131"/>
        <v>45.800000000000004</v>
      </c>
      <c r="BI44" s="11">
        <f t="shared" si="131"/>
        <v>47.2</v>
      </c>
      <c r="BJ44" s="11">
        <f t="shared" si="131"/>
        <v>48.800000000000004</v>
      </c>
      <c r="BK44" s="11">
        <f t="shared" si="131"/>
        <v>50.6</v>
      </c>
      <c r="BL44" s="11">
        <f t="shared" si="131"/>
        <v>52.400000000000006</v>
      </c>
      <c r="BM44" s="11">
        <f t="shared" si="131"/>
        <v>54.400000000000006</v>
      </c>
      <c r="BN44" s="11">
        <f t="shared" si="131"/>
        <v>56.400000000000006</v>
      </c>
      <c r="BO44" s="11">
        <f t="shared" si="131"/>
        <v>58.6</v>
      </c>
      <c r="BP44" s="11">
        <f t="shared" si="131"/>
        <v>60.800000000000004</v>
      </c>
      <c r="BQ44" s="11">
        <f t="shared" si="131"/>
        <v>63.2</v>
      </c>
      <c r="BR44" s="11">
        <f t="shared" si="131"/>
        <v>65.600000000000009</v>
      </c>
      <c r="BS44" s="11">
        <f t="shared" si="131"/>
        <v>68.2</v>
      </c>
      <c r="BT44" s="11">
        <f t="shared" si="131"/>
        <v>71</v>
      </c>
    </row>
    <row r="45" spans="2:74" x14ac:dyDescent="0.3">
      <c r="C45" t="s">
        <v>34</v>
      </c>
      <c r="D45" s="7">
        <v>10</v>
      </c>
      <c r="L45" t="s">
        <v>35</v>
      </c>
      <c r="M45" s="11"/>
      <c r="N45" s="11">
        <f t="shared" ref="N45:AS45" si="132">(M35*(_xlfn.XLOOKUP(_xlfn.NUMBERVALUE(RIGHT(N$3,1)),$D$7:$H$7,$D$38:$H$38)))</f>
        <v>0</v>
      </c>
      <c r="O45" s="11">
        <f t="shared" si="132"/>
        <v>0</v>
      </c>
      <c r="P45" s="11">
        <f t="shared" si="132"/>
        <v>0</v>
      </c>
      <c r="Q45" s="11">
        <f t="shared" si="132"/>
        <v>0</v>
      </c>
      <c r="R45" s="11">
        <f t="shared" si="132"/>
        <v>0</v>
      </c>
      <c r="S45" s="11">
        <f t="shared" si="132"/>
        <v>0</v>
      </c>
      <c r="T45" s="11">
        <f t="shared" si="132"/>
        <v>0</v>
      </c>
      <c r="U45" s="11">
        <f t="shared" si="132"/>
        <v>0</v>
      </c>
      <c r="V45" s="11">
        <f t="shared" si="132"/>
        <v>0</v>
      </c>
      <c r="W45" s="11">
        <f t="shared" si="132"/>
        <v>0</v>
      </c>
      <c r="X45" s="11">
        <f t="shared" si="132"/>
        <v>0</v>
      </c>
      <c r="Y45" s="11">
        <f t="shared" si="132"/>
        <v>0</v>
      </c>
      <c r="Z45" s="11">
        <f t="shared" si="132"/>
        <v>0.4</v>
      </c>
      <c r="AA45" s="11">
        <f t="shared" si="132"/>
        <v>1</v>
      </c>
      <c r="AB45" s="11">
        <f t="shared" si="132"/>
        <v>1.6</v>
      </c>
      <c r="AC45" s="11">
        <f t="shared" si="132"/>
        <v>2.2000000000000002</v>
      </c>
      <c r="AD45" s="11">
        <f t="shared" si="132"/>
        <v>2.8000000000000003</v>
      </c>
      <c r="AE45" s="11">
        <f t="shared" si="132"/>
        <v>3.4000000000000004</v>
      </c>
      <c r="AF45" s="11">
        <f t="shared" si="132"/>
        <v>4</v>
      </c>
      <c r="AG45" s="11">
        <f t="shared" si="132"/>
        <v>4.6000000000000005</v>
      </c>
      <c r="AH45" s="11">
        <f t="shared" si="132"/>
        <v>5.4</v>
      </c>
      <c r="AI45" s="11">
        <f t="shared" si="132"/>
        <v>6.2</v>
      </c>
      <c r="AJ45" s="11">
        <f t="shared" si="132"/>
        <v>7</v>
      </c>
      <c r="AK45" s="11">
        <f t="shared" si="132"/>
        <v>7.8000000000000007</v>
      </c>
      <c r="AL45" s="11">
        <f t="shared" si="132"/>
        <v>9</v>
      </c>
      <c r="AM45" s="11">
        <f t="shared" si="132"/>
        <v>10.200000000000001</v>
      </c>
      <c r="AN45" s="11">
        <f t="shared" si="132"/>
        <v>11.4</v>
      </c>
      <c r="AO45" s="11">
        <f t="shared" si="132"/>
        <v>12.8</v>
      </c>
      <c r="AP45" s="11">
        <f t="shared" si="132"/>
        <v>14.200000000000001</v>
      </c>
      <c r="AQ45" s="11">
        <f t="shared" si="132"/>
        <v>15.600000000000001</v>
      </c>
      <c r="AR45" s="11">
        <f t="shared" si="132"/>
        <v>17.2</v>
      </c>
      <c r="AS45" s="11">
        <f t="shared" si="132"/>
        <v>18.8</v>
      </c>
      <c r="AT45" s="11">
        <f t="shared" ref="AT45:BT45" si="133">(AS35*(_xlfn.XLOOKUP(_xlfn.NUMBERVALUE(RIGHT(AT$3,1)),$D$7:$H$7,$D$38:$H$38)))</f>
        <v>20.400000000000002</v>
      </c>
      <c r="AU45" s="11">
        <f t="shared" si="133"/>
        <v>22.200000000000003</v>
      </c>
      <c r="AV45" s="11">
        <f t="shared" si="133"/>
        <v>24</v>
      </c>
      <c r="AW45" s="11">
        <f t="shared" si="133"/>
        <v>26</v>
      </c>
      <c r="AX45" s="11">
        <f t="shared" si="133"/>
        <v>29.400000000000002</v>
      </c>
      <c r="AY45" s="11">
        <f t="shared" si="133"/>
        <v>33</v>
      </c>
      <c r="AZ45" s="11">
        <f t="shared" si="133"/>
        <v>36.800000000000004</v>
      </c>
      <c r="BA45" s="11">
        <f t="shared" si="133"/>
        <v>40.6</v>
      </c>
      <c r="BB45" s="11">
        <f t="shared" si="133"/>
        <v>44.6</v>
      </c>
      <c r="BC45" s="11">
        <f t="shared" si="133"/>
        <v>48.800000000000004</v>
      </c>
      <c r="BD45" s="11">
        <f t="shared" si="133"/>
        <v>53.400000000000006</v>
      </c>
      <c r="BE45" s="11">
        <f t="shared" si="133"/>
        <v>58.2</v>
      </c>
      <c r="BF45" s="11">
        <f t="shared" si="133"/>
        <v>63.2</v>
      </c>
      <c r="BG45" s="11">
        <f t="shared" si="133"/>
        <v>68.400000000000006</v>
      </c>
      <c r="BH45" s="11">
        <f t="shared" si="133"/>
        <v>73.8</v>
      </c>
      <c r="BI45" s="11">
        <f t="shared" si="133"/>
        <v>79.600000000000009</v>
      </c>
      <c r="BJ45" s="11">
        <f t="shared" si="133"/>
        <v>86.2</v>
      </c>
      <c r="BK45" s="11">
        <f t="shared" si="133"/>
        <v>93.2</v>
      </c>
      <c r="BL45" s="11">
        <f t="shared" si="133"/>
        <v>100.60000000000001</v>
      </c>
      <c r="BM45" s="11">
        <f t="shared" si="133"/>
        <v>108.4</v>
      </c>
      <c r="BN45" s="11">
        <f t="shared" si="133"/>
        <v>116.60000000000001</v>
      </c>
      <c r="BO45" s="11">
        <f t="shared" si="133"/>
        <v>125.2</v>
      </c>
      <c r="BP45" s="11">
        <f t="shared" si="133"/>
        <v>134.20000000000002</v>
      </c>
      <c r="BQ45" s="11">
        <f t="shared" si="133"/>
        <v>143.6</v>
      </c>
      <c r="BR45" s="11">
        <f t="shared" si="133"/>
        <v>153.4</v>
      </c>
      <c r="BS45" s="11">
        <f t="shared" si="133"/>
        <v>163.80000000000001</v>
      </c>
      <c r="BT45" s="11">
        <f t="shared" si="133"/>
        <v>174.8</v>
      </c>
    </row>
    <row r="46" spans="2:74" x14ac:dyDescent="0.3">
      <c r="C46" t="s">
        <v>35</v>
      </c>
      <c r="D46" s="7">
        <v>10</v>
      </c>
      <c r="L46" t="s">
        <v>37</v>
      </c>
      <c r="M46" s="11"/>
      <c r="N46" s="11">
        <f t="shared" ref="N46:AS46" si="134">(M36*(_xlfn.XLOOKUP(_xlfn.NUMBERVALUE(RIGHT(N$3,1)),$D$7:$H$7,$D$38:$H$38)))</f>
        <v>0</v>
      </c>
      <c r="O46" s="11">
        <f t="shared" si="134"/>
        <v>0</v>
      </c>
      <c r="P46" s="11">
        <f t="shared" si="134"/>
        <v>0</v>
      </c>
      <c r="Q46" s="11">
        <f t="shared" si="134"/>
        <v>0</v>
      </c>
      <c r="R46" s="11">
        <f t="shared" si="134"/>
        <v>0</v>
      </c>
      <c r="S46" s="11">
        <f t="shared" si="134"/>
        <v>0</v>
      </c>
      <c r="T46" s="11">
        <f t="shared" si="134"/>
        <v>0</v>
      </c>
      <c r="U46" s="11">
        <f t="shared" si="134"/>
        <v>0</v>
      </c>
      <c r="V46" s="11">
        <f t="shared" si="134"/>
        <v>0</v>
      </c>
      <c r="W46" s="11">
        <f t="shared" si="134"/>
        <v>0</v>
      </c>
      <c r="X46" s="11">
        <f t="shared" si="134"/>
        <v>0</v>
      </c>
      <c r="Y46" s="11">
        <f t="shared" si="134"/>
        <v>0</v>
      </c>
      <c r="Z46" s="11">
        <f t="shared" si="134"/>
        <v>0</v>
      </c>
      <c r="AA46" s="11">
        <f t="shared" si="134"/>
        <v>0</v>
      </c>
      <c r="AB46" s="11">
        <f t="shared" si="134"/>
        <v>0</v>
      </c>
      <c r="AC46" s="11">
        <f t="shared" si="134"/>
        <v>0</v>
      </c>
      <c r="AD46" s="11">
        <f t="shared" si="134"/>
        <v>0</v>
      </c>
      <c r="AE46" s="11">
        <f t="shared" si="134"/>
        <v>0</v>
      </c>
      <c r="AF46" s="11">
        <f t="shared" si="134"/>
        <v>0</v>
      </c>
      <c r="AG46" s="11">
        <f t="shared" si="134"/>
        <v>0</v>
      </c>
      <c r="AH46" s="11">
        <f t="shared" si="134"/>
        <v>0</v>
      </c>
      <c r="AI46" s="11">
        <f t="shared" si="134"/>
        <v>0</v>
      </c>
      <c r="AJ46" s="11">
        <f t="shared" si="134"/>
        <v>0</v>
      </c>
      <c r="AK46" s="11">
        <f t="shared" si="134"/>
        <v>0</v>
      </c>
      <c r="AL46" s="11">
        <f t="shared" si="134"/>
        <v>0.8</v>
      </c>
      <c r="AM46" s="11">
        <f t="shared" si="134"/>
        <v>1.6</v>
      </c>
      <c r="AN46" s="11">
        <f t="shared" si="134"/>
        <v>2.4000000000000004</v>
      </c>
      <c r="AO46" s="11">
        <f t="shared" si="134"/>
        <v>3.2</v>
      </c>
      <c r="AP46" s="11">
        <f t="shared" si="134"/>
        <v>4.2</v>
      </c>
      <c r="AQ46" s="11">
        <f t="shared" si="134"/>
        <v>5.2</v>
      </c>
      <c r="AR46" s="11">
        <f t="shared" si="134"/>
        <v>6.2</v>
      </c>
      <c r="AS46" s="11">
        <f t="shared" si="134"/>
        <v>7.2</v>
      </c>
      <c r="AT46" s="11">
        <f t="shared" ref="AT46:BT46" si="135">(AS36*(_xlfn.XLOOKUP(_xlfn.NUMBERVALUE(RIGHT(AT$3,1)),$D$7:$H$7,$D$38:$H$38)))</f>
        <v>8.4</v>
      </c>
      <c r="AU46" s="11">
        <f t="shared" si="135"/>
        <v>9.6000000000000014</v>
      </c>
      <c r="AV46" s="11">
        <f t="shared" si="135"/>
        <v>10.8</v>
      </c>
      <c r="AW46" s="11">
        <f t="shared" si="135"/>
        <v>12.200000000000001</v>
      </c>
      <c r="AX46" s="11">
        <f t="shared" si="135"/>
        <v>15.600000000000001</v>
      </c>
      <c r="AY46" s="11">
        <f t="shared" si="135"/>
        <v>19.200000000000003</v>
      </c>
      <c r="AZ46" s="11">
        <f t="shared" si="135"/>
        <v>23</v>
      </c>
      <c r="BA46" s="11">
        <f t="shared" si="135"/>
        <v>26.8</v>
      </c>
      <c r="BB46" s="11">
        <f t="shared" si="135"/>
        <v>30.8</v>
      </c>
      <c r="BC46" s="11">
        <f t="shared" si="135"/>
        <v>35</v>
      </c>
      <c r="BD46" s="11">
        <f t="shared" si="135"/>
        <v>39.6</v>
      </c>
      <c r="BE46" s="11">
        <f t="shared" si="135"/>
        <v>44.400000000000006</v>
      </c>
      <c r="BF46" s="11">
        <f t="shared" si="135"/>
        <v>49.400000000000006</v>
      </c>
      <c r="BG46" s="11">
        <f t="shared" si="135"/>
        <v>54.6</v>
      </c>
      <c r="BH46" s="11">
        <f t="shared" si="135"/>
        <v>60</v>
      </c>
      <c r="BI46" s="11">
        <f t="shared" si="135"/>
        <v>65.8</v>
      </c>
      <c r="BJ46" s="11">
        <f t="shared" si="135"/>
        <v>74.2</v>
      </c>
      <c r="BK46" s="11">
        <f t="shared" si="135"/>
        <v>83</v>
      </c>
      <c r="BL46" s="11">
        <f t="shared" si="135"/>
        <v>92.2</v>
      </c>
      <c r="BM46" s="11">
        <f t="shared" si="135"/>
        <v>101.80000000000001</v>
      </c>
      <c r="BN46" s="11">
        <f t="shared" si="135"/>
        <v>112</v>
      </c>
      <c r="BO46" s="11">
        <f t="shared" si="135"/>
        <v>122.60000000000001</v>
      </c>
      <c r="BP46" s="11">
        <f t="shared" si="135"/>
        <v>133.80000000000001</v>
      </c>
      <c r="BQ46" s="11">
        <f t="shared" si="135"/>
        <v>145.6</v>
      </c>
      <c r="BR46" s="11">
        <f t="shared" si="135"/>
        <v>158</v>
      </c>
      <c r="BS46" s="11">
        <f t="shared" si="135"/>
        <v>171</v>
      </c>
      <c r="BT46" s="11">
        <f t="shared" si="135"/>
        <v>184.60000000000002</v>
      </c>
    </row>
    <row r="47" spans="2:74" x14ac:dyDescent="0.3">
      <c r="C47" t="s">
        <v>37</v>
      </c>
      <c r="D47" s="7">
        <v>5</v>
      </c>
      <c r="J47" s="16" t="s">
        <v>44</v>
      </c>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2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row>
    <row r="48" spans="2:74" x14ac:dyDescent="0.3">
      <c r="K48" t="s">
        <v>36</v>
      </c>
      <c r="L48" t="s">
        <v>34</v>
      </c>
      <c r="N48" s="11">
        <f t="shared" ref="N48:AS48" si="136">(M30*(_xlfn.XLOOKUP(_xlfn.NUMBERVALUE(RIGHT(N$3,1)),$D$7:$H$7,$D$37:$H$37)))</f>
        <v>0</v>
      </c>
      <c r="O48" s="11">
        <f t="shared" si="136"/>
        <v>0</v>
      </c>
      <c r="P48" s="11">
        <f t="shared" si="136"/>
        <v>0</v>
      </c>
      <c r="Q48" s="11">
        <f t="shared" si="136"/>
        <v>0</v>
      </c>
      <c r="R48" s="11">
        <f t="shared" si="136"/>
        <v>0</v>
      </c>
      <c r="S48" s="11">
        <f t="shared" si="136"/>
        <v>0</v>
      </c>
      <c r="T48" s="11">
        <f t="shared" si="136"/>
        <v>0.04</v>
      </c>
      <c r="U48" s="11">
        <f t="shared" si="136"/>
        <v>0.08</v>
      </c>
      <c r="V48" s="11">
        <f t="shared" si="136"/>
        <v>0.12</v>
      </c>
      <c r="W48" s="11">
        <f t="shared" si="136"/>
        <v>0.16</v>
      </c>
      <c r="X48" s="11">
        <f t="shared" si="136"/>
        <v>0.21</v>
      </c>
      <c r="Y48" s="11">
        <f t="shared" si="136"/>
        <v>3.9</v>
      </c>
      <c r="Z48" s="11">
        <f t="shared" si="136"/>
        <v>4.95</v>
      </c>
      <c r="AA48" s="11">
        <f t="shared" si="136"/>
        <v>6</v>
      </c>
      <c r="AB48" s="11">
        <f t="shared" si="136"/>
        <v>7.05</v>
      </c>
      <c r="AC48" s="11">
        <f t="shared" si="136"/>
        <v>8.25</v>
      </c>
      <c r="AD48" s="11">
        <f t="shared" si="136"/>
        <v>9.4499999999999993</v>
      </c>
      <c r="AE48" s="11">
        <f t="shared" si="136"/>
        <v>10.65</v>
      </c>
      <c r="AF48" s="11">
        <f t="shared" si="136"/>
        <v>12</v>
      </c>
      <c r="AG48" s="11">
        <f t="shared" si="136"/>
        <v>13.35</v>
      </c>
      <c r="AH48" s="11">
        <f t="shared" si="136"/>
        <v>14.85</v>
      </c>
      <c r="AI48" s="11">
        <f t="shared" si="136"/>
        <v>16.349999999999998</v>
      </c>
      <c r="AJ48" s="11">
        <f t="shared" si="136"/>
        <v>18</v>
      </c>
      <c r="AK48" s="11">
        <f t="shared" si="136"/>
        <v>19.649999999999999</v>
      </c>
      <c r="AL48" s="11">
        <f t="shared" si="136"/>
        <v>20.849999999999998</v>
      </c>
      <c r="AM48" s="11">
        <f t="shared" si="136"/>
        <v>22.05</v>
      </c>
      <c r="AN48" s="11">
        <f t="shared" si="136"/>
        <v>23.25</v>
      </c>
      <c r="AO48" s="11">
        <f t="shared" si="136"/>
        <v>24.599999999999998</v>
      </c>
      <c r="AP48" s="11">
        <f t="shared" si="136"/>
        <v>25.95</v>
      </c>
      <c r="AQ48" s="11">
        <f t="shared" si="136"/>
        <v>27.45</v>
      </c>
      <c r="AR48" s="11">
        <f t="shared" si="136"/>
        <v>28.95</v>
      </c>
      <c r="AS48" s="11">
        <f t="shared" si="136"/>
        <v>30.599999999999998</v>
      </c>
      <c r="AT48" s="11">
        <f t="shared" ref="AT48:BT48" si="137">(AS30*(_xlfn.XLOOKUP(_xlfn.NUMBERVALUE(RIGHT(AT$3,1)),$D$7:$H$7,$D$37:$H$37)))</f>
        <v>32.25</v>
      </c>
      <c r="AU48" s="11">
        <f t="shared" si="137"/>
        <v>34.049999999999997</v>
      </c>
      <c r="AV48" s="11">
        <f t="shared" si="137"/>
        <v>35.85</v>
      </c>
      <c r="AW48" s="11">
        <f t="shared" si="137"/>
        <v>37.799999999999997</v>
      </c>
      <c r="AX48" s="11">
        <f t="shared" si="137"/>
        <v>38.4</v>
      </c>
      <c r="AY48" s="11">
        <f t="shared" si="137"/>
        <v>39</v>
      </c>
      <c r="AZ48" s="11">
        <f t="shared" si="137"/>
        <v>39.75</v>
      </c>
      <c r="BA48" s="11">
        <f t="shared" si="137"/>
        <v>40.5</v>
      </c>
      <c r="BB48" s="11">
        <f t="shared" si="137"/>
        <v>41.25</v>
      </c>
      <c r="BC48" s="11">
        <f t="shared" si="137"/>
        <v>42</v>
      </c>
      <c r="BD48" s="11">
        <f t="shared" si="137"/>
        <v>42.9</v>
      </c>
      <c r="BE48" s="11">
        <f t="shared" si="137"/>
        <v>43.8</v>
      </c>
      <c r="BF48" s="11">
        <f t="shared" si="137"/>
        <v>44.699999999999996</v>
      </c>
      <c r="BG48" s="11">
        <f t="shared" si="137"/>
        <v>45.75</v>
      </c>
      <c r="BH48" s="11">
        <f t="shared" si="137"/>
        <v>46.8</v>
      </c>
      <c r="BI48" s="11">
        <f t="shared" si="137"/>
        <v>47.85</v>
      </c>
      <c r="BJ48" s="11">
        <f t="shared" si="137"/>
        <v>48.6</v>
      </c>
      <c r="BK48" s="11">
        <f t="shared" si="137"/>
        <v>49.35</v>
      </c>
      <c r="BL48" s="11">
        <f t="shared" si="137"/>
        <v>50.25</v>
      </c>
      <c r="BM48" s="11">
        <f t="shared" si="137"/>
        <v>51.15</v>
      </c>
      <c r="BN48" s="11">
        <f t="shared" si="137"/>
        <v>52.05</v>
      </c>
      <c r="BO48" s="11">
        <f t="shared" si="137"/>
        <v>52.949999999999996</v>
      </c>
      <c r="BP48" s="11">
        <f t="shared" si="137"/>
        <v>54</v>
      </c>
      <c r="BQ48" s="11">
        <f t="shared" si="137"/>
        <v>55.05</v>
      </c>
      <c r="BR48" s="11">
        <f t="shared" si="137"/>
        <v>56.1</v>
      </c>
      <c r="BS48" s="11">
        <f t="shared" si="137"/>
        <v>57.3</v>
      </c>
      <c r="BT48" s="11">
        <f t="shared" si="137"/>
        <v>58.5</v>
      </c>
    </row>
    <row r="49" spans="5:72" x14ac:dyDescent="0.3">
      <c r="L49" t="s">
        <v>35</v>
      </c>
      <c r="N49" s="11">
        <f t="shared" ref="N49:AS49" si="138">(M31*(_xlfn.XLOOKUP(_xlfn.NUMBERVALUE(RIGHT(N$3,1)),$D$7:$H$7,$D$37:$H$37)))</f>
        <v>0</v>
      </c>
      <c r="O49" s="11">
        <f t="shared" si="138"/>
        <v>0</v>
      </c>
      <c r="P49" s="11">
        <f t="shared" si="138"/>
        <v>0</v>
      </c>
      <c r="Q49" s="11">
        <f t="shared" si="138"/>
        <v>0</v>
      </c>
      <c r="R49" s="11">
        <f t="shared" si="138"/>
        <v>0</v>
      </c>
      <c r="S49" s="11">
        <f t="shared" si="138"/>
        <v>0</v>
      </c>
      <c r="T49" s="11">
        <f t="shared" si="138"/>
        <v>0</v>
      </c>
      <c r="U49" s="11">
        <f t="shared" si="138"/>
        <v>0</v>
      </c>
      <c r="V49" s="11">
        <f t="shared" si="138"/>
        <v>0</v>
      </c>
      <c r="W49" s="11">
        <f t="shared" si="138"/>
        <v>0</v>
      </c>
      <c r="X49" s="11">
        <f t="shared" si="138"/>
        <v>0</v>
      </c>
      <c r="Y49" s="11">
        <f t="shared" si="138"/>
        <v>0</v>
      </c>
      <c r="Z49" s="11">
        <f t="shared" si="138"/>
        <v>0.44999999999999996</v>
      </c>
      <c r="AA49" s="11">
        <f t="shared" si="138"/>
        <v>0.89999999999999991</v>
      </c>
      <c r="AB49" s="11">
        <f t="shared" si="138"/>
        <v>1.5</v>
      </c>
      <c r="AC49" s="11">
        <f t="shared" si="138"/>
        <v>2.1</v>
      </c>
      <c r="AD49" s="11">
        <f t="shared" si="138"/>
        <v>2.6999999999999997</v>
      </c>
      <c r="AE49" s="11">
        <f t="shared" si="138"/>
        <v>3.3</v>
      </c>
      <c r="AF49" s="11">
        <f t="shared" si="138"/>
        <v>3.9</v>
      </c>
      <c r="AG49" s="11">
        <f t="shared" si="138"/>
        <v>4.6499999999999995</v>
      </c>
      <c r="AH49" s="11">
        <f t="shared" si="138"/>
        <v>5.3999999999999995</v>
      </c>
      <c r="AI49" s="11">
        <f t="shared" si="138"/>
        <v>6.1499999999999995</v>
      </c>
      <c r="AJ49" s="11">
        <f t="shared" si="138"/>
        <v>6.8999999999999995</v>
      </c>
      <c r="AK49" s="11">
        <f t="shared" si="138"/>
        <v>7.8</v>
      </c>
      <c r="AL49" s="11">
        <f t="shared" si="138"/>
        <v>9.4499999999999993</v>
      </c>
      <c r="AM49" s="11">
        <f t="shared" si="138"/>
        <v>11.25</v>
      </c>
      <c r="AN49" s="11">
        <f t="shared" si="138"/>
        <v>13.2</v>
      </c>
      <c r="AO49" s="11">
        <f t="shared" si="138"/>
        <v>15.149999999999999</v>
      </c>
      <c r="AP49" s="11">
        <f t="shared" si="138"/>
        <v>17.25</v>
      </c>
      <c r="AQ49" s="11">
        <f t="shared" si="138"/>
        <v>19.5</v>
      </c>
      <c r="AR49" s="11">
        <f t="shared" si="138"/>
        <v>21.75</v>
      </c>
      <c r="AS49" s="11">
        <f t="shared" si="138"/>
        <v>24.15</v>
      </c>
      <c r="AT49" s="11">
        <f t="shared" ref="AT49:BT49" si="139">(AS31*(_xlfn.XLOOKUP(_xlfn.NUMBERVALUE(RIGHT(AT$3,1)),$D$7:$H$7,$D$37:$H$37)))</f>
        <v>26.7</v>
      </c>
      <c r="AU49" s="11">
        <f t="shared" si="139"/>
        <v>29.4</v>
      </c>
      <c r="AV49" s="11">
        <f t="shared" si="139"/>
        <v>32.25</v>
      </c>
      <c r="AW49" s="11">
        <f t="shared" si="139"/>
        <v>35.25</v>
      </c>
      <c r="AX49" s="11">
        <f t="shared" si="139"/>
        <v>39</v>
      </c>
      <c r="AY49" s="11">
        <f t="shared" si="139"/>
        <v>43.05</v>
      </c>
      <c r="AZ49" s="11">
        <f t="shared" si="139"/>
        <v>47.25</v>
      </c>
      <c r="BA49" s="11">
        <f t="shared" si="139"/>
        <v>51.6</v>
      </c>
      <c r="BB49" s="11">
        <f t="shared" si="139"/>
        <v>56.25</v>
      </c>
      <c r="BC49" s="11">
        <f t="shared" si="139"/>
        <v>61.05</v>
      </c>
      <c r="BD49" s="11">
        <f t="shared" si="139"/>
        <v>66.149999999999991</v>
      </c>
      <c r="BE49" s="11">
        <f t="shared" si="139"/>
        <v>71.55</v>
      </c>
      <c r="BF49" s="11">
        <f t="shared" si="139"/>
        <v>77.099999999999994</v>
      </c>
      <c r="BG49" s="11">
        <f t="shared" si="139"/>
        <v>82.95</v>
      </c>
      <c r="BH49" s="11">
        <f t="shared" si="139"/>
        <v>89.1</v>
      </c>
      <c r="BI49" s="11">
        <f t="shared" si="139"/>
        <v>95.55</v>
      </c>
      <c r="BJ49" s="11">
        <f t="shared" si="139"/>
        <v>99.75</v>
      </c>
      <c r="BK49" s="11">
        <f t="shared" si="139"/>
        <v>104.25</v>
      </c>
      <c r="BL49" s="11">
        <f t="shared" si="139"/>
        <v>108.89999999999999</v>
      </c>
      <c r="BM49" s="11">
        <f t="shared" si="139"/>
        <v>113.85</v>
      </c>
      <c r="BN49" s="11">
        <f t="shared" si="139"/>
        <v>119.1</v>
      </c>
      <c r="BO49" s="11">
        <f t="shared" si="139"/>
        <v>124.5</v>
      </c>
      <c r="BP49" s="11">
        <f t="shared" si="139"/>
        <v>130.19999999999999</v>
      </c>
      <c r="BQ49" s="11">
        <f t="shared" si="139"/>
        <v>136.19999999999999</v>
      </c>
      <c r="BR49" s="11">
        <f t="shared" si="139"/>
        <v>142.5</v>
      </c>
      <c r="BS49" s="11">
        <f t="shared" si="139"/>
        <v>149.1</v>
      </c>
      <c r="BT49" s="11">
        <f t="shared" si="139"/>
        <v>156</v>
      </c>
    </row>
    <row r="50" spans="5:72" x14ac:dyDescent="0.3">
      <c r="L50" t="s">
        <v>37</v>
      </c>
      <c r="N50" s="11">
        <f t="shared" ref="N50:AS50" si="140">(M32*(_xlfn.XLOOKUP(_xlfn.NUMBERVALUE(RIGHT(N$3,1)),$D$7:$H$7,$D$37:$H$37)))</f>
        <v>0</v>
      </c>
      <c r="O50" s="11">
        <f t="shared" si="140"/>
        <v>0</v>
      </c>
      <c r="P50" s="11">
        <f t="shared" si="140"/>
        <v>0</v>
      </c>
      <c r="Q50" s="11">
        <f t="shared" si="140"/>
        <v>0</v>
      </c>
      <c r="R50" s="11">
        <f t="shared" si="140"/>
        <v>0</v>
      </c>
      <c r="S50" s="11">
        <f t="shared" si="140"/>
        <v>0</v>
      </c>
      <c r="T50" s="11">
        <f t="shared" si="140"/>
        <v>0</v>
      </c>
      <c r="U50" s="11">
        <f t="shared" si="140"/>
        <v>0</v>
      </c>
      <c r="V50" s="11">
        <f t="shared" si="140"/>
        <v>0</v>
      </c>
      <c r="W50" s="11">
        <f t="shared" si="140"/>
        <v>0</v>
      </c>
      <c r="X50" s="11">
        <f t="shared" si="140"/>
        <v>0</v>
      </c>
      <c r="Y50" s="11">
        <f t="shared" si="140"/>
        <v>0</v>
      </c>
      <c r="Z50" s="11">
        <f t="shared" si="140"/>
        <v>0</v>
      </c>
      <c r="AA50" s="11">
        <f t="shared" si="140"/>
        <v>0</v>
      </c>
      <c r="AB50" s="11">
        <f t="shared" si="140"/>
        <v>0</v>
      </c>
      <c r="AC50" s="11">
        <f t="shared" si="140"/>
        <v>0</v>
      </c>
      <c r="AD50" s="11">
        <f t="shared" si="140"/>
        <v>0</v>
      </c>
      <c r="AE50" s="11">
        <f t="shared" si="140"/>
        <v>0</v>
      </c>
      <c r="AF50" s="11">
        <f t="shared" si="140"/>
        <v>0</v>
      </c>
      <c r="AG50" s="11">
        <f t="shared" si="140"/>
        <v>0</v>
      </c>
      <c r="AH50" s="11">
        <f t="shared" si="140"/>
        <v>0</v>
      </c>
      <c r="AI50" s="11">
        <f t="shared" si="140"/>
        <v>0</v>
      </c>
      <c r="AJ50" s="11">
        <f t="shared" si="140"/>
        <v>0</v>
      </c>
      <c r="AK50" s="11">
        <f t="shared" si="140"/>
        <v>0</v>
      </c>
      <c r="AL50" s="11">
        <f t="shared" si="140"/>
        <v>0.6</v>
      </c>
      <c r="AM50" s="11">
        <f t="shared" si="140"/>
        <v>1.2</v>
      </c>
      <c r="AN50" s="11">
        <f t="shared" si="140"/>
        <v>1.7999999999999998</v>
      </c>
      <c r="AO50" s="11">
        <f t="shared" si="140"/>
        <v>2.4</v>
      </c>
      <c r="AP50" s="11">
        <f t="shared" si="140"/>
        <v>3.15</v>
      </c>
      <c r="AQ50" s="11">
        <f t="shared" si="140"/>
        <v>3.9</v>
      </c>
      <c r="AR50" s="11">
        <f t="shared" si="140"/>
        <v>4.6499999999999995</v>
      </c>
      <c r="AS50" s="11">
        <f t="shared" si="140"/>
        <v>5.3999999999999995</v>
      </c>
      <c r="AT50" s="11">
        <f t="shared" ref="AT50:BT50" si="141">(AS32*(_xlfn.XLOOKUP(_xlfn.NUMBERVALUE(RIGHT(AT$3,1)),$D$7:$H$7,$D$37:$H$37)))</f>
        <v>6.3</v>
      </c>
      <c r="AU50" s="11">
        <f t="shared" si="141"/>
        <v>7.1999999999999993</v>
      </c>
      <c r="AV50" s="11">
        <f t="shared" si="141"/>
        <v>8.1</v>
      </c>
      <c r="AW50" s="11">
        <f t="shared" si="141"/>
        <v>9.15</v>
      </c>
      <c r="AX50" s="11">
        <f t="shared" si="141"/>
        <v>11.7</v>
      </c>
      <c r="AY50" s="11">
        <f t="shared" si="141"/>
        <v>14.399999999999999</v>
      </c>
      <c r="AZ50" s="11">
        <f t="shared" si="141"/>
        <v>17.25</v>
      </c>
      <c r="BA50" s="11">
        <f t="shared" si="141"/>
        <v>20.099999999999998</v>
      </c>
      <c r="BB50" s="11">
        <f t="shared" si="141"/>
        <v>23.099999999999998</v>
      </c>
      <c r="BC50" s="11">
        <f t="shared" si="141"/>
        <v>26.25</v>
      </c>
      <c r="BD50" s="11">
        <f t="shared" si="141"/>
        <v>29.7</v>
      </c>
      <c r="BE50" s="11">
        <f t="shared" si="141"/>
        <v>33.299999999999997</v>
      </c>
      <c r="BF50" s="11">
        <f t="shared" si="141"/>
        <v>37.049999999999997</v>
      </c>
      <c r="BG50" s="11">
        <f t="shared" si="141"/>
        <v>40.949999999999996</v>
      </c>
      <c r="BH50" s="11">
        <f t="shared" si="141"/>
        <v>45</v>
      </c>
      <c r="BI50" s="11">
        <f t="shared" si="141"/>
        <v>49.35</v>
      </c>
      <c r="BJ50" s="11">
        <f t="shared" si="141"/>
        <v>56.85</v>
      </c>
      <c r="BK50" s="11">
        <f t="shared" si="141"/>
        <v>64.8</v>
      </c>
      <c r="BL50" s="11">
        <f t="shared" si="141"/>
        <v>73.05</v>
      </c>
      <c r="BM50" s="11">
        <f t="shared" si="141"/>
        <v>81.75</v>
      </c>
      <c r="BN50" s="11">
        <f t="shared" si="141"/>
        <v>90.899999999999991</v>
      </c>
      <c r="BO50" s="11">
        <f t="shared" si="141"/>
        <v>100.5</v>
      </c>
      <c r="BP50" s="11">
        <f t="shared" si="141"/>
        <v>110.55</v>
      </c>
      <c r="BQ50" s="11">
        <f t="shared" si="141"/>
        <v>121.19999999999999</v>
      </c>
      <c r="BR50" s="11">
        <f t="shared" si="141"/>
        <v>132.29999999999998</v>
      </c>
      <c r="BS50" s="11">
        <f t="shared" si="141"/>
        <v>144</v>
      </c>
      <c r="BT50" s="11">
        <f t="shared" si="141"/>
        <v>156.29999999999998</v>
      </c>
    </row>
    <row r="51" spans="5:72" x14ac:dyDescent="0.3">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row>
    <row r="52" spans="5:72" x14ac:dyDescent="0.3">
      <c r="K52" t="s">
        <v>39</v>
      </c>
      <c r="L52" t="s">
        <v>34</v>
      </c>
      <c r="N52" s="11">
        <f t="shared" ref="N52:AS52" si="142">(M34*(_xlfn.XLOOKUP(_xlfn.NUMBERVALUE(RIGHT(N$3,1)),$D$7:$H$7,$D$37:$H$37)))</f>
        <v>0</v>
      </c>
      <c r="O52" s="11">
        <f t="shared" si="142"/>
        <v>0</v>
      </c>
      <c r="P52" s="11">
        <f t="shared" si="142"/>
        <v>0</v>
      </c>
      <c r="Q52" s="11">
        <f t="shared" si="142"/>
        <v>0</v>
      </c>
      <c r="R52" s="11">
        <f t="shared" si="142"/>
        <v>0</v>
      </c>
      <c r="S52" s="11">
        <f t="shared" si="142"/>
        <v>0</v>
      </c>
      <c r="T52" s="11">
        <f t="shared" si="142"/>
        <v>0.02</v>
      </c>
      <c r="U52" s="11">
        <f t="shared" si="142"/>
        <v>0.04</v>
      </c>
      <c r="V52" s="11">
        <f t="shared" si="142"/>
        <v>0.06</v>
      </c>
      <c r="W52" s="11">
        <f t="shared" si="142"/>
        <v>0.08</v>
      </c>
      <c r="X52" s="11">
        <f t="shared" si="142"/>
        <v>0.1</v>
      </c>
      <c r="Y52" s="11">
        <f t="shared" si="142"/>
        <v>1.7999999999999998</v>
      </c>
      <c r="Z52" s="11">
        <f t="shared" si="142"/>
        <v>2.4</v>
      </c>
      <c r="AA52" s="11">
        <f t="shared" si="142"/>
        <v>3</v>
      </c>
      <c r="AB52" s="11">
        <f t="shared" si="142"/>
        <v>3.75</v>
      </c>
      <c r="AC52" s="11">
        <f t="shared" si="142"/>
        <v>4.5</v>
      </c>
      <c r="AD52" s="11">
        <f t="shared" si="142"/>
        <v>5.25</v>
      </c>
      <c r="AE52" s="11">
        <f t="shared" si="142"/>
        <v>6</v>
      </c>
      <c r="AF52" s="11">
        <f t="shared" si="142"/>
        <v>6.8999999999999995</v>
      </c>
      <c r="AG52" s="11">
        <f t="shared" si="142"/>
        <v>7.8</v>
      </c>
      <c r="AH52" s="11">
        <f t="shared" si="142"/>
        <v>8.6999999999999993</v>
      </c>
      <c r="AI52" s="11">
        <f t="shared" si="142"/>
        <v>9.6</v>
      </c>
      <c r="AJ52" s="11">
        <f t="shared" si="142"/>
        <v>10.65</v>
      </c>
      <c r="AK52" s="11">
        <f t="shared" si="142"/>
        <v>11.7</v>
      </c>
      <c r="AL52" s="11">
        <f t="shared" si="142"/>
        <v>12.6</v>
      </c>
      <c r="AM52" s="11">
        <f t="shared" si="142"/>
        <v>13.5</v>
      </c>
      <c r="AN52" s="11">
        <f t="shared" si="142"/>
        <v>14.399999999999999</v>
      </c>
      <c r="AO52" s="11">
        <f t="shared" si="142"/>
        <v>15.45</v>
      </c>
      <c r="AP52" s="11">
        <f t="shared" si="142"/>
        <v>16.5</v>
      </c>
      <c r="AQ52" s="11">
        <f t="shared" si="142"/>
        <v>17.55</v>
      </c>
      <c r="AR52" s="11">
        <f t="shared" si="142"/>
        <v>18.75</v>
      </c>
      <c r="AS52" s="11">
        <f t="shared" si="142"/>
        <v>19.95</v>
      </c>
      <c r="AT52" s="11">
        <f t="shared" ref="AT52:BT52" si="143">(AS34*(_xlfn.XLOOKUP(_xlfn.NUMBERVALUE(RIGHT(AT$3,1)),$D$7:$H$7,$D$37:$H$37)))</f>
        <v>21.15</v>
      </c>
      <c r="AU52" s="11">
        <f t="shared" si="143"/>
        <v>22.5</v>
      </c>
      <c r="AV52" s="11">
        <f t="shared" si="143"/>
        <v>23.849999999999998</v>
      </c>
      <c r="AW52" s="11">
        <f t="shared" si="143"/>
        <v>25.349999999999998</v>
      </c>
      <c r="AX52" s="11">
        <f t="shared" si="143"/>
        <v>25.95</v>
      </c>
      <c r="AY52" s="11">
        <f t="shared" si="143"/>
        <v>26.55</v>
      </c>
      <c r="AZ52" s="11">
        <f t="shared" si="143"/>
        <v>27.3</v>
      </c>
      <c r="BA52" s="11">
        <f t="shared" si="143"/>
        <v>28.05</v>
      </c>
      <c r="BB52" s="11">
        <f t="shared" si="143"/>
        <v>28.799999999999997</v>
      </c>
      <c r="BC52" s="11">
        <f t="shared" si="143"/>
        <v>29.549999999999997</v>
      </c>
      <c r="BD52" s="11">
        <f t="shared" si="143"/>
        <v>30.45</v>
      </c>
      <c r="BE52" s="11">
        <f t="shared" si="143"/>
        <v>31.349999999999998</v>
      </c>
      <c r="BF52" s="11">
        <f t="shared" si="143"/>
        <v>32.25</v>
      </c>
      <c r="BG52" s="11">
        <f t="shared" si="143"/>
        <v>33.299999999999997</v>
      </c>
      <c r="BH52" s="11">
        <f t="shared" si="143"/>
        <v>34.35</v>
      </c>
      <c r="BI52" s="11">
        <f t="shared" si="143"/>
        <v>35.4</v>
      </c>
      <c r="BJ52" s="11">
        <f t="shared" si="143"/>
        <v>36.6</v>
      </c>
      <c r="BK52" s="11">
        <f t="shared" si="143"/>
        <v>37.949999999999996</v>
      </c>
      <c r="BL52" s="11">
        <f t="shared" si="143"/>
        <v>39.299999999999997</v>
      </c>
      <c r="BM52" s="11">
        <f t="shared" si="143"/>
        <v>40.799999999999997</v>
      </c>
      <c r="BN52" s="11">
        <f t="shared" si="143"/>
        <v>42.3</v>
      </c>
      <c r="BO52" s="11">
        <f t="shared" si="143"/>
        <v>43.949999999999996</v>
      </c>
      <c r="BP52" s="11">
        <f t="shared" si="143"/>
        <v>45.6</v>
      </c>
      <c r="BQ52" s="11">
        <f t="shared" si="143"/>
        <v>47.4</v>
      </c>
      <c r="BR52" s="11">
        <f t="shared" si="143"/>
        <v>49.199999999999996</v>
      </c>
      <c r="BS52" s="11">
        <f t="shared" si="143"/>
        <v>51.15</v>
      </c>
      <c r="BT52" s="11">
        <f t="shared" si="143"/>
        <v>53.25</v>
      </c>
    </row>
    <row r="53" spans="5:72" x14ac:dyDescent="0.3">
      <c r="L53" t="s">
        <v>35</v>
      </c>
      <c r="N53" s="11">
        <f t="shared" ref="N53:AS53" si="144">(M35*(_xlfn.XLOOKUP(_xlfn.NUMBERVALUE(RIGHT(N$3,1)),$D$7:$H$7,$D$37:$H$37)))</f>
        <v>0</v>
      </c>
      <c r="O53" s="11">
        <f t="shared" si="144"/>
        <v>0</v>
      </c>
      <c r="P53" s="11">
        <f t="shared" si="144"/>
        <v>0</v>
      </c>
      <c r="Q53" s="11">
        <f t="shared" si="144"/>
        <v>0</v>
      </c>
      <c r="R53" s="11">
        <f t="shared" si="144"/>
        <v>0</v>
      </c>
      <c r="S53" s="11">
        <f t="shared" si="144"/>
        <v>0</v>
      </c>
      <c r="T53" s="11">
        <f t="shared" si="144"/>
        <v>0</v>
      </c>
      <c r="U53" s="11">
        <f t="shared" si="144"/>
        <v>0</v>
      </c>
      <c r="V53" s="11">
        <f t="shared" si="144"/>
        <v>0</v>
      </c>
      <c r="W53" s="11">
        <f t="shared" si="144"/>
        <v>0</v>
      </c>
      <c r="X53" s="11">
        <f t="shared" si="144"/>
        <v>0</v>
      </c>
      <c r="Y53" s="11">
        <f t="shared" si="144"/>
        <v>0</v>
      </c>
      <c r="Z53" s="11">
        <f t="shared" si="144"/>
        <v>0.3</v>
      </c>
      <c r="AA53" s="11">
        <f t="shared" si="144"/>
        <v>0.75</v>
      </c>
      <c r="AB53" s="11">
        <f t="shared" si="144"/>
        <v>1.2</v>
      </c>
      <c r="AC53" s="11">
        <f t="shared" si="144"/>
        <v>1.65</v>
      </c>
      <c r="AD53" s="11">
        <f t="shared" si="144"/>
        <v>2.1</v>
      </c>
      <c r="AE53" s="11">
        <f t="shared" si="144"/>
        <v>2.5499999999999998</v>
      </c>
      <c r="AF53" s="11">
        <f t="shared" si="144"/>
        <v>3</v>
      </c>
      <c r="AG53" s="11">
        <f t="shared" si="144"/>
        <v>3.4499999999999997</v>
      </c>
      <c r="AH53" s="11">
        <f t="shared" si="144"/>
        <v>4.05</v>
      </c>
      <c r="AI53" s="11">
        <f t="shared" si="144"/>
        <v>4.6499999999999995</v>
      </c>
      <c r="AJ53" s="11">
        <f t="shared" si="144"/>
        <v>5.25</v>
      </c>
      <c r="AK53" s="11">
        <f t="shared" si="144"/>
        <v>5.85</v>
      </c>
      <c r="AL53" s="11">
        <f t="shared" si="144"/>
        <v>6.75</v>
      </c>
      <c r="AM53" s="11">
        <f t="shared" si="144"/>
        <v>7.6499999999999995</v>
      </c>
      <c r="AN53" s="11">
        <f t="shared" si="144"/>
        <v>8.5499999999999989</v>
      </c>
      <c r="AO53" s="11">
        <f t="shared" si="144"/>
        <v>9.6</v>
      </c>
      <c r="AP53" s="11">
        <f t="shared" si="144"/>
        <v>10.65</v>
      </c>
      <c r="AQ53" s="11">
        <f t="shared" si="144"/>
        <v>11.7</v>
      </c>
      <c r="AR53" s="11">
        <f t="shared" si="144"/>
        <v>12.9</v>
      </c>
      <c r="AS53" s="11">
        <f t="shared" si="144"/>
        <v>14.1</v>
      </c>
      <c r="AT53" s="11">
        <f t="shared" ref="AT53:BT53" si="145">(AS35*(_xlfn.XLOOKUP(_xlfn.NUMBERVALUE(RIGHT(AT$3,1)),$D$7:$H$7,$D$37:$H$37)))</f>
        <v>15.299999999999999</v>
      </c>
      <c r="AU53" s="11">
        <f t="shared" si="145"/>
        <v>16.649999999999999</v>
      </c>
      <c r="AV53" s="11">
        <f t="shared" si="145"/>
        <v>18</v>
      </c>
      <c r="AW53" s="11">
        <f t="shared" si="145"/>
        <v>19.5</v>
      </c>
      <c r="AX53" s="11">
        <f t="shared" si="145"/>
        <v>22.05</v>
      </c>
      <c r="AY53" s="11">
        <f t="shared" si="145"/>
        <v>24.75</v>
      </c>
      <c r="AZ53" s="11">
        <f t="shared" si="145"/>
        <v>27.599999999999998</v>
      </c>
      <c r="BA53" s="11">
        <f t="shared" si="145"/>
        <v>30.45</v>
      </c>
      <c r="BB53" s="11">
        <f t="shared" si="145"/>
        <v>33.449999999999996</v>
      </c>
      <c r="BC53" s="11">
        <f t="shared" si="145"/>
        <v>36.6</v>
      </c>
      <c r="BD53" s="11">
        <f t="shared" si="145"/>
        <v>40.049999999999997</v>
      </c>
      <c r="BE53" s="11">
        <f t="shared" si="145"/>
        <v>43.65</v>
      </c>
      <c r="BF53" s="11">
        <f t="shared" si="145"/>
        <v>47.4</v>
      </c>
      <c r="BG53" s="11">
        <f t="shared" si="145"/>
        <v>51.3</v>
      </c>
      <c r="BH53" s="11">
        <f t="shared" si="145"/>
        <v>55.35</v>
      </c>
      <c r="BI53" s="11">
        <f t="shared" si="145"/>
        <v>59.699999999999996</v>
      </c>
      <c r="BJ53" s="11">
        <f t="shared" si="145"/>
        <v>64.649999999999991</v>
      </c>
      <c r="BK53" s="11">
        <f t="shared" si="145"/>
        <v>69.899999999999991</v>
      </c>
      <c r="BL53" s="11">
        <f t="shared" si="145"/>
        <v>75.45</v>
      </c>
      <c r="BM53" s="11">
        <f t="shared" si="145"/>
        <v>81.3</v>
      </c>
      <c r="BN53" s="11">
        <f t="shared" si="145"/>
        <v>87.45</v>
      </c>
      <c r="BO53" s="11">
        <f t="shared" si="145"/>
        <v>93.899999999999991</v>
      </c>
      <c r="BP53" s="11">
        <f t="shared" si="145"/>
        <v>100.64999999999999</v>
      </c>
      <c r="BQ53" s="11">
        <f t="shared" si="145"/>
        <v>107.7</v>
      </c>
      <c r="BR53" s="11">
        <f t="shared" si="145"/>
        <v>115.05</v>
      </c>
      <c r="BS53" s="11">
        <f t="shared" si="145"/>
        <v>122.85</v>
      </c>
      <c r="BT53" s="11">
        <f t="shared" si="145"/>
        <v>131.1</v>
      </c>
    </row>
    <row r="54" spans="5:72" x14ac:dyDescent="0.3">
      <c r="L54" t="s">
        <v>37</v>
      </c>
      <c r="N54" s="11">
        <f t="shared" ref="N54:AS54" si="146">(M36*(_xlfn.XLOOKUP(_xlfn.NUMBERVALUE(RIGHT(N$3,1)),$D$7:$H$7,$D$37:$H$37)))</f>
        <v>0</v>
      </c>
      <c r="O54" s="11">
        <f t="shared" si="146"/>
        <v>0</v>
      </c>
      <c r="P54" s="11">
        <f t="shared" si="146"/>
        <v>0</v>
      </c>
      <c r="Q54" s="11">
        <f t="shared" si="146"/>
        <v>0</v>
      </c>
      <c r="R54" s="11">
        <f t="shared" si="146"/>
        <v>0</v>
      </c>
      <c r="S54" s="11">
        <f t="shared" si="146"/>
        <v>0</v>
      </c>
      <c r="T54" s="11">
        <f t="shared" si="146"/>
        <v>0</v>
      </c>
      <c r="U54" s="11">
        <f t="shared" si="146"/>
        <v>0</v>
      </c>
      <c r="V54" s="11">
        <f t="shared" si="146"/>
        <v>0</v>
      </c>
      <c r="W54" s="11">
        <f t="shared" si="146"/>
        <v>0</v>
      </c>
      <c r="X54" s="11">
        <f t="shared" si="146"/>
        <v>0</v>
      </c>
      <c r="Y54" s="11">
        <f t="shared" si="146"/>
        <v>0</v>
      </c>
      <c r="Z54" s="11">
        <f t="shared" si="146"/>
        <v>0</v>
      </c>
      <c r="AA54" s="11">
        <f t="shared" si="146"/>
        <v>0</v>
      </c>
      <c r="AB54" s="11">
        <f t="shared" si="146"/>
        <v>0</v>
      </c>
      <c r="AC54" s="11">
        <f t="shared" si="146"/>
        <v>0</v>
      </c>
      <c r="AD54" s="11">
        <f t="shared" si="146"/>
        <v>0</v>
      </c>
      <c r="AE54" s="11">
        <f t="shared" si="146"/>
        <v>0</v>
      </c>
      <c r="AF54" s="11">
        <f t="shared" si="146"/>
        <v>0</v>
      </c>
      <c r="AG54" s="11">
        <f t="shared" si="146"/>
        <v>0</v>
      </c>
      <c r="AH54" s="11">
        <f t="shared" si="146"/>
        <v>0</v>
      </c>
      <c r="AI54" s="11">
        <f t="shared" si="146"/>
        <v>0</v>
      </c>
      <c r="AJ54" s="11">
        <f t="shared" si="146"/>
        <v>0</v>
      </c>
      <c r="AK54" s="11">
        <f t="shared" si="146"/>
        <v>0</v>
      </c>
      <c r="AL54" s="11">
        <f t="shared" si="146"/>
        <v>0.6</v>
      </c>
      <c r="AM54" s="11">
        <f t="shared" si="146"/>
        <v>1.2</v>
      </c>
      <c r="AN54" s="11">
        <f t="shared" si="146"/>
        <v>1.7999999999999998</v>
      </c>
      <c r="AO54" s="11">
        <f t="shared" si="146"/>
        <v>2.4</v>
      </c>
      <c r="AP54" s="11">
        <f t="shared" si="146"/>
        <v>3.15</v>
      </c>
      <c r="AQ54" s="11">
        <f t="shared" si="146"/>
        <v>3.9</v>
      </c>
      <c r="AR54" s="11">
        <f t="shared" si="146"/>
        <v>4.6499999999999995</v>
      </c>
      <c r="AS54" s="11">
        <f t="shared" si="146"/>
        <v>5.3999999999999995</v>
      </c>
      <c r="AT54" s="11">
        <f t="shared" ref="AT54:BT54" si="147">(AS36*(_xlfn.XLOOKUP(_xlfn.NUMBERVALUE(RIGHT(AT$3,1)),$D$7:$H$7,$D$37:$H$37)))</f>
        <v>6.3</v>
      </c>
      <c r="AU54" s="11">
        <f t="shared" si="147"/>
        <v>7.1999999999999993</v>
      </c>
      <c r="AV54" s="11">
        <f t="shared" si="147"/>
        <v>8.1</v>
      </c>
      <c r="AW54" s="11">
        <f t="shared" si="147"/>
        <v>9.15</v>
      </c>
      <c r="AX54" s="11">
        <f t="shared" si="147"/>
        <v>11.7</v>
      </c>
      <c r="AY54" s="11">
        <f t="shared" si="147"/>
        <v>14.399999999999999</v>
      </c>
      <c r="AZ54" s="11">
        <f t="shared" si="147"/>
        <v>17.25</v>
      </c>
      <c r="BA54" s="11">
        <f t="shared" si="147"/>
        <v>20.099999999999998</v>
      </c>
      <c r="BB54" s="11">
        <f t="shared" si="147"/>
        <v>23.099999999999998</v>
      </c>
      <c r="BC54" s="11">
        <f t="shared" si="147"/>
        <v>26.25</v>
      </c>
      <c r="BD54" s="11">
        <f t="shared" si="147"/>
        <v>29.7</v>
      </c>
      <c r="BE54" s="11">
        <f t="shared" si="147"/>
        <v>33.299999999999997</v>
      </c>
      <c r="BF54" s="11">
        <f t="shared" si="147"/>
        <v>37.049999999999997</v>
      </c>
      <c r="BG54" s="11">
        <f t="shared" si="147"/>
        <v>40.949999999999996</v>
      </c>
      <c r="BH54" s="11">
        <f t="shared" si="147"/>
        <v>45</v>
      </c>
      <c r="BI54" s="11">
        <f t="shared" si="147"/>
        <v>49.35</v>
      </c>
      <c r="BJ54" s="11">
        <f t="shared" si="147"/>
        <v>55.65</v>
      </c>
      <c r="BK54" s="11">
        <f t="shared" si="147"/>
        <v>62.25</v>
      </c>
      <c r="BL54" s="11">
        <f t="shared" si="147"/>
        <v>69.149999999999991</v>
      </c>
      <c r="BM54" s="11">
        <f t="shared" si="147"/>
        <v>76.349999999999994</v>
      </c>
      <c r="BN54" s="11">
        <f t="shared" si="147"/>
        <v>84</v>
      </c>
      <c r="BO54" s="11">
        <f t="shared" si="147"/>
        <v>91.95</v>
      </c>
      <c r="BP54" s="11">
        <f t="shared" si="147"/>
        <v>100.35</v>
      </c>
      <c r="BQ54" s="11">
        <f t="shared" si="147"/>
        <v>109.2</v>
      </c>
      <c r="BR54" s="11">
        <f t="shared" si="147"/>
        <v>118.5</v>
      </c>
      <c r="BS54" s="11">
        <f t="shared" si="147"/>
        <v>128.25</v>
      </c>
      <c r="BT54" s="11">
        <f t="shared" si="147"/>
        <v>138.44999999999999</v>
      </c>
    </row>
    <row r="55" spans="5:72" x14ac:dyDescent="0.3">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2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row>
    <row r="56" spans="5:72" x14ac:dyDescent="0.3">
      <c r="E56" s="4"/>
      <c r="F56" s="5"/>
      <c r="G56" s="5"/>
      <c r="J56" s="16" t="s">
        <v>56</v>
      </c>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row>
    <row r="57" spans="5:72" x14ac:dyDescent="0.3">
      <c r="F57" s="5"/>
      <c r="G57" s="5"/>
      <c r="K57" t="s">
        <v>36</v>
      </c>
      <c r="M57" s="8">
        <f t="shared" ref="M57:AR57" si="148">ROUND(SUM(M30,-M40,-M48),0)</f>
        <v>0</v>
      </c>
      <c r="N57" s="8">
        <f t="shared" si="148"/>
        <v>0</v>
      </c>
      <c r="O57" s="8">
        <f t="shared" si="148"/>
        <v>0</v>
      </c>
      <c r="P57" s="8">
        <f t="shared" si="148"/>
        <v>0</v>
      </c>
      <c r="Q57" s="8">
        <f t="shared" si="148"/>
        <v>0</v>
      </c>
      <c r="R57" s="8">
        <f t="shared" si="148"/>
        <v>0</v>
      </c>
      <c r="S57" s="8">
        <f t="shared" si="148"/>
        <v>4</v>
      </c>
      <c r="T57" s="8">
        <f t="shared" si="148"/>
        <v>8</v>
      </c>
      <c r="U57" s="8">
        <f t="shared" si="148"/>
        <v>11</v>
      </c>
      <c r="V57" s="8">
        <f t="shared" si="148"/>
        <v>15</v>
      </c>
      <c r="W57" s="8">
        <f t="shared" si="148"/>
        <v>19</v>
      </c>
      <c r="X57" s="8">
        <f t="shared" si="148"/>
        <v>24</v>
      </c>
      <c r="Y57" s="8">
        <f t="shared" si="148"/>
        <v>24</v>
      </c>
      <c r="Z57" s="8">
        <f t="shared" si="148"/>
        <v>28</v>
      </c>
      <c r="AA57" s="8">
        <f t="shared" si="148"/>
        <v>33</v>
      </c>
      <c r="AB57" s="8">
        <f t="shared" si="148"/>
        <v>39</v>
      </c>
      <c r="AC57" s="8">
        <f t="shared" si="148"/>
        <v>44</v>
      </c>
      <c r="AD57" s="8">
        <f t="shared" si="148"/>
        <v>49</v>
      </c>
      <c r="AE57" s="8">
        <f t="shared" si="148"/>
        <v>55</v>
      </c>
      <c r="AF57" s="8">
        <f t="shared" si="148"/>
        <v>61</v>
      </c>
      <c r="AG57" s="8">
        <f t="shared" si="148"/>
        <v>68</v>
      </c>
      <c r="AH57" s="8">
        <f t="shared" si="148"/>
        <v>74</v>
      </c>
      <c r="AI57" s="8">
        <f t="shared" si="148"/>
        <v>82</v>
      </c>
      <c r="AJ57" s="8">
        <f t="shared" si="148"/>
        <v>89</v>
      </c>
      <c r="AK57" s="8">
        <f t="shared" si="148"/>
        <v>93</v>
      </c>
      <c r="AL57" s="8">
        <f t="shared" si="148"/>
        <v>98</v>
      </c>
      <c r="AM57" s="8">
        <f t="shared" si="148"/>
        <v>104</v>
      </c>
      <c r="AN57" s="8">
        <f t="shared" si="148"/>
        <v>110</v>
      </c>
      <c r="AO57" s="8">
        <f t="shared" si="148"/>
        <v>116</v>
      </c>
      <c r="AP57" s="8">
        <f t="shared" si="148"/>
        <v>122</v>
      </c>
      <c r="AQ57" s="8">
        <f t="shared" si="148"/>
        <v>129</v>
      </c>
      <c r="AR57" s="8">
        <f t="shared" si="148"/>
        <v>136</v>
      </c>
      <c r="AS57" s="8">
        <f t="shared" ref="AS57:BT57" si="149">ROUND(SUM(AS30,-AS40,-AS48),0)</f>
        <v>144</v>
      </c>
      <c r="AT57" s="8">
        <f t="shared" si="149"/>
        <v>152</v>
      </c>
      <c r="AU57" s="8">
        <f t="shared" si="149"/>
        <v>160</v>
      </c>
      <c r="AV57" s="8">
        <f t="shared" si="149"/>
        <v>168</v>
      </c>
      <c r="AW57" s="8">
        <f t="shared" si="149"/>
        <v>168</v>
      </c>
      <c r="AX57" s="8">
        <f t="shared" si="149"/>
        <v>170</v>
      </c>
      <c r="AY57" s="8">
        <f t="shared" si="149"/>
        <v>174</v>
      </c>
      <c r="AZ57" s="8">
        <f t="shared" si="149"/>
        <v>177</v>
      </c>
      <c r="BA57" s="8">
        <f t="shared" si="149"/>
        <v>181</v>
      </c>
      <c r="BB57" s="8">
        <f t="shared" si="149"/>
        <v>184</v>
      </c>
      <c r="BC57" s="8">
        <f t="shared" si="149"/>
        <v>188</v>
      </c>
      <c r="BD57" s="8">
        <f t="shared" si="149"/>
        <v>192</v>
      </c>
      <c r="BE57" s="8">
        <f t="shared" si="149"/>
        <v>196</v>
      </c>
      <c r="BF57" s="8">
        <f t="shared" si="149"/>
        <v>201</v>
      </c>
      <c r="BG57" s="8">
        <f t="shared" si="149"/>
        <v>205</v>
      </c>
      <c r="BH57" s="8">
        <f t="shared" si="149"/>
        <v>210</v>
      </c>
      <c r="BI57" s="8">
        <f t="shared" si="149"/>
        <v>212</v>
      </c>
      <c r="BJ57" s="8">
        <f t="shared" si="149"/>
        <v>216</v>
      </c>
      <c r="BK57" s="8">
        <f t="shared" si="149"/>
        <v>220</v>
      </c>
      <c r="BL57" s="8">
        <f t="shared" si="149"/>
        <v>224</v>
      </c>
      <c r="BM57" s="8">
        <f t="shared" si="149"/>
        <v>228</v>
      </c>
      <c r="BN57" s="8">
        <f t="shared" si="149"/>
        <v>232</v>
      </c>
      <c r="BO57" s="8">
        <f t="shared" si="149"/>
        <v>236</v>
      </c>
      <c r="BP57" s="8">
        <f t="shared" si="149"/>
        <v>241</v>
      </c>
      <c r="BQ57" s="8">
        <f t="shared" si="149"/>
        <v>246</v>
      </c>
      <c r="BR57" s="8">
        <f t="shared" si="149"/>
        <v>251</v>
      </c>
      <c r="BS57" s="8">
        <f t="shared" si="149"/>
        <v>256</v>
      </c>
      <c r="BT57" s="8">
        <f t="shared" si="149"/>
        <v>263</v>
      </c>
    </row>
    <row r="58" spans="5:72" x14ac:dyDescent="0.3">
      <c r="F58" s="5"/>
      <c r="G58" s="5"/>
      <c r="M58" s="8">
        <f t="shared" ref="M58:AR58" si="150">ROUND(SUM(M31,-M41,-M49),0)</f>
        <v>0</v>
      </c>
      <c r="N58" s="8">
        <f t="shared" si="150"/>
        <v>0</v>
      </c>
      <c r="O58" s="8">
        <f t="shared" si="150"/>
        <v>0</v>
      </c>
      <c r="P58" s="8">
        <f t="shared" si="150"/>
        <v>0</v>
      </c>
      <c r="Q58" s="8">
        <f t="shared" si="150"/>
        <v>0</v>
      </c>
      <c r="R58" s="8">
        <f t="shared" si="150"/>
        <v>0</v>
      </c>
      <c r="S58" s="8">
        <f t="shared" si="150"/>
        <v>0</v>
      </c>
      <c r="T58" s="8">
        <f t="shared" si="150"/>
        <v>0</v>
      </c>
      <c r="U58" s="8">
        <f t="shared" si="150"/>
        <v>0</v>
      </c>
      <c r="V58" s="8">
        <f t="shared" si="150"/>
        <v>0</v>
      </c>
      <c r="W58" s="8">
        <f t="shared" si="150"/>
        <v>0</v>
      </c>
      <c r="X58" s="8">
        <f t="shared" si="150"/>
        <v>0</v>
      </c>
      <c r="Y58" s="8">
        <f t="shared" si="150"/>
        <v>3</v>
      </c>
      <c r="Z58" s="8">
        <f t="shared" si="150"/>
        <v>5</v>
      </c>
      <c r="AA58" s="8">
        <f t="shared" si="150"/>
        <v>8</v>
      </c>
      <c r="AB58" s="8">
        <f t="shared" si="150"/>
        <v>11</v>
      </c>
      <c r="AC58" s="8">
        <f t="shared" si="150"/>
        <v>13</v>
      </c>
      <c r="AD58" s="8">
        <f t="shared" si="150"/>
        <v>16</v>
      </c>
      <c r="AE58" s="8">
        <f t="shared" si="150"/>
        <v>18</v>
      </c>
      <c r="AF58" s="8">
        <f t="shared" si="150"/>
        <v>22</v>
      </c>
      <c r="AG58" s="8">
        <f t="shared" si="150"/>
        <v>25</v>
      </c>
      <c r="AH58" s="8">
        <f t="shared" si="150"/>
        <v>28</v>
      </c>
      <c r="AI58" s="8">
        <f t="shared" si="150"/>
        <v>32</v>
      </c>
      <c r="AJ58" s="8">
        <f t="shared" si="150"/>
        <v>36</v>
      </c>
      <c r="AK58" s="8">
        <f t="shared" si="150"/>
        <v>45</v>
      </c>
      <c r="AL58" s="8">
        <f t="shared" si="150"/>
        <v>53</v>
      </c>
      <c r="AM58" s="8">
        <f t="shared" si="150"/>
        <v>62</v>
      </c>
      <c r="AN58" s="8">
        <f t="shared" si="150"/>
        <v>70</v>
      </c>
      <c r="AO58" s="8">
        <f t="shared" si="150"/>
        <v>80</v>
      </c>
      <c r="AP58" s="8">
        <f t="shared" si="150"/>
        <v>90</v>
      </c>
      <c r="AQ58" s="8">
        <f t="shared" si="150"/>
        <v>100</v>
      </c>
      <c r="AR58" s="8">
        <f t="shared" si="150"/>
        <v>110</v>
      </c>
      <c r="AS58" s="8">
        <f t="shared" ref="AS58:BT58" si="151">ROUND(SUM(AS31,-AS41,-AS49),0)</f>
        <v>122</v>
      </c>
      <c r="AT58" s="8">
        <f t="shared" si="151"/>
        <v>134</v>
      </c>
      <c r="AU58" s="8">
        <f t="shared" si="151"/>
        <v>146</v>
      </c>
      <c r="AV58" s="8">
        <f t="shared" si="151"/>
        <v>160</v>
      </c>
      <c r="AW58" s="8">
        <f t="shared" si="151"/>
        <v>178</v>
      </c>
      <c r="AX58" s="8">
        <f t="shared" si="151"/>
        <v>196</v>
      </c>
      <c r="AY58" s="8">
        <f t="shared" si="151"/>
        <v>215</v>
      </c>
      <c r="AZ58" s="8">
        <f t="shared" si="151"/>
        <v>234</v>
      </c>
      <c r="BA58" s="8">
        <f t="shared" si="151"/>
        <v>255</v>
      </c>
      <c r="BB58" s="8">
        <f t="shared" si="151"/>
        <v>276</v>
      </c>
      <c r="BC58" s="8">
        <f t="shared" si="151"/>
        <v>299</v>
      </c>
      <c r="BD58" s="8">
        <f t="shared" si="151"/>
        <v>323</v>
      </c>
      <c r="BE58" s="8">
        <f t="shared" si="151"/>
        <v>347</v>
      </c>
      <c r="BF58" s="8">
        <f t="shared" si="151"/>
        <v>373</v>
      </c>
      <c r="BG58" s="8">
        <f t="shared" si="151"/>
        <v>400</v>
      </c>
      <c r="BH58" s="8">
        <f t="shared" si="151"/>
        <v>429</v>
      </c>
      <c r="BI58" s="8">
        <f t="shared" si="151"/>
        <v>442</v>
      </c>
      <c r="BJ58" s="8">
        <f t="shared" si="151"/>
        <v>462</v>
      </c>
      <c r="BK58" s="8">
        <f t="shared" si="151"/>
        <v>483</v>
      </c>
      <c r="BL58" s="8">
        <f t="shared" si="151"/>
        <v>505</v>
      </c>
      <c r="BM58" s="8">
        <f t="shared" si="151"/>
        <v>528</v>
      </c>
      <c r="BN58" s="8">
        <f t="shared" si="151"/>
        <v>552</v>
      </c>
      <c r="BO58" s="8">
        <f t="shared" si="151"/>
        <v>578</v>
      </c>
      <c r="BP58" s="8">
        <f t="shared" si="151"/>
        <v>604</v>
      </c>
      <c r="BQ58" s="8">
        <f t="shared" si="151"/>
        <v>632</v>
      </c>
      <c r="BR58" s="8">
        <f t="shared" si="151"/>
        <v>662</v>
      </c>
      <c r="BS58" s="8">
        <f t="shared" si="151"/>
        <v>692</v>
      </c>
      <c r="BT58" s="8">
        <f t="shared" si="151"/>
        <v>725</v>
      </c>
    </row>
    <row r="59" spans="5:72" x14ac:dyDescent="0.3">
      <c r="F59" s="5"/>
      <c r="G59" s="5"/>
      <c r="M59" s="8">
        <f t="shared" ref="M59:AR59" si="152">ROUND(SUM(M32,-M42,-M50),0)</f>
        <v>0</v>
      </c>
      <c r="N59" s="8">
        <f t="shared" si="152"/>
        <v>0</v>
      </c>
      <c r="O59" s="8">
        <f t="shared" si="152"/>
        <v>0</v>
      </c>
      <c r="P59" s="8">
        <f t="shared" si="152"/>
        <v>0</v>
      </c>
      <c r="Q59" s="8">
        <f t="shared" si="152"/>
        <v>0</v>
      </c>
      <c r="R59" s="8">
        <f t="shared" si="152"/>
        <v>0</v>
      </c>
      <c r="S59" s="8">
        <f t="shared" si="152"/>
        <v>0</v>
      </c>
      <c r="T59" s="8">
        <f t="shared" si="152"/>
        <v>0</v>
      </c>
      <c r="U59" s="8">
        <f t="shared" si="152"/>
        <v>0</v>
      </c>
      <c r="V59" s="8">
        <f t="shared" si="152"/>
        <v>0</v>
      </c>
      <c r="W59" s="8">
        <f t="shared" si="152"/>
        <v>0</v>
      </c>
      <c r="X59" s="8">
        <f t="shared" si="152"/>
        <v>0</v>
      </c>
      <c r="Y59" s="8">
        <f t="shared" si="152"/>
        <v>0</v>
      </c>
      <c r="Z59" s="8">
        <f t="shared" si="152"/>
        <v>0</v>
      </c>
      <c r="AA59" s="8">
        <f t="shared" si="152"/>
        <v>0</v>
      </c>
      <c r="AB59" s="8">
        <f t="shared" si="152"/>
        <v>0</v>
      </c>
      <c r="AC59" s="8">
        <f t="shared" si="152"/>
        <v>0</v>
      </c>
      <c r="AD59" s="8">
        <f t="shared" si="152"/>
        <v>0</v>
      </c>
      <c r="AE59" s="8">
        <f t="shared" si="152"/>
        <v>0</v>
      </c>
      <c r="AF59" s="8">
        <f t="shared" si="152"/>
        <v>0</v>
      </c>
      <c r="AG59" s="8">
        <f t="shared" si="152"/>
        <v>0</v>
      </c>
      <c r="AH59" s="8">
        <f t="shared" si="152"/>
        <v>0</v>
      </c>
      <c r="AI59" s="8">
        <f t="shared" si="152"/>
        <v>0</v>
      </c>
      <c r="AJ59" s="8">
        <f t="shared" si="152"/>
        <v>0</v>
      </c>
      <c r="AK59" s="8">
        <f t="shared" si="152"/>
        <v>4</v>
      </c>
      <c r="AL59" s="8">
        <f t="shared" si="152"/>
        <v>7</v>
      </c>
      <c r="AM59" s="8">
        <f t="shared" si="152"/>
        <v>9</v>
      </c>
      <c r="AN59" s="8">
        <f t="shared" si="152"/>
        <v>12</v>
      </c>
      <c r="AO59" s="8">
        <f t="shared" si="152"/>
        <v>15</v>
      </c>
      <c r="AP59" s="8">
        <f t="shared" si="152"/>
        <v>19</v>
      </c>
      <c r="AQ59" s="8">
        <f t="shared" si="152"/>
        <v>22</v>
      </c>
      <c r="AR59" s="8">
        <f t="shared" si="152"/>
        <v>25</v>
      </c>
      <c r="AS59" s="8">
        <f t="shared" ref="AS59:BT59" si="153">ROUND(SUM(AS32,-AS42,-AS50),0)</f>
        <v>29</v>
      </c>
      <c r="AT59" s="8">
        <f t="shared" si="153"/>
        <v>33</v>
      </c>
      <c r="AU59" s="8">
        <f t="shared" si="153"/>
        <v>37</v>
      </c>
      <c r="AV59" s="8">
        <f t="shared" si="153"/>
        <v>42</v>
      </c>
      <c r="AW59" s="8">
        <f t="shared" si="153"/>
        <v>57</v>
      </c>
      <c r="AX59" s="8">
        <f t="shared" si="153"/>
        <v>69</v>
      </c>
      <c r="AY59" s="8">
        <f t="shared" si="153"/>
        <v>81</v>
      </c>
      <c r="AZ59" s="8">
        <f t="shared" si="153"/>
        <v>94</v>
      </c>
      <c r="BA59" s="8">
        <f t="shared" si="153"/>
        <v>107</v>
      </c>
      <c r="BB59" s="8">
        <f t="shared" si="153"/>
        <v>121</v>
      </c>
      <c r="BC59" s="8">
        <f t="shared" si="153"/>
        <v>137</v>
      </c>
      <c r="BD59" s="8">
        <f t="shared" si="153"/>
        <v>153</v>
      </c>
      <c r="BE59" s="8">
        <f t="shared" si="153"/>
        <v>169</v>
      </c>
      <c r="BF59" s="8">
        <f t="shared" si="153"/>
        <v>187</v>
      </c>
      <c r="BG59" s="8">
        <f t="shared" si="153"/>
        <v>204</v>
      </c>
      <c r="BH59" s="8">
        <f t="shared" si="153"/>
        <v>224</v>
      </c>
      <c r="BI59" s="8">
        <f t="shared" si="153"/>
        <v>264</v>
      </c>
      <c r="BJ59" s="8">
        <f t="shared" si="153"/>
        <v>299</v>
      </c>
      <c r="BK59" s="8">
        <f t="shared" si="153"/>
        <v>336</v>
      </c>
      <c r="BL59" s="8">
        <f t="shared" si="153"/>
        <v>375</v>
      </c>
      <c r="BM59" s="8">
        <f t="shared" si="153"/>
        <v>415</v>
      </c>
      <c r="BN59" s="8">
        <f t="shared" si="153"/>
        <v>458</v>
      </c>
      <c r="BO59" s="8">
        <f t="shared" si="153"/>
        <v>503</v>
      </c>
      <c r="BP59" s="8">
        <f t="shared" si="153"/>
        <v>550</v>
      </c>
      <c r="BQ59" s="8">
        <f t="shared" si="153"/>
        <v>599</v>
      </c>
      <c r="BR59" s="8">
        <f t="shared" si="153"/>
        <v>651</v>
      </c>
      <c r="BS59" s="8">
        <f t="shared" si="153"/>
        <v>706</v>
      </c>
      <c r="BT59" s="8">
        <f t="shared" si="153"/>
        <v>763</v>
      </c>
    </row>
    <row r="60" spans="5:72" x14ac:dyDescent="0.3">
      <c r="F60" s="5"/>
      <c r="G60" s="5"/>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row>
    <row r="61" spans="5:72" x14ac:dyDescent="0.3">
      <c r="K61" t="s">
        <v>39</v>
      </c>
      <c r="M61" s="8">
        <f t="shared" ref="M61:AR61" si="154">ROUND(SUM(M34,-M44,-M52),0)</f>
        <v>0</v>
      </c>
      <c r="N61" s="8">
        <f t="shared" si="154"/>
        <v>0</v>
      </c>
      <c r="O61" s="8">
        <f t="shared" si="154"/>
        <v>0</v>
      </c>
      <c r="P61" s="8">
        <f t="shared" si="154"/>
        <v>0</v>
      </c>
      <c r="Q61" s="8">
        <f t="shared" si="154"/>
        <v>0</v>
      </c>
      <c r="R61" s="8">
        <f t="shared" si="154"/>
        <v>0</v>
      </c>
      <c r="S61" s="8">
        <f t="shared" si="154"/>
        <v>2</v>
      </c>
      <c r="T61" s="8">
        <f t="shared" si="154"/>
        <v>4</v>
      </c>
      <c r="U61" s="8">
        <f t="shared" si="154"/>
        <v>6</v>
      </c>
      <c r="V61" s="8">
        <f t="shared" si="154"/>
        <v>7</v>
      </c>
      <c r="W61" s="8">
        <f t="shared" si="154"/>
        <v>9</v>
      </c>
      <c r="X61" s="8">
        <f t="shared" si="154"/>
        <v>11</v>
      </c>
      <c r="Y61" s="8">
        <f t="shared" si="154"/>
        <v>12</v>
      </c>
      <c r="Z61" s="8">
        <f t="shared" si="154"/>
        <v>14</v>
      </c>
      <c r="AA61" s="8">
        <f t="shared" si="154"/>
        <v>18</v>
      </c>
      <c r="AB61" s="8">
        <f t="shared" si="154"/>
        <v>21</v>
      </c>
      <c r="AC61" s="8">
        <f t="shared" si="154"/>
        <v>25</v>
      </c>
      <c r="AD61" s="8">
        <f t="shared" si="154"/>
        <v>28</v>
      </c>
      <c r="AE61" s="8">
        <f t="shared" si="154"/>
        <v>32</v>
      </c>
      <c r="AF61" s="8">
        <f t="shared" si="154"/>
        <v>36</v>
      </c>
      <c r="AG61" s="8">
        <f t="shared" si="154"/>
        <v>40</v>
      </c>
      <c r="AH61" s="8">
        <f t="shared" si="154"/>
        <v>44</v>
      </c>
      <c r="AI61" s="8">
        <f t="shared" si="154"/>
        <v>49</v>
      </c>
      <c r="AJ61" s="8">
        <f t="shared" si="154"/>
        <v>53</v>
      </c>
      <c r="AK61" s="8">
        <f t="shared" si="154"/>
        <v>57</v>
      </c>
      <c r="AL61" s="8">
        <f t="shared" si="154"/>
        <v>61</v>
      </c>
      <c r="AM61" s="8">
        <f t="shared" si="154"/>
        <v>65</v>
      </c>
      <c r="AN61" s="8">
        <f t="shared" si="154"/>
        <v>69</v>
      </c>
      <c r="AO61" s="8">
        <f t="shared" si="154"/>
        <v>74</v>
      </c>
      <c r="AP61" s="8">
        <f t="shared" si="154"/>
        <v>79</v>
      </c>
      <c r="AQ61" s="8">
        <f t="shared" si="154"/>
        <v>84</v>
      </c>
      <c r="AR61" s="8">
        <f t="shared" si="154"/>
        <v>89</v>
      </c>
      <c r="AS61" s="8">
        <f t="shared" ref="AS61:BT61" si="155">ROUND(SUM(AS34,-AS44,-AS52),0)</f>
        <v>94</v>
      </c>
      <c r="AT61" s="8">
        <f t="shared" si="155"/>
        <v>101</v>
      </c>
      <c r="AU61" s="8">
        <f t="shared" si="155"/>
        <v>107</v>
      </c>
      <c r="AV61" s="8">
        <f t="shared" si="155"/>
        <v>113</v>
      </c>
      <c r="AW61" s="8">
        <f t="shared" si="155"/>
        <v>114</v>
      </c>
      <c r="AX61" s="8">
        <f t="shared" si="155"/>
        <v>116</v>
      </c>
      <c r="AY61" s="8">
        <f t="shared" si="155"/>
        <v>120</v>
      </c>
      <c r="AZ61" s="8">
        <f t="shared" si="155"/>
        <v>123</v>
      </c>
      <c r="BA61" s="8">
        <f t="shared" si="155"/>
        <v>127</v>
      </c>
      <c r="BB61" s="8">
        <f t="shared" si="155"/>
        <v>130</v>
      </c>
      <c r="BC61" s="8">
        <f t="shared" si="155"/>
        <v>134</v>
      </c>
      <c r="BD61" s="8">
        <f t="shared" si="155"/>
        <v>138</v>
      </c>
      <c r="BE61" s="8">
        <f t="shared" si="155"/>
        <v>142</v>
      </c>
      <c r="BF61" s="8">
        <f t="shared" si="155"/>
        <v>147</v>
      </c>
      <c r="BG61" s="8">
        <f t="shared" si="155"/>
        <v>151</v>
      </c>
      <c r="BH61" s="8">
        <f t="shared" si="155"/>
        <v>156</v>
      </c>
      <c r="BI61" s="8">
        <f t="shared" si="155"/>
        <v>161</v>
      </c>
      <c r="BJ61" s="8">
        <f t="shared" si="155"/>
        <v>168</v>
      </c>
      <c r="BK61" s="8">
        <f t="shared" si="155"/>
        <v>173</v>
      </c>
      <c r="BL61" s="8">
        <f t="shared" si="155"/>
        <v>180</v>
      </c>
      <c r="BM61" s="8">
        <f t="shared" si="155"/>
        <v>187</v>
      </c>
      <c r="BN61" s="8">
        <f t="shared" si="155"/>
        <v>194</v>
      </c>
      <c r="BO61" s="8">
        <f t="shared" si="155"/>
        <v>201</v>
      </c>
      <c r="BP61" s="8">
        <f t="shared" si="155"/>
        <v>210</v>
      </c>
      <c r="BQ61" s="8">
        <f t="shared" si="155"/>
        <v>217</v>
      </c>
      <c r="BR61" s="8">
        <f t="shared" si="155"/>
        <v>226</v>
      </c>
      <c r="BS61" s="8">
        <f t="shared" si="155"/>
        <v>236</v>
      </c>
      <c r="BT61" s="8">
        <f t="shared" si="155"/>
        <v>245</v>
      </c>
    </row>
    <row r="62" spans="5:72" x14ac:dyDescent="0.3">
      <c r="M62" s="8">
        <f t="shared" ref="M62:AR62" si="156">ROUND(SUM(M35,-M45,-M53),0)</f>
        <v>0</v>
      </c>
      <c r="N62" s="8">
        <f t="shared" si="156"/>
        <v>0</v>
      </c>
      <c r="O62" s="8">
        <f t="shared" si="156"/>
        <v>0</v>
      </c>
      <c r="P62" s="8">
        <f t="shared" si="156"/>
        <v>0</v>
      </c>
      <c r="Q62" s="8">
        <f t="shared" si="156"/>
        <v>0</v>
      </c>
      <c r="R62" s="8">
        <f t="shared" si="156"/>
        <v>0</v>
      </c>
      <c r="S62" s="8">
        <f t="shared" si="156"/>
        <v>0</v>
      </c>
      <c r="T62" s="8">
        <f t="shared" si="156"/>
        <v>0</v>
      </c>
      <c r="U62" s="8">
        <f t="shared" si="156"/>
        <v>0</v>
      </c>
      <c r="V62" s="8">
        <f t="shared" si="156"/>
        <v>0</v>
      </c>
      <c r="W62" s="8">
        <f t="shared" si="156"/>
        <v>0</v>
      </c>
      <c r="X62" s="8">
        <f t="shared" si="156"/>
        <v>0</v>
      </c>
      <c r="Y62" s="8">
        <f t="shared" si="156"/>
        <v>2</v>
      </c>
      <c r="Z62" s="8">
        <f t="shared" si="156"/>
        <v>4</v>
      </c>
      <c r="AA62" s="8">
        <f t="shared" si="156"/>
        <v>6</v>
      </c>
      <c r="AB62" s="8">
        <f t="shared" si="156"/>
        <v>8</v>
      </c>
      <c r="AC62" s="8">
        <f t="shared" si="156"/>
        <v>10</v>
      </c>
      <c r="AD62" s="8">
        <f t="shared" si="156"/>
        <v>12</v>
      </c>
      <c r="AE62" s="8">
        <f t="shared" si="156"/>
        <v>14</v>
      </c>
      <c r="AF62" s="8">
        <f t="shared" si="156"/>
        <v>16</v>
      </c>
      <c r="AG62" s="8">
        <f t="shared" si="156"/>
        <v>19</v>
      </c>
      <c r="AH62" s="8">
        <f t="shared" si="156"/>
        <v>22</v>
      </c>
      <c r="AI62" s="8">
        <f t="shared" si="156"/>
        <v>24</v>
      </c>
      <c r="AJ62" s="8">
        <f t="shared" si="156"/>
        <v>27</v>
      </c>
      <c r="AK62" s="8">
        <f t="shared" si="156"/>
        <v>31</v>
      </c>
      <c r="AL62" s="8">
        <f t="shared" si="156"/>
        <v>35</v>
      </c>
      <c r="AM62" s="8">
        <f t="shared" si="156"/>
        <v>39</v>
      </c>
      <c r="AN62" s="8">
        <f t="shared" si="156"/>
        <v>44</v>
      </c>
      <c r="AO62" s="8">
        <f t="shared" si="156"/>
        <v>49</v>
      </c>
      <c r="AP62" s="8">
        <f t="shared" si="156"/>
        <v>53</v>
      </c>
      <c r="AQ62" s="8">
        <f t="shared" si="156"/>
        <v>59</v>
      </c>
      <c r="AR62" s="8">
        <f t="shared" si="156"/>
        <v>64</v>
      </c>
      <c r="AS62" s="8">
        <f t="shared" ref="AS62:BT62" si="157">ROUND(SUM(AS35,-AS45,-AS53),0)</f>
        <v>69</v>
      </c>
      <c r="AT62" s="8">
        <f t="shared" si="157"/>
        <v>75</v>
      </c>
      <c r="AU62" s="8">
        <f t="shared" si="157"/>
        <v>81</v>
      </c>
      <c r="AV62" s="8">
        <f t="shared" si="157"/>
        <v>88</v>
      </c>
      <c r="AW62" s="8">
        <f t="shared" si="157"/>
        <v>102</v>
      </c>
      <c r="AX62" s="8">
        <f t="shared" si="157"/>
        <v>114</v>
      </c>
      <c r="AY62" s="8">
        <f t="shared" si="157"/>
        <v>126</v>
      </c>
      <c r="AZ62" s="8">
        <f t="shared" si="157"/>
        <v>139</v>
      </c>
      <c r="BA62" s="8">
        <f t="shared" si="157"/>
        <v>152</v>
      </c>
      <c r="BB62" s="8">
        <f t="shared" si="157"/>
        <v>166</v>
      </c>
      <c r="BC62" s="8">
        <f t="shared" si="157"/>
        <v>182</v>
      </c>
      <c r="BD62" s="8">
        <f t="shared" si="157"/>
        <v>198</v>
      </c>
      <c r="BE62" s="8">
        <f t="shared" si="157"/>
        <v>214</v>
      </c>
      <c r="BF62" s="8">
        <f t="shared" si="157"/>
        <v>231</v>
      </c>
      <c r="BG62" s="8">
        <f t="shared" si="157"/>
        <v>249</v>
      </c>
      <c r="BH62" s="8">
        <f t="shared" si="157"/>
        <v>269</v>
      </c>
      <c r="BI62" s="8">
        <f t="shared" si="157"/>
        <v>292</v>
      </c>
      <c r="BJ62" s="8">
        <f t="shared" si="157"/>
        <v>315</v>
      </c>
      <c r="BK62" s="8">
        <f t="shared" si="157"/>
        <v>340</v>
      </c>
      <c r="BL62" s="8">
        <f t="shared" si="157"/>
        <v>366</v>
      </c>
      <c r="BM62" s="8">
        <f t="shared" si="157"/>
        <v>393</v>
      </c>
      <c r="BN62" s="8">
        <f t="shared" si="157"/>
        <v>422</v>
      </c>
      <c r="BO62" s="8">
        <f t="shared" si="157"/>
        <v>452</v>
      </c>
      <c r="BP62" s="8">
        <f t="shared" si="157"/>
        <v>483</v>
      </c>
      <c r="BQ62" s="8">
        <f t="shared" si="157"/>
        <v>516</v>
      </c>
      <c r="BR62" s="8">
        <f t="shared" si="157"/>
        <v>551</v>
      </c>
      <c r="BS62" s="8">
        <f t="shared" si="157"/>
        <v>587</v>
      </c>
      <c r="BT62" s="8">
        <f t="shared" si="157"/>
        <v>625</v>
      </c>
    </row>
    <row r="63" spans="5:72" x14ac:dyDescent="0.3">
      <c r="M63" s="8">
        <f t="shared" ref="M63:AR63" si="158">ROUND(SUM(M36,-M46,-M54),0)</f>
        <v>0</v>
      </c>
      <c r="N63" s="8">
        <f t="shared" si="158"/>
        <v>0</v>
      </c>
      <c r="O63" s="8">
        <f t="shared" si="158"/>
        <v>0</v>
      </c>
      <c r="P63" s="8">
        <f t="shared" si="158"/>
        <v>0</v>
      </c>
      <c r="Q63" s="8">
        <f t="shared" si="158"/>
        <v>0</v>
      </c>
      <c r="R63" s="8">
        <f t="shared" si="158"/>
        <v>0</v>
      </c>
      <c r="S63" s="8">
        <f t="shared" si="158"/>
        <v>0</v>
      </c>
      <c r="T63" s="8">
        <f t="shared" si="158"/>
        <v>0</v>
      </c>
      <c r="U63" s="8">
        <f t="shared" si="158"/>
        <v>0</v>
      </c>
      <c r="V63" s="8">
        <f t="shared" si="158"/>
        <v>0</v>
      </c>
      <c r="W63" s="8">
        <f t="shared" si="158"/>
        <v>0</v>
      </c>
      <c r="X63" s="8">
        <f t="shared" si="158"/>
        <v>0</v>
      </c>
      <c r="Y63" s="8">
        <f t="shared" si="158"/>
        <v>0</v>
      </c>
      <c r="Z63" s="8">
        <f t="shared" si="158"/>
        <v>0</v>
      </c>
      <c r="AA63" s="8">
        <f t="shared" si="158"/>
        <v>0</v>
      </c>
      <c r="AB63" s="8">
        <f t="shared" si="158"/>
        <v>0</v>
      </c>
      <c r="AC63" s="8">
        <f t="shared" si="158"/>
        <v>0</v>
      </c>
      <c r="AD63" s="8">
        <f t="shared" si="158"/>
        <v>0</v>
      </c>
      <c r="AE63" s="8">
        <f t="shared" si="158"/>
        <v>0</v>
      </c>
      <c r="AF63" s="8">
        <f t="shared" si="158"/>
        <v>0</v>
      </c>
      <c r="AG63" s="8">
        <f t="shared" si="158"/>
        <v>0</v>
      </c>
      <c r="AH63" s="8">
        <f t="shared" si="158"/>
        <v>0</v>
      </c>
      <c r="AI63" s="8">
        <f t="shared" si="158"/>
        <v>0</v>
      </c>
      <c r="AJ63" s="8">
        <f t="shared" si="158"/>
        <v>0</v>
      </c>
      <c r="AK63" s="8">
        <f t="shared" si="158"/>
        <v>4</v>
      </c>
      <c r="AL63" s="8">
        <f t="shared" si="158"/>
        <v>7</v>
      </c>
      <c r="AM63" s="8">
        <f t="shared" si="158"/>
        <v>9</v>
      </c>
      <c r="AN63" s="8">
        <f t="shared" si="158"/>
        <v>12</v>
      </c>
      <c r="AO63" s="8">
        <f t="shared" si="158"/>
        <v>15</v>
      </c>
      <c r="AP63" s="8">
        <f t="shared" si="158"/>
        <v>19</v>
      </c>
      <c r="AQ63" s="8">
        <f t="shared" si="158"/>
        <v>22</v>
      </c>
      <c r="AR63" s="8">
        <f t="shared" si="158"/>
        <v>25</v>
      </c>
      <c r="AS63" s="8">
        <f t="shared" ref="AS63:BT63" si="159">ROUND(SUM(AS36,-AS46,-AS54),0)</f>
        <v>29</v>
      </c>
      <c r="AT63" s="8">
        <f t="shared" si="159"/>
        <v>33</v>
      </c>
      <c r="AU63" s="8">
        <f t="shared" si="159"/>
        <v>37</v>
      </c>
      <c r="AV63" s="8">
        <f t="shared" si="159"/>
        <v>42</v>
      </c>
      <c r="AW63" s="8">
        <f t="shared" si="159"/>
        <v>57</v>
      </c>
      <c r="AX63" s="8">
        <f t="shared" si="159"/>
        <v>69</v>
      </c>
      <c r="AY63" s="8">
        <f t="shared" si="159"/>
        <v>81</v>
      </c>
      <c r="AZ63" s="8">
        <f t="shared" si="159"/>
        <v>94</v>
      </c>
      <c r="BA63" s="8">
        <f t="shared" si="159"/>
        <v>107</v>
      </c>
      <c r="BB63" s="8">
        <f t="shared" si="159"/>
        <v>121</v>
      </c>
      <c r="BC63" s="8">
        <f t="shared" si="159"/>
        <v>137</v>
      </c>
      <c r="BD63" s="8">
        <f t="shared" si="159"/>
        <v>153</v>
      </c>
      <c r="BE63" s="8">
        <f t="shared" si="159"/>
        <v>169</v>
      </c>
      <c r="BF63" s="8">
        <f t="shared" si="159"/>
        <v>187</v>
      </c>
      <c r="BG63" s="8">
        <f t="shared" si="159"/>
        <v>204</v>
      </c>
      <c r="BH63" s="8">
        <f t="shared" si="159"/>
        <v>224</v>
      </c>
      <c r="BI63" s="8">
        <f t="shared" si="159"/>
        <v>256</v>
      </c>
      <c r="BJ63" s="8">
        <f t="shared" si="159"/>
        <v>285</v>
      </c>
      <c r="BK63" s="8">
        <f t="shared" si="159"/>
        <v>316</v>
      </c>
      <c r="BL63" s="8">
        <f t="shared" si="159"/>
        <v>348</v>
      </c>
      <c r="BM63" s="8">
        <f t="shared" si="159"/>
        <v>382</v>
      </c>
      <c r="BN63" s="8">
        <f t="shared" si="159"/>
        <v>417</v>
      </c>
      <c r="BO63" s="8">
        <f t="shared" si="159"/>
        <v>454</v>
      </c>
      <c r="BP63" s="8">
        <f t="shared" si="159"/>
        <v>494</v>
      </c>
      <c r="BQ63" s="8">
        <f t="shared" si="159"/>
        <v>535</v>
      </c>
      <c r="BR63" s="8">
        <f t="shared" si="159"/>
        <v>579</v>
      </c>
      <c r="BS63" s="8">
        <f t="shared" si="159"/>
        <v>624</v>
      </c>
      <c r="BT63" s="8">
        <f t="shared" si="159"/>
        <v>672</v>
      </c>
    </row>
    <row r="64" spans="5:72" x14ac:dyDescent="0.3">
      <c r="J64" s="16" t="s">
        <v>57</v>
      </c>
    </row>
    <row r="65" spans="9:72" x14ac:dyDescent="0.3">
      <c r="K65" t="s">
        <v>36</v>
      </c>
      <c r="M65" s="14">
        <f t="shared" ref="M65:AR65" si="160">M57*_xlfn.XLOOKUP(_xlfn.NUMBERVALUE(RIGHT(M$3,1)),$D$7:$H$7,$D11:$H11)</f>
        <v>0</v>
      </c>
      <c r="N65" s="14">
        <f t="shared" si="160"/>
        <v>0</v>
      </c>
      <c r="O65" s="14">
        <f t="shared" si="160"/>
        <v>0</v>
      </c>
      <c r="P65" s="14">
        <f t="shared" si="160"/>
        <v>0</v>
      </c>
      <c r="Q65" s="14">
        <f t="shared" si="160"/>
        <v>0</v>
      </c>
      <c r="R65" s="14">
        <f t="shared" si="160"/>
        <v>0</v>
      </c>
      <c r="S65" s="14">
        <f t="shared" si="160"/>
        <v>400</v>
      </c>
      <c r="T65" s="14">
        <f t="shared" si="160"/>
        <v>800</v>
      </c>
      <c r="U65" s="14">
        <f t="shared" si="160"/>
        <v>1100</v>
      </c>
      <c r="V65" s="14">
        <f t="shared" si="160"/>
        <v>1500</v>
      </c>
      <c r="W65" s="14">
        <f t="shared" si="160"/>
        <v>1900</v>
      </c>
      <c r="X65" s="14">
        <f t="shared" si="160"/>
        <v>2400</v>
      </c>
      <c r="Y65" s="14">
        <f t="shared" si="160"/>
        <v>2880</v>
      </c>
      <c r="Z65" s="14">
        <f t="shared" si="160"/>
        <v>3360</v>
      </c>
      <c r="AA65" s="14">
        <f t="shared" si="160"/>
        <v>3960</v>
      </c>
      <c r="AB65" s="14">
        <f t="shared" si="160"/>
        <v>4680</v>
      </c>
      <c r="AC65" s="14">
        <f t="shared" si="160"/>
        <v>5280</v>
      </c>
      <c r="AD65" s="14">
        <f t="shared" si="160"/>
        <v>5880</v>
      </c>
      <c r="AE65" s="14">
        <f t="shared" si="160"/>
        <v>6600</v>
      </c>
      <c r="AF65" s="14">
        <f t="shared" si="160"/>
        <v>7320</v>
      </c>
      <c r="AG65" s="14">
        <f t="shared" si="160"/>
        <v>8160</v>
      </c>
      <c r="AH65" s="14">
        <f t="shared" si="160"/>
        <v>8880</v>
      </c>
      <c r="AI65" s="14">
        <f t="shared" si="160"/>
        <v>9840</v>
      </c>
      <c r="AJ65" s="14">
        <f t="shared" si="160"/>
        <v>10680</v>
      </c>
      <c r="AK65" s="14">
        <f t="shared" si="160"/>
        <v>13020</v>
      </c>
      <c r="AL65" s="14">
        <f t="shared" si="160"/>
        <v>13720</v>
      </c>
      <c r="AM65" s="14">
        <f t="shared" si="160"/>
        <v>14560</v>
      </c>
      <c r="AN65" s="14">
        <f t="shared" si="160"/>
        <v>15400</v>
      </c>
      <c r="AO65" s="14">
        <f t="shared" si="160"/>
        <v>16240</v>
      </c>
      <c r="AP65" s="14">
        <f t="shared" si="160"/>
        <v>17080</v>
      </c>
      <c r="AQ65" s="14">
        <f t="shared" si="160"/>
        <v>18060</v>
      </c>
      <c r="AR65" s="14">
        <f t="shared" si="160"/>
        <v>19040</v>
      </c>
      <c r="AS65" s="14">
        <f t="shared" ref="AS65:BT65" si="161">AS57*_xlfn.XLOOKUP(_xlfn.NUMBERVALUE(RIGHT(AS$3,1)),$D$7:$H$7,$D11:$H11)</f>
        <v>20160</v>
      </c>
      <c r="AT65" s="14">
        <f t="shared" si="161"/>
        <v>21280</v>
      </c>
      <c r="AU65" s="14">
        <f t="shared" si="161"/>
        <v>22400</v>
      </c>
      <c r="AV65" s="14">
        <f t="shared" si="161"/>
        <v>23520</v>
      </c>
      <c r="AW65" s="14">
        <f t="shared" si="161"/>
        <v>26880</v>
      </c>
      <c r="AX65" s="14">
        <f t="shared" si="161"/>
        <v>27200</v>
      </c>
      <c r="AY65" s="14">
        <f t="shared" si="161"/>
        <v>27840</v>
      </c>
      <c r="AZ65" s="14">
        <f t="shared" si="161"/>
        <v>28320</v>
      </c>
      <c r="BA65" s="14">
        <f t="shared" si="161"/>
        <v>28960</v>
      </c>
      <c r="BB65" s="14">
        <f t="shared" si="161"/>
        <v>29440</v>
      </c>
      <c r="BC65" s="14">
        <f t="shared" si="161"/>
        <v>30080</v>
      </c>
      <c r="BD65" s="14">
        <f t="shared" si="161"/>
        <v>30720</v>
      </c>
      <c r="BE65" s="14">
        <f t="shared" si="161"/>
        <v>31360</v>
      </c>
      <c r="BF65" s="14">
        <f t="shared" si="161"/>
        <v>32160</v>
      </c>
      <c r="BG65" s="14">
        <f t="shared" si="161"/>
        <v>32800</v>
      </c>
      <c r="BH65" s="14">
        <f t="shared" si="161"/>
        <v>33600</v>
      </c>
      <c r="BI65" s="14">
        <f t="shared" si="161"/>
        <v>38160</v>
      </c>
      <c r="BJ65" s="14">
        <f t="shared" si="161"/>
        <v>38880</v>
      </c>
      <c r="BK65" s="14">
        <f t="shared" si="161"/>
        <v>39600</v>
      </c>
      <c r="BL65" s="14">
        <f t="shared" si="161"/>
        <v>40320</v>
      </c>
      <c r="BM65" s="14">
        <f t="shared" si="161"/>
        <v>41040</v>
      </c>
      <c r="BN65" s="14">
        <f t="shared" si="161"/>
        <v>41760</v>
      </c>
      <c r="BO65" s="14">
        <f t="shared" si="161"/>
        <v>42480</v>
      </c>
      <c r="BP65" s="14">
        <f t="shared" si="161"/>
        <v>43380</v>
      </c>
      <c r="BQ65" s="14">
        <f t="shared" si="161"/>
        <v>44280</v>
      </c>
      <c r="BR65" s="14">
        <f t="shared" si="161"/>
        <v>45180</v>
      </c>
      <c r="BS65" s="14">
        <f t="shared" si="161"/>
        <v>46080</v>
      </c>
      <c r="BT65" s="14">
        <f t="shared" si="161"/>
        <v>47340</v>
      </c>
    </row>
    <row r="66" spans="9:72" x14ac:dyDescent="0.3">
      <c r="M66" s="14">
        <f t="shared" ref="M66:AR66" si="162">M58*_xlfn.XLOOKUP(_xlfn.NUMBERVALUE(RIGHT(M$3,1)),$D$7:$H$7,$D12:$H12)</f>
        <v>0</v>
      </c>
      <c r="N66" s="14">
        <f t="shared" si="162"/>
        <v>0</v>
      </c>
      <c r="O66" s="14">
        <f t="shared" si="162"/>
        <v>0</v>
      </c>
      <c r="P66" s="14">
        <f t="shared" si="162"/>
        <v>0</v>
      </c>
      <c r="Q66" s="14">
        <f t="shared" si="162"/>
        <v>0</v>
      </c>
      <c r="R66" s="14">
        <f t="shared" si="162"/>
        <v>0</v>
      </c>
      <c r="S66" s="14">
        <f t="shared" si="162"/>
        <v>0</v>
      </c>
      <c r="T66" s="14">
        <f t="shared" si="162"/>
        <v>0</v>
      </c>
      <c r="U66" s="14">
        <f t="shared" si="162"/>
        <v>0</v>
      </c>
      <c r="V66" s="14">
        <f t="shared" si="162"/>
        <v>0</v>
      </c>
      <c r="W66" s="14">
        <f t="shared" si="162"/>
        <v>0</v>
      </c>
      <c r="X66" s="14">
        <f t="shared" si="162"/>
        <v>0</v>
      </c>
      <c r="Y66" s="14">
        <f t="shared" si="162"/>
        <v>690</v>
      </c>
      <c r="Z66" s="14">
        <f t="shared" si="162"/>
        <v>1150</v>
      </c>
      <c r="AA66" s="14">
        <f t="shared" si="162"/>
        <v>1840</v>
      </c>
      <c r="AB66" s="14">
        <f t="shared" si="162"/>
        <v>2530</v>
      </c>
      <c r="AC66" s="14">
        <f t="shared" si="162"/>
        <v>2990</v>
      </c>
      <c r="AD66" s="14">
        <f t="shared" si="162"/>
        <v>3680</v>
      </c>
      <c r="AE66" s="14">
        <f t="shared" si="162"/>
        <v>4140</v>
      </c>
      <c r="AF66" s="14">
        <f t="shared" si="162"/>
        <v>5060</v>
      </c>
      <c r="AG66" s="14">
        <f t="shared" si="162"/>
        <v>5750</v>
      </c>
      <c r="AH66" s="14">
        <f t="shared" si="162"/>
        <v>6440</v>
      </c>
      <c r="AI66" s="14">
        <f t="shared" si="162"/>
        <v>7360</v>
      </c>
      <c r="AJ66" s="14">
        <f t="shared" si="162"/>
        <v>8280</v>
      </c>
      <c r="AK66" s="14">
        <f t="shared" si="162"/>
        <v>11700</v>
      </c>
      <c r="AL66" s="14">
        <f t="shared" si="162"/>
        <v>13780</v>
      </c>
      <c r="AM66" s="14">
        <f t="shared" si="162"/>
        <v>16120</v>
      </c>
      <c r="AN66" s="14">
        <f t="shared" si="162"/>
        <v>18200</v>
      </c>
      <c r="AO66" s="14">
        <f t="shared" si="162"/>
        <v>20800</v>
      </c>
      <c r="AP66" s="14">
        <f t="shared" si="162"/>
        <v>23400</v>
      </c>
      <c r="AQ66" s="14">
        <f t="shared" si="162"/>
        <v>26000</v>
      </c>
      <c r="AR66" s="14">
        <f t="shared" si="162"/>
        <v>28600</v>
      </c>
      <c r="AS66" s="14">
        <f t="shared" ref="AS66:BT66" si="163">AS58*_xlfn.XLOOKUP(_xlfn.NUMBERVALUE(RIGHT(AS$3,1)),$D$7:$H$7,$D12:$H12)</f>
        <v>31720</v>
      </c>
      <c r="AT66" s="14">
        <f t="shared" si="163"/>
        <v>34840</v>
      </c>
      <c r="AU66" s="14">
        <f t="shared" si="163"/>
        <v>37960</v>
      </c>
      <c r="AV66" s="14">
        <f t="shared" si="163"/>
        <v>41600</v>
      </c>
      <c r="AW66" s="14">
        <f t="shared" si="163"/>
        <v>51620</v>
      </c>
      <c r="AX66" s="14">
        <f t="shared" si="163"/>
        <v>56840</v>
      </c>
      <c r="AY66" s="14">
        <f t="shared" si="163"/>
        <v>62350</v>
      </c>
      <c r="AZ66" s="14">
        <f t="shared" si="163"/>
        <v>67860</v>
      </c>
      <c r="BA66" s="14">
        <f t="shared" si="163"/>
        <v>73950</v>
      </c>
      <c r="BB66" s="14">
        <f t="shared" si="163"/>
        <v>80040</v>
      </c>
      <c r="BC66" s="14">
        <f t="shared" si="163"/>
        <v>86710</v>
      </c>
      <c r="BD66" s="14">
        <f t="shared" si="163"/>
        <v>93670</v>
      </c>
      <c r="BE66" s="14">
        <f t="shared" si="163"/>
        <v>100630</v>
      </c>
      <c r="BF66" s="14">
        <f t="shared" si="163"/>
        <v>108170</v>
      </c>
      <c r="BG66" s="14">
        <f t="shared" si="163"/>
        <v>116000</v>
      </c>
      <c r="BH66" s="14">
        <f t="shared" si="163"/>
        <v>124410</v>
      </c>
      <c r="BI66" s="14">
        <f t="shared" si="163"/>
        <v>141440</v>
      </c>
      <c r="BJ66" s="14">
        <f t="shared" si="163"/>
        <v>147840</v>
      </c>
      <c r="BK66" s="14">
        <f t="shared" si="163"/>
        <v>154560</v>
      </c>
      <c r="BL66" s="14">
        <f t="shared" si="163"/>
        <v>161600</v>
      </c>
      <c r="BM66" s="14">
        <f t="shared" si="163"/>
        <v>168960</v>
      </c>
      <c r="BN66" s="14">
        <f t="shared" si="163"/>
        <v>176640</v>
      </c>
      <c r="BO66" s="14">
        <f t="shared" si="163"/>
        <v>184960</v>
      </c>
      <c r="BP66" s="14">
        <f t="shared" si="163"/>
        <v>193280</v>
      </c>
      <c r="BQ66" s="14">
        <f t="shared" si="163"/>
        <v>202240</v>
      </c>
      <c r="BR66" s="14">
        <f t="shared" si="163"/>
        <v>211840</v>
      </c>
      <c r="BS66" s="14">
        <f t="shared" si="163"/>
        <v>221440</v>
      </c>
      <c r="BT66" s="14">
        <f t="shared" si="163"/>
        <v>232000</v>
      </c>
    </row>
    <row r="67" spans="9:72" x14ac:dyDescent="0.3">
      <c r="M67" s="14">
        <f t="shared" ref="M67:AR67" si="164">M59*_xlfn.XLOOKUP(_xlfn.NUMBERVALUE(RIGHT(M$3,1)),$D$7:$H$7,$D13:$H13)</f>
        <v>0</v>
      </c>
      <c r="N67" s="14">
        <f t="shared" si="164"/>
        <v>0</v>
      </c>
      <c r="O67" s="14">
        <f t="shared" si="164"/>
        <v>0</v>
      </c>
      <c r="P67" s="14">
        <f t="shared" si="164"/>
        <v>0</v>
      </c>
      <c r="Q67" s="14">
        <f t="shared" si="164"/>
        <v>0</v>
      </c>
      <c r="R67" s="14">
        <f t="shared" si="164"/>
        <v>0</v>
      </c>
      <c r="S67" s="14">
        <f t="shared" si="164"/>
        <v>0</v>
      </c>
      <c r="T67" s="14">
        <f t="shared" si="164"/>
        <v>0</v>
      </c>
      <c r="U67" s="14">
        <f t="shared" si="164"/>
        <v>0</v>
      </c>
      <c r="V67" s="14">
        <f t="shared" si="164"/>
        <v>0</v>
      </c>
      <c r="W67" s="14">
        <f t="shared" si="164"/>
        <v>0</v>
      </c>
      <c r="X67" s="14">
        <f t="shared" si="164"/>
        <v>0</v>
      </c>
      <c r="Y67" s="14">
        <f t="shared" si="164"/>
        <v>0</v>
      </c>
      <c r="Z67" s="14">
        <f t="shared" si="164"/>
        <v>0</v>
      </c>
      <c r="AA67" s="14">
        <f t="shared" si="164"/>
        <v>0</v>
      </c>
      <c r="AB67" s="14">
        <f t="shared" si="164"/>
        <v>0</v>
      </c>
      <c r="AC67" s="14">
        <f t="shared" si="164"/>
        <v>0</v>
      </c>
      <c r="AD67" s="14">
        <f t="shared" si="164"/>
        <v>0</v>
      </c>
      <c r="AE67" s="14">
        <f t="shared" si="164"/>
        <v>0</v>
      </c>
      <c r="AF67" s="14">
        <f t="shared" si="164"/>
        <v>0</v>
      </c>
      <c r="AG67" s="14">
        <f t="shared" si="164"/>
        <v>0</v>
      </c>
      <c r="AH67" s="14">
        <f t="shared" si="164"/>
        <v>0</v>
      </c>
      <c r="AI67" s="14">
        <f t="shared" si="164"/>
        <v>0</v>
      </c>
      <c r="AJ67" s="14">
        <f t="shared" si="164"/>
        <v>0</v>
      </c>
      <c r="AK67" s="14">
        <f t="shared" si="164"/>
        <v>2400</v>
      </c>
      <c r="AL67" s="14">
        <f t="shared" si="164"/>
        <v>4200</v>
      </c>
      <c r="AM67" s="14">
        <f t="shared" si="164"/>
        <v>5400</v>
      </c>
      <c r="AN67" s="14">
        <f t="shared" si="164"/>
        <v>7200</v>
      </c>
      <c r="AO67" s="14">
        <f t="shared" si="164"/>
        <v>9000</v>
      </c>
      <c r="AP67" s="14">
        <f t="shared" si="164"/>
        <v>11400</v>
      </c>
      <c r="AQ67" s="14">
        <f t="shared" si="164"/>
        <v>13200</v>
      </c>
      <c r="AR67" s="14">
        <f t="shared" si="164"/>
        <v>15000</v>
      </c>
      <c r="AS67" s="14">
        <f t="shared" ref="AS67:BT67" si="165">AS59*_xlfn.XLOOKUP(_xlfn.NUMBERVALUE(RIGHT(AS$3,1)),$D$7:$H$7,$D13:$H13)</f>
        <v>17400</v>
      </c>
      <c r="AT67" s="14">
        <f t="shared" si="165"/>
        <v>19800</v>
      </c>
      <c r="AU67" s="14">
        <f t="shared" si="165"/>
        <v>22200</v>
      </c>
      <c r="AV67" s="14">
        <f t="shared" si="165"/>
        <v>25200</v>
      </c>
      <c r="AW67" s="14">
        <f t="shared" si="165"/>
        <v>37050</v>
      </c>
      <c r="AX67" s="14">
        <f t="shared" si="165"/>
        <v>44850</v>
      </c>
      <c r="AY67" s="14">
        <f t="shared" si="165"/>
        <v>52650</v>
      </c>
      <c r="AZ67" s="14">
        <f t="shared" si="165"/>
        <v>61100</v>
      </c>
      <c r="BA67" s="14">
        <f t="shared" si="165"/>
        <v>69550</v>
      </c>
      <c r="BB67" s="14">
        <f t="shared" si="165"/>
        <v>78650</v>
      </c>
      <c r="BC67" s="14">
        <f t="shared" si="165"/>
        <v>89050</v>
      </c>
      <c r="BD67" s="14">
        <f t="shared" si="165"/>
        <v>99450</v>
      </c>
      <c r="BE67" s="14">
        <f t="shared" si="165"/>
        <v>109850</v>
      </c>
      <c r="BF67" s="14">
        <f t="shared" si="165"/>
        <v>121550</v>
      </c>
      <c r="BG67" s="14">
        <f t="shared" si="165"/>
        <v>132600</v>
      </c>
      <c r="BH67" s="14">
        <f t="shared" si="165"/>
        <v>145600</v>
      </c>
      <c r="BI67" s="14">
        <f t="shared" si="165"/>
        <v>184800</v>
      </c>
      <c r="BJ67" s="14">
        <f t="shared" si="165"/>
        <v>209300</v>
      </c>
      <c r="BK67" s="14">
        <f t="shared" si="165"/>
        <v>235200</v>
      </c>
      <c r="BL67" s="14">
        <f t="shared" si="165"/>
        <v>262500</v>
      </c>
      <c r="BM67" s="14">
        <f t="shared" si="165"/>
        <v>290500</v>
      </c>
      <c r="BN67" s="14">
        <f t="shared" si="165"/>
        <v>320600</v>
      </c>
      <c r="BO67" s="14">
        <f t="shared" si="165"/>
        <v>352100</v>
      </c>
      <c r="BP67" s="14">
        <f t="shared" si="165"/>
        <v>385000</v>
      </c>
      <c r="BQ67" s="14">
        <f t="shared" si="165"/>
        <v>419300</v>
      </c>
      <c r="BR67" s="14">
        <f t="shared" si="165"/>
        <v>455700</v>
      </c>
      <c r="BS67" s="14">
        <f t="shared" si="165"/>
        <v>494200</v>
      </c>
      <c r="BT67" s="14">
        <f t="shared" si="165"/>
        <v>534100</v>
      </c>
    </row>
    <row r="68" spans="9:72" x14ac:dyDescent="0.3">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row>
    <row r="69" spans="9:72" x14ac:dyDescent="0.3">
      <c r="K69" t="s">
        <v>39</v>
      </c>
      <c r="M69" s="14">
        <f t="shared" ref="M69:AR69" si="166">M61*_xlfn.XLOOKUP(_xlfn.NUMBERVALUE(RIGHT(M$3,1)),$D$7:$H$7,$D15:$H15)</f>
        <v>0</v>
      </c>
      <c r="N69" s="14">
        <f t="shared" si="166"/>
        <v>0</v>
      </c>
      <c r="O69" s="14">
        <f t="shared" si="166"/>
        <v>0</v>
      </c>
      <c r="P69" s="14">
        <f t="shared" si="166"/>
        <v>0</v>
      </c>
      <c r="Q69" s="14">
        <f t="shared" si="166"/>
        <v>0</v>
      </c>
      <c r="R69" s="14">
        <f t="shared" si="166"/>
        <v>0</v>
      </c>
      <c r="S69" s="14">
        <f t="shared" si="166"/>
        <v>500</v>
      </c>
      <c r="T69" s="14">
        <f t="shared" si="166"/>
        <v>1000</v>
      </c>
      <c r="U69" s="14">
        <f t="shared" si="166"/>
        <v>1500</v>
      </c>
      <c r="V69" s="14">
        <f t="shared" si="166"/>
        <v>1750</v>
      </c>
      <c r="W69" s="14">
        <f t="shared" si="166"/>
        <v>2250</v>
      </c>
      <c r="X69" s="14">
        <f t="shared" si="166"/>
        <v>2750</v>
      </c>
      <c r="Y69" s="14">
        <f t="shared" si="166"/>
        <v>3600</v>
      </c>
      <c r="Z69" s="14">
        <f t="shared" si="166"/>
        <v>4200</v>
      </c>
      <c r="AA69" s="14">
        <f t="shared" si="166"/>
        <v>5400</v>
      </c>
      <c r="AB69" s="14">
        <f t="shared" si="166"/>
        <v>6300</v>
      </c>
      <c r="AC69" s="14">
        <f t="shared" si="166"/>
        <v>7500</v>
      </c>
      <c r="AD69" s="14">
        <f t="shared" si="166"/>
        <v>8400</v>
      </c>
      <c r="AE69" s="14">
        <f t="shared" si="166"/>
        <v>9600</v>
      </c>
      <c r="AF69" s="14">
        <f t="shared" si="166"/>
        <v>10800</v>
      </c>
      <c r="AG69" s="14">
        <f t="shared" si="166"/>
        <v>12000</v>
      </c>
      <c r="AH69" s="14">
        <f t="shared" si="166"/>
        <v>13200</v>
      </c>
      <c r="AI69" s="14">
        <f t="shared" si="166"/>
        <v>14700</v>
      </c>
      <c r="AJ69" s="14">
        <f t="shared" si="166"/>
        <v>15900</v>
      </c>
      <c r="AK69" s="14">
        <f t="shared" si="166"/>
        <v>19950</v>
      </c>
      <c r="AL69" s="14">
        <f t="shared" si="166"/>
        <v>21350</v>
      </c>
      <c r="AM69" s="14">
        <f t="shared" si="166"/>
        <v>22750</v>
      </c>
      <c r="AN69" s="14">
        <f t="shared" si="166"/>
        <v>24150</v>
      </c>
      <c r="AO69" s="14">
        <f t="shared" si="166"/>
        <v>25900</v>
      </c>
      <c r="AP69" s="14">
        <f t="shared" si="166"/>
        <v>27650</v>
      </c>
      <c r="AQ69" s="14">
        <f t="shared" si="166"/>
        <v>29400</v>
      </c>
      <c r="AR69" s="14">
        <f t="shared" si="166"/>
        <v>31150</v>
      </c>
      <c r="AS69" s="14">
        <f t="shared" ref="AS69:BT69" si="167">AS61*_xlfn.XLOOKUP(_xlfn.NUMBERVALUE(RIGHT(AS$3,1)),$D$7:$H$7,$D15:$H15)</f>
        <v>32900</v>
      </c>
      <c r="AT69" s="14">
        <f t="shared" si="167"/>
        <v>35350</v>
      </c>
      <c r="AU69" s="14">
        <f t="shared" si="167"/>
        <v>37450</v>
      </c>
      <c r="AV69" s="14">
        <f t="shared" si="167"/>
        <v>39550</v>
      </c>
      <c r="AW69" s="14">
        <f t="shared" si="167"/>
        <v>45600</v>
      </c>
      <c r="AX69" s="14">
        <f t="shared" si="167"/>
        <v>46400</v>
      </c>
      <c r="AY69" s="14">
        <f t="shared" si="167"/>
        <v>48000</v>
      </c>
      <c r="AZ69" s="14">
        <f t="shared" si="167"/>
        <v>49200</v>
      </c>
      <c r="BA69" s="14">
        <f t="shared" si="167"/>
        <v>50800</v>
      </c>
      <c r="BB69" s="14">
        <f t="shared" si="167"/>
        <v>52000</v>
      </c>
      <c r="BC69" s="14">
        <f t="shared" si="167"/>
        <v>53600</v>
      </c>
      <c r="BD69" s="14">
        <f t="shared" si="167"/>
        <v>55200</v>
      </c>
      <c r="BE69" s="14">
        <f t="shared" si="167"/>
        <v>56800</v>
      </c>
      <c r="BF69" s="14">
        <f t="shared" si="167"/>
        <v>58800</v>
      </c>
      <c r="BG69" s="14">
        <f t="shared" si="167"/>
        <v>60400</v>
      </c>
      <c r="BH69" s="14">
        <f t="shared" si="167"/>
        <v>62400</v>
      </c>
      <c r="BI69" s="14">
        <f t="shared" si="167"/>
        <v>72450</v>
      </c>
      <c r="BJ69" s="14">
        <f t="shared" si="167"/>
        <v>75600</v>
      </c>
      <c r="BK69" s="14">
        <f t="shared" si="167"/>
        <v>77850</v>
      </c>
      <c r="BL69" s="14">
        <f t="shared" si="167"/>
        <v>81000</v>
      </c>
      <c r="BM69" s="14">
        <f t="shared" si="167"/>
        <v>84150</v>
      </c>
      <c r="BN69" s="14">
        <f t="shared" si="167"/>
        <v>87300</v>
      </c>
      <c r="BO69" s="14">
        <f t="shared" si="167"/>
        <v>90450</v>
      </c>
      <c r="BP69" s="14">
        <f t="shared" si="167"/>
        <v>94500</v>
      </c>
      <c r="BQ69" s="14">
        <f t="shared" si="167"/>
        <v>97650</v>
      </c>
      <c r="BR69" s="14">
        <f t="shared" si="167"/>
        <v>101700</v>
      </c>
      <c r="BS69" s="14">
        <f t="shared" si="167"/>
        <v>106200</v>
      </c>
      <c r="BT69" s="14">
        <f t="shared" si="167"/>
        <v>110250</v>
      </c>
    </row>
    <row r="70" spans="9:72" x14ac:dyDescent="0.3">
      <c r="M70" s="14">
        <f t="shared" ref="M70:AR70" si="168">M62*_xlfn.XLOOKUP(_xlfn.NUMBERVALUE(RIGHT(M$3,1)),$D$7:$H$7,$D16:$H16)</f>
        <v>0</v>
      </c>
      <c r="N70" s="14">
        <f t="shared" si="168"/>
        <v>0</v>
      </c>
      <c r="O70" s="14">
        <f t="shared" si="168"/>
        <v>0</v>
      </c>
      <c r="P70" s="14">
        <f t="shared" si="168"/>
        <v>0</v>
      </c>
      <c r="Q70" s="14">
        <f t="shared" si="168"/>
        <v>0</v>
      </c>
      <c r="R70" s="14">
        <f t="shared" si="168"/>
        <v>0</v>
      </c>
      <c r="S70" s="14">
        <f t="shared" si="168"/>
        <v>0</v>
      </c>
      <c r="T70" s="14">
        <f t="shared" si="168"/>
        <v>0</v>
      </c>
      <c r="U70" s="14">
        <f t="shared" si="168"/>
        <v>0</v>
      </c>
      <c r="V70" s="14">
        <f t="shared" si="168"/>
        <v>0</v>
      </c>
      <c r="W70" s="14">
        <f t="shared" si="168"/>
        <v>0</v>
      </c>
      <c r="X70" s="14">
        <f t="shared" si="168"/>
        <v>0</v>
      </c>
      <c r="Y70" s="14">
        <f t="shared" si="168"/>
        <v>1050</v>
      </c>
      <c r="Z70" s="14">
        <f t="shared" si="168"/>
        <v>2100</v>
      </c>
      <c r="AA70" s="14">
        <f t="shared" si="168"/>
        <v>3150</v>
      </c>
      <c r="AB70" s="14">
        <f t="shared" si="168"/>
        <v>4200</v>
      </c>
      <c r="AC70" s="14">
        <f t="shared" si="168"/>
        <v>5250</v>
      </c>
      <c r="AD70" s="14">
        <f t="shared" si="168"/>
        <v>6300</v>
      </c>
      <c r="AE70" s="14">
        <f t="shared" si="168"/>
        <v>7350</v>
      </c>
      <c r="AF70" s="14">
        <f t="shared" si="168"/>
        <v>8400</v>
      </c>
      <c r="AG70" s="14">
        <f t="shared" si="168"/>
        <v>9975</v>
      </c>
      <c r="AH70" s="14">
        <f t="shared" si="168"/>
        <v>11550</v>
      </c>
      <c r="AI70" s="14">
        <f t="shared" si="168"/>
        <v>12600</v>
      </c>
      <c r="AJ70" s="14">
        <f t="shared" si="168"/>
        <v>14175</v>
      </c>
      <c r="AK70" s="14">
        <f t="shared" si="168"/>
        <v>17980</v>
      </c>
      <c r="AL70" s="14">
        <f t="shared" si="168"/>
        <v>20300</v>
      </c>
      <c r="AM70" s="14">
        <f t="shared" si="168"/>
        <v>22620</v>
      </c>
      <c r="AN70" s="14">
        <f t="shared" si="168"/>
        <v>25520</v>
      </c>
      <c r="AO70" s="14">
        <f t="shared" si="168"/>
        <v>28420</v>
      </c>
      <c r="AP70" s="14">
        <f t="shared" si="168"/>
        <v>30740</v>
      </c>
      <c r="AQ70" s="14">
        <f t="shared" si="168"/>
        <v>34220</v>
      </c>
      <c r="AR70" s="14">
        <f t="shared" si="168"/>
        <v>37120</v>
      </c>
      <c r="AS70" s="14">
        <f t="shared" ref="AS70:BT70" si="169">AS62*_xlfn.XLOOKUP(_xlfn.NUMBERVALUE(RIGHT(AS$3,1)),$D$7:$H$7,$D16:$H16)</f>
        <v>40020</v>
      </c>
      <c r="AT70" s="14">
        <f t="shared" si="169"/>
        <v>43500</v>
      </c>
      <c r="AU70" s="14">
        <f t="shared" si="169"/>
        <v>46980</v>
      </c>
      <c r="AV70" s="14">
        <f t="shared" si="169"/>
        <v>51040</v>
      </c>
      <c r="AW70" s="14">
        <f t="shared" si="169"/>
        <v>66300</v>
      </c>
      <c r="AX70" s="14">
        <f t="shared" si="169"/>
        <v>74100</v>
      </c>
      <c r="AY70" s="14">
        <f t="shared" si="169"/>
        <v>81900</v>
      </c>
      <c r="AZ70" s="14">
        <f t="shared" si="169"/>
        <v>90350</v>
      </c>
      <c r="BA70" s="14">
        <f t="shared" si="169"/>
        <v>98800</v>
      </c>
      <c r="BB70" s="14">
        <f t="shared" si="169"/>
        <v>107900</v>
      </c>
      <c r="BC70" s="14">
        <f t="shared" si="169"/>
        <v>118300</v>
      </c>
      <c r="BD70" s="14">
        <f t="shared" si="169"/>
        <v>128700</v>
      </c>
      <c r="BE70" s="14">
        <f t="shared" si="169"/>
        <v>139100</v>
      </c>
      <c r="BF70" s="14">
        <f t="shared" si="169"/>
        <v>150150</v>
      </c>
      <c r="BG70" s="14">
        <f t="shared" si="169"/>
        <v>161850</v>
      </c>
      <c r="BH70" s="14">
        <f t="shared" si="169"/>
        <v>174850</v>
      </c>
      <c r="BI70" s="14">
        <f t="shared" si="169"/>
        <v>219000</v>
      </c>
      <c r="BJ70" s="14">
        <f t="shared" si="169"/>
        <v>236250</v>
      </c>
      <c r="BK70" s="14">
        <f t="shared" si="169"/>
        <v>255000</v>
      </c>
      <c r="BL70" s="14">
        <f t="shared" si="169"/>
        <v>274500</v>
      </c>
      <c r="BM70" s="14">
        <f t="shared" si="169"/>
        <v>294750</v>
      </c>
      <c r="BN70" s="14">
        <f t="shared" si="169"/>
        <v>316500</v>
      </c>
      <c r="BO70" s="14">
        <f t="shared" si="169"/>
        <v>339000</v>
      </c>
      <c r="BP70" s="14">
        <f t="shared" si="169"/>
        <v>362250</v>
      </c>
      <c r="BQ70" s="14">
        <f t="shared" si="169"/>
        <v>387000</v>
      </c>
      <c r="BR70" s="14">
        <f t="shared" si="169"/>
        <v>413250</v>
      </c>
      <c r="BS70" s="14">
        <f t="shared" si="169"/>
        <v>440250</v>
      </c>
      <c r="BT70" s="14">
        <f t="shared" si="169"/>
        <v>468750</v>
      </c>
    </row>
    <row r="71" spans="9:72" x14ac:dyDescent="0.3">
      <c r="M71" s="14">
        <f t="shared" ref="M71:AR71" si="170">M63*_xlfn.XLOOKUP(_xlfn.NUMBERVALUE(RIGHT(M$3,1)),$D$7:$H$7,$D17:$H17)</f>
        <v>0</v>
      </c>
      <c r="N71" s="14">
        <f t="shared" si="170"/>
        <v>0</v>
      </c>
      <c r="O71" s="14">
        <f t="shared" si="170"/>
        <v>0</v>
      </c>
      <c r="P71" s="14">
        <f t="shared" si="170"/>
        <v>0</v>
      </c>
      <c r="Q71" s="14">
        <f t="shared" si="170"/>
        <v>0</v>
      </c>
      <c r="R71" s="14">
        <f t="shared" si="170"/>
        <v>0</v>
      </c>
      <c r="S71" s="14">
        <f t="shared" si="170"/>
        <v>0</v>
      </c>
      <c r="T71" s="14">
        <f t="shared" si="170"/>
        <v>0</v>
      </c>
      <c r="U71" s="14">
        <f t="shared" si="170"/>
        <v>0</v>
      </c>
      <c r="V71" s="14">
        <f t="shared" si="170"/>
        <v>0</v>
      </c>
      <c r="W71" s="14">
        <f t="shared" si="170"/>
        <v>0</v>
      </c>
      <c r="X71" s="14">
        <f t="shared" si="170"/>
        <v>0</v>
      </c>
      <c r="Y71" s="14">
        <f t="shared" si="170"/>
        <v>0</v>
      </c>
      <c r="Z71" s="14">
        <f t="shared" si="170"/>
        <v>0</v>
      </c>
      <c r="AA71" s="14">
        <f t="shared" si="170"/>
        <v>0</v>
      </c>
      <c r="AB71" s="14">
        <f t="shared" si="170"/>
        <v>0</v>
      </c>
      <c r="AC71" s="14">
        <f t="shared" si="170"/>
        <v>0</v>
      </c>
      <c r="AD71" s="14">
        <f t="shared" si="170"/>
        <v>0</v>
      </c>
      <c r="AE71" s="14">
        <f t="shared" si="170"/>
        <v>0</v>
      </c>
      <c r="AF71" s="14">
        <f t="shared" si="170"/>
        <v>0</v>
      </c>
      <c r="AG71" s="14">
        <f t="shared" si="170"/>
        <v>0</v>
      </c>
      <c r="AH71" s="14">
        <f t="shared" si="170"/>
        <v>0</v>
      </c>
      <c r="AI71" s="14">
        <f t="shared" si="170"/>
        <v>0</v>
      </c>
      <c r="AJ71" s="14">
        <f t="shared" si="170"/>
        <v>0</v>
      </c>
      <c r="AK71" s="14">
        <f t="shared" si="170"/>
        <v>4600</v>
      </c>
      <c r="AL71" s="14">
        <f t="shared" si="170"/>
        <v>8050</v>
      </c>
      <c r="AM71" s="14">
        <f t="shared" si="170"/>
        <v>10350</v>
      </c>
      <c r="AN71" s="14">
        <f t="shared" si="170"/>
        <v>13800</v>
      </c>
      <c r="AO71" s="14">
        <f t="shared" si="170"/>
        <v>17250</v>
      </c>
      <c r="AP71" s="14">
        <f t="shared" si="170"/>
        <v>21850</v>
      </c>
      <c r="AQ71" s="14">
        <f t="shared" si="170"/>
        <v>25300</v>
      </c>
      <c r="AR71" s="14">
        <f t="shared" si="170"/>
        <v>28750</v>
      </c>
      <c r="AS71" s="14">
        <f t="shared" ref="AS71:BT71" si="171">AS63*_xlfn.XLOOKUP(_xlfn.NUMBERVALUE(RIGHT(AS$3,1)),$D$7:$H$7,$D17:$H17)</f>
        <v>33350</v>
      </c>
      <c r="AT71" s="14">
        <f t="shared" si="171"/>
        <v>37950</v>
      </c>
      <c r="AU71" s="14">
        <f t="shared" si="171"/>
        <v>42550</v>
      </c>
      <c r="AV71" s="14">
        <f t="shared" si="171"/>
        <v>48300</v>
      </c>
      <c r="AW71" s="14">
        <f t="shared" si="171"/>
        <v>68400</v>
      </c>
      <c r="AX71" s="14">
        <f t="shared" si="171"/>
        <v>82800</v>
      </c>
      <c r="AY71" s="14">
        <f t="shared" si="171"/>
        <v>97200</v>
      </c>
      <c r="AZ71" s="14">
        <f t="shared" si="171"/>
        <v>112800</v>
      </c>
      <c r="BA71" s="14">
        <f t="shared" si="171"/>
        <v>128400</v>
      </c>
      <c r="BB71" s="14">
        <f t="shared" si="171"/>
        <v>145200</v>
      </c>
      <c r="BC71" s="14">
        <f t="shared" si="171"/>
        <v>164400</v>
      </c>
      <c r="BD71" s="14">
        <f t="shared" si="171"/>
        <v>183600</v>
      </c>
      <c r="BE71" s="14">
        <f t="shared" si="171"/>
        <v>202800</v>
      </c>
      <c r="BF71" s="14">
        <f t="shared" si="171"/>
        <v>224400</v>
      </c>
      <c r="BG71" s="14">
        <f t="shared" si="171"/>
        <v>244800</v>
      </c>
      <c r="BH71" s="14">
        <f t="shared" si="171"/>
        <v>268800</v>
      </c>
      <c r="BI71" s="14">
        <f t="shared" si="171"/>
        <v>358400</v>
      </c>
      <c r="BJ71" s="14">
        <f t="shared" si="171"/>
        <v>399000</v>
      </c>
      <c r="BK71" s="14">
        <f t="shared" si="171"/>
        <v>442400</v>
      </c>
      <c r="BL71" s="14">
        <f t="shared" si="171"/>
        <v>487200</v>
      </c>
      <c r="BM71" s="14">
        <f t="shared" si="171"/>
        <v>534800</v>
      </c>
      <c r="BN71" s="14">
        <f t="shared" si="171"/>
        <v>583800</v>
      </c>
      <c r="BO71" s="14">
        <f t="shared" si="171"/>
        <v>635600</v>
      </c>
      <c r="BP71" s="14">
        <f t="shared" si="171"/>
        <v>691600</v>
      </c>
      <c r="BQ71" s="14">
        <f t="shared" si="171"/>
        <v>749000</v>
      </c>
      <c r="BR71" s="14">
        <f t="shared" si="171"/>
        <v>810600</v>
      </c>
      <c r="BS71" s="14">
        <f t="shared" si="171"/>
        <v>873600</v>
      </c>
      <c r="BT71" s="14">
        <f t="shared" si="171"/>
        <v>940800</v>
      </c>
    </row>
    <row r="72" spans="9:72" x14ac:dyDescent="0.3">
      <c r="K72" t="s">
        <v>58</v>
      </c>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row>
    <row r="73" spans="9:72" x14ac:dyDescent="0.3">
      <c r="L73" t="s">
        <v>59</v>
      </c>
      <c r="M73" s="14" cm="1">
        <f t="array" ref="M73:BT73">M8:BT8</f>
        <v>0</v>
      </c>
      <c r="N73" s="14">
        <v>0</v>
      </c>
      <c r="O73" s="14">
        <v>0</v>
      </c>
      <c r="P73" s="14">
        <v>0</v>
      </c>
      <c r="Q73" s="14">
        <v>0</v>
      </c>
      <c r="R73" s="14">
        <v>0</v>
      </c>
      <c r="S73" s="14">
        <v>3000</v>
      </c>
      <c r="T73" s="14">
        <v>3000</v>
      </c>
      <c r="U73" s="14">
        <v>3000</v>
      </c>
      <c r="V73" s="14">
        <v>3000</v>
      </c>
      <c r="W73" s="14">
        <v>3500</v>
      </c>
      <c r="X73" s="14">
        <v>3500</v>
      </c>
      <c r="Y73" s="14">
        <v>40000</v>
      </c>
      <c r="Z73" s="14">
        <v>42500</v>
      </c>
      <c r="AA73" s="14">
        <v>47500</v>
      </c>
      <c r="AB73" s="14">
        <v>50000</v>
      </c>
      <c r="AC73" s="14">
        <v>50000</v>
      </c>
      <c r="AD73" s="14">
        <v>50000</v>
      </c>
      <c r="AE73" s="14">
        <v>55000</v>
      </c>
      <c r="AF73" s="14">
        <v>57500</v>
      </c>
      <c r="AG73" s="14">
        <v>62500</v>
      </c>
      <c r="AH73" s="14">
        <v>62500</v>
      </c>
      <c r="AI73" s="14">
        <v>67500</v>
      </c>
      <c r="AJ73" s="14">
        <v>70000</v>
      </c>
      <c r="AK73" s="14">
        <v>136500</v>
      </c>
      <c r="AL73" s="14">
        <v>140000</v>
      </c>
      <c r="AM73" s="14">
        <v>143500</v>
      </c>
      <c r="AN73" s="14">
        <v>154000</v>
      </c>
      <c r="AO73" s="14">
        <v>164500</v>
      </c>
      <c r="AP73" s="14">
        <v>171500</v>
      </c>
      <c r="AQ73" s="14">
        <v>178500</v>
      </c>
      <c r="AR73" s="14">
        <v>185500</v>
      </c>
      <c r="AS73" s="14">
        <v>196000</v>
      </c>
      <c r="AT73" s="14">
        <v>210000</v>
      </c>
      <c r="AU73" s="14">
        <v>213500</v>
      </c>
      <c r="AV73" s="14">
        <v>234500</v>
      </c>
      <c r="AW73" s="14">
        <v>336000</v>
      </c>
      <c r="AX73" s="14">
        <v>356000</v>
      </c>
      <c r="AY73" s="14">
        <v>380000</v>
      </c>
      <c r="AZ73" s="14">
        <v>384000</v>
      </c>
      <c r="BA73" s="14">
        <v>404000</v>
      </c>
      <c r="BB73" s="14">
        <v>420000</v>
      </c>
      <c r="BC73" s="14">
        <v>460000</v>
      </c>
      <c r="BD73" s="14">
        <v>480000</v>
      </c>
      <c r="BE73" s="14">
        <v>496000</v>
      </c>
      <c r="BF73" s="14">
        <v>524000</v>
      </c>
      <c r="BG73" s="14">
        <v>544000</v>
      </c>
      <c r="BH73" s="14">
        <v>576000</v>
      </c>
      <c r="BI73" s="14">
        <v>747000</v>
      </c>
      <c r="BJ73" s="14">
        <v>792000</v>
      </c>
      <c r="BK73" s="14">
        <v>828000</v>
      </c>
      <c r="BL73" s="14">
        <v>873000</v>
      </c>
      <c r="BM73" s="14">
        <v>918000</v>
      </c>
      <c r="BN73" s="14">
        <v>958500</v>
      </c>
      <c r="BO73" s="14">
        <v>1008000</v>
      </c>
      <c r="BP73" s="14">
        <v>1062000</v>
      </c>
      <c r="BQ73" s="14">
        <v>1107000</v>
      </c>
      <c r="BR73" s="14">
        <v>1170000</v>
      </c>
      <c r="BS73" s="14">
        <v>1228500</v>
      </c>
      <c r="BT73" s="14">
        <v>1291500</v>
      </c>
    </row>
    <row r="74" spans="9:72" x14ac:dyDescent="0.3">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49"/>
      <c r="BS74" s="49"/>
      <c r="BT74" s="49"/>
    </row>
    <row r="75" spans="9:72" x14ac:dyDescent="0.3">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row>
    <row r="76" spans="9:72" ht="15" thickBot="1" x14ac:dyDescent="0.35">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c r="BI76" s="69"/>
      <c r="BJ76" s="69"/>
      <c r="BK76" s="69"/>
      <c r="BL76" s="69"/>
      <c r="BM76" s="69"/>
      <c r="BN76" s="69"/>
      <c r="BO76" s="69"/>
      <c r="BP76" s="69"/>
      <c r="BQ76" s="69"/>
      <c r="BR76" s="69"/>
      <c r="BS76" s="69"/>
      <c r="BT76" s="69"/>
    </row>
    <row r="77" spans="9:72" ht="15" thickTop="1" x14ac:dyDescent="0.3">
      <c r="J77" s="16" t="s">
        <v>60</v>
      </c>
      <c r="M77" s="15">
        <f t="shared" ref="M77:AR77" si="172">SUM(M65:M73)</f>
        <v>0</v>
      </c>
      <c r="N77" s="15">
        <f t="shared" si="172"/>
        <v>0</v>
      </c>
      <c r="O77" s="15">
        <f t="shared" si="172"/>
        <v>0</v>
      </c>
      <c r="P77" s="15">
        <f t="shared" si="172"/>
        <v>0</v>
      </c>
      <c r="Q77" s="15">
        <f t="shared" si="172"/>
        <v>0</v>
      </c>
      <c r="R77" s="15">
        <f t="shared" si="172"/>
        <v>0</v>
      </c>
      <c r="S77" s="15">
        <f t="shared" si="172"/>
        <v>3900</v>
      </c>
      <c r="T77" s="15">
        <f t="shared" si="172"/>
        <v>4800</v>
      </c>
      <c r="U77" s="15">
        <f t="shared" si="172"/>
        <v>5600</v>
      </c>
      <c r="V77" s="15">
        <f t="shared" si="172"/>
        <v>6250</v>
      </c>
      <c r="W77" s="15">
        <f t="shared" si="172"/>
        <v>7650</v>
      </c>
      <c r="X77" s="15">
        <f t="shared" si="172"/>
        <v>8650</v>
      </c>
      <c r="Y77" s="15">
        <f t="shared" si="172"/>
        <v>48220</v>
      </c>
      <c r="Z77" s="15">
        <f t="shared" si="172"/>
        <v>53310</v>
      </c>
      <c r="AA77" s="15">
        <f t="shared" si="172"/>
        <v>61850</v>
      </c>
      <c r="AB77" s="15">
        <f t="shared" si="172"/>
        <v>67710</v>
      </c>
      <c r="AC77" s="15">
        <f t="shared" si="172"/>
        <v>71020</v>
      </c>
      <c r="AD77" s="15">
        <f t="shared" si="172"/>
        <v>74260</v>
      </c>
      <c r="AE77" s="15">
        <f t="shared" si="172"/>
        <v>82690</v>
      </c>
      <c r="AF77" s="15">
        <f t="shared" si="172"/>
        <v>89080</v>
      </c>
      <c r="AG77" s="15">
        <f t="shared" si="172"/>
        <v>98385</v>
      </c>
      <c r="AH77" s="15">
        <f t="shared" si="172"/>
        <v>102570</v>
      </c>
      <c r="AI77" s="15">
        <f t="shared" si="172"/>
        <v>112000</v>
      </c>
      <c r="AJ77" s="15">
        <f t="shared" si="172"/>
        <v>119035</v>
      </c>
      <c r="AK77" s="15">
        <f t="shared" si="172"/>
        <v>206150</v>
      </c>
      <c r="AL77" s="15">
        <f t="shared" si="172"/>
        <v>221400</v>
      </c>
      <c r="AM77" s="15">
        <f t="shared" si="172"/>
        <v>235300</v>
      </c>
      <c r="AN77" s="15">
        <f t="shared" si="172"/>
        <v>258270</v>
      </c>
      <c r="AO77" s="15">
        <f t="shared" si="172"/>
        <v>282110</v>
      </c>
      <c r="AP77" s="15">
        <f t="shared" si="172"/>
        <v>303620</v>
      </c>
      <c r="AQ77" s="15">
        <f t="shared" si="172"/>
        <v>324680</v>
      </c>
      <c r="AR77" s="15">
        <f t="shared" si="172"/>
        <v>345160</v>
      </c>
      <c r="AS77" s="15">
        <f t="shared" ref="AS77:BT77" si="173">SUM(AS65:AS73)</f>
        <v>371550</v>
      </c>
      <c r="AT77" s="15">
        <f t="shared" si="173"/>
        <v>402720</v>
      </c>
      <c r="AU77" s="15">
        <f t="shared" si="173"/>
        <v>423040</v>
      </c>
      <c r="AV77" s="15">
        <f t="shared" si="173"/>
        <v>463710</v>
      </c>
      <c r="AW77" s="15">
        <f t="shared" si="173"/>
        <v>631850</v>
      </c>
      <c r="AX77" s="15">
        <f t="shared" si="173"/>
        <v>688190</v>
      </c>
      <c r="AY77" s="15">
        <f t="shared" si="173"/>
        <v>749940</v>
      </c>
      <c r="AZ77" s="15">
        <f t="shared" si="173"/>
        <v>793630</v>
      </c>
      <c r="BA77" s="15">
        <f t="shared" si="173"/>
        <v>854460</v>
      </c>
      <c r="BB77" s="15">
        <f t="shared" si="173"/>
        <v>913230</v>
      </c>
      <c r="BC77" s="15">
        <f t="shared" si="173"/>
        <v>1002140</v>
      </c>
      <c r="BD77" s="15">
        <f t="shared" si="173"/>
        <v>1071340</v>
      </c>
      <c r="BE77" s="15">
        <f t="shared" si="173"/>
        <v>1136540</v>
      </c>
      <c r="BF77" s="15">
        <f t="shared" si="173"/>
        <v>1219230</v>
      </c>
      <c r="BG77" s="15">
        <f t="shared" si="173"/>
        <v>1292450</v>
      </c>
      <c r="BH77" s="15">
        <f t="shared" si="173"/>
        <v>1385660</v>
      </c>
      <c r="BI77" s="15">
        <f t="shared" si="173"/>
        <v>1761250</v>
      </c>
      <c r="BJ77" s="15">
        <f t="shared" si="173"/>
        <v>1898870</v>
      </c>
      <c r="BK77" s="15">
        <f t="shared" si="173"/>
        <v>2032610</v>
      </c>
      <c r="BL77" s="15">
        <f t="shared" si="173"/>
        <v>2180120</v>
      </c>
      <c r="BM77" s="15">
        <f t="shared" si="173"/>
        <v>2332200</v>
      </c>
      <c r="BN77" s="15">
        <f t="shared" si="173"/>
        <v>2485100</v>
      </c>
      <c r="BO77" s="15">
        <f t="shared" si="173"/>
        <v>2652590</v>
      </c>
      <c r="BP77" s="15">
        <f t="shared" si="173"/>
        <v>2832010</v>
      </c>
      <c r="BQ77" s="15">
        <f t="shared" si="173"/>
        <v>3006470</v>
      </c>
      <c r="BR77" s="15">
        <f t="shared" si="173"/>
        <v>3208270</v>
      </c>
      <c r="BS77" s="15">
        <f t="shared" si="173"/>
        <v>3410270</v>
      </c>
      <c r="BT77" s="15">
        <f t="shared" si="173"/>
        <v>3624740</v>
      </c>
    </row>
    <row r="78" spans="9:72" x14ac:dyDescent="0.3">
      <c r="J78" s="16"/>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row>
    <row r="79" spans="9:72" x14ac:dyDescent="0.3">
      <c r="J79" s="16" t="s">
        <v>61</v>
      </c>
      <c r="M79" s="15">
        <f>M77</f>
        <v>0</v>
      </c>
      <c r="N79" s="15">
        <f t="shared" ref="N79:AS79" si="174">M79+N77</f>
        <v>0</v>
      </c>
      <c r="O79" s="15">
        <f t="shared" si="174"/>
        <v>0</v>
      </c>
      <c r="P79" s="15">
        <f t="shared" si="174"/>
        <v>0</v>
      </c>
      <c r="Q79" s="15">
        <f t="shared" si="174"/>
        <v>0</v>
      </c>
      <c r="R79" s="15">
        <f t="shared" si="174"/>
        <v>0</v>
      </c>
      <c r="S79" s="15">
        <f t="shared" si="174"/>
        <v>3900</v>
      </c>
      <c r="T79" s="15">
        <f t="shared" si="174"/>
        <v>8700</v>
      </c>
      <c r="U79" s="15">
        <f t="shared" si="174"/>
        <v>14300</v>
      </c>
      <c r="V79" s="15">
        <f t="shared" si="174"/>
        <v>20550</v>
      </c>
      <c r="W79" s="15">
        <f t="shared" si="174"/>
        <v>28200</v>
      </c>
      <c r="X79" s="15">
        <f t="shared" si="174"/>
        <v>36850</v>
      </c>
      <c r="Y79" s="15">
        <f t="shared" si="174"/>
        <v>85070</v>
      </c>
      <c r="Z79" s="15">
        <f t="shared" si="174"/>
        <v>138380</v>
      </c>
      <c r="AA79" s="15">
        <f t="shared" si="174"/>
        <v>200230</v>
      </c>
      <c r="AB79" s="15">
        <f t="shared" si="174"/>
        <v>267940</v>
      </c>
      <c r="AC79" s="15">
        <f t="shared" si="174"/>
        <v>338960</v>
      </c>
      <c r="AD79" s="15">
        <f t="shared" si="174"/>
        <v>413220</v>
      </c>
      <c r="AE79" s="15">
        <f t="shared" si="174"/>
        <v>495910</v>
      </c>
      <c r="AF79" s="15">
        <f t="shared" si="174"/>
        <v>584990</v>
      </c>
      <c r="AG79" s="15">
        <f t="shared" si="174"/>
        <v>683375</v>
      </c>
      <c r="AH79" s="15">
        <f t="shared" si="174"/>
        <v>785945</v>
      </c>
      <c r="AI79" s="15">
        <f t="shared" si="174"/>
        <v>897945</v>
      </c>
      <c r="AJ79" s="15">
        <f t="shared" si="174"/>
        <v>1016980</v>
      </c>
      <c r="AK79" s="15">
        <f t="shared" si="174"/>
        <v>1223130</v>
      </c>
      <c r="AL79" s="15">
        <f t="shared" si="174"/>
        <v>1444530</v>
      </c>
      <c r="AM79" s="15">
        <f t="shared" si="174"/>
        <v>1679830</v>
      </c>
      <c r="AN79" s="15">
        <f t="shared" si="174"/>
        <v>1938100</v>
      </c>
      <c r="AO79" s="15">
        <f t="shared" si="174"/>
        <v>2220210</v>
      </c>
      <c r="AP79" s="15">
        <f t="shared" si="174"/>
        <v>2523830</v>
      </c>
      <c r="AQ79" s="15">
        <f t="shared" si="174"/>
        <v>2848510</v>
      </c>
      <c r="AR79" s="15">
        <f t="shared" si="174"/>
        <v>3193670</v>
      </c>
      <c r="AS79" s="15">
        <f t="shared" si="174"/>
        <v>3565220</v>
      </c>
      <c r="AT79" s="15">
        <f t="shared" ref="AT79:BT79" si="175">AS79+AT77</f>
        <v>3967940</v>
      </c>
      <c r="AU79" s="15">
        <f t="shared" si="175"/>
        <v>4390980</v>
      </c>
      <c r="AV79" s="15">
        <f t="shared" si="175"/>
        <v>4854690</v>
      </c>
      <c r="AW79" s="15">
        <f t="shared" si="175"/>
        <v>5486540</v>
      </c>
      <c r="AX79" s="15">
        <f t="shared" si="175"/>
        <v>6174730</v>
      </c>
      <c r="AY79" s="15">
        <f t="shared" si="175"/>
        <v>6924670</v>
      </c>
      <c r="AZ79" s="15">
        <f t="shared" si="175"/>
        <v>7718300</v>
      </c>
      <c r="BA79" s="15">
        <f t="shared" si="175"/>
        <v>8572760</v>
      </c>
      <c r="BB79" s="15">
        <f t="shared" si="175"/>
        <v>9485990</v>
      </c>
      <c r="BC79" s="15">
        <f t="shared" si="175"/>
        <v>10488130</v>
      </c>
      <c r="BD79" s="15">
        <f t="shared" si="175"/>
        <v>11559470</v>
      </c>
      <c r="BE79" s="15">
        <f t="shared" si="175"/>
        <v>12696010</v>
      </c>
      <c r="BF79" s="15">
        <f t="shared" si="175"/>
        <v>13915240</v>
      </c>
      <c r="BG79" s="15">
        <f t="shared" si="175"/>
        <v>15207690</v>
      </c>
      <c r="BH79" s="15">
        <f t="shared" si="175"/>
        <v>16593350</v>
      </c>
      <c r="BI79" s="15">
        <f t="shared" si="175"/>
        <v>18354600</v>
      </c>
      <c r="BJ79" s="15">
        <f t="shared" si="175"/>
        <v>20253470</v>
      </c>
      <c r="BK79" s="15">
        <f t="shared" si="175"/>
        <v>22286080</v>
      </c>
      <c r="BL79" s="15">
        <f t="shared" si="175"/>
        <v>24466200</v>
      </c>
      <c r="BM79" s="15">
        <f t="shared" si="175"/>
        <v>26798400</v>
      </c>
      <c r="BN79" s="15">
        <f t="shared" si="175"/>
        <v>29283500</v>
      </c>
      <c r="BO79" s="15">
        <f t="shared" si="175"/>
        <v>31936090</v>
      </c>
      <c r="BP79" s="15">
        <f t="shared" si="175"/>
        <v>34768100</v>
      </c>
      <c r="BQ79" s="15">
        <f t="shared" si="175"/>
        <v>37774570</v>
      </c>
      <c r="BR79" s="15">
        <f t="shared" si="175"/>
        <v>40982840</v>
      </c>
      <c r="BS79" s="15">
        <f t="shared" si="175"/>
        <v>44393110</v>
      </c>
      <c r="BT79" s="15">
        <f t="shared" si="175"/>
        <v>48017850</v>
      </c>
    </row>
    <row r="80" spans="9:72" x14ac:dyDescent="0.3">
      <c r="I80" s="5"/>
      <c r="J80" s="16"/>
    </row>
    <row r="81" spans="10:72" x14ac:dyDescent="0.3">
      <c r="J81" s="16" t="s">
        <v>41</v>
      </c>
      <c r="M81" s="15">
        <f t="shared" ref="M81:AR81" si="176">M77*$D$31+L77*$D$32+K77*$D$33</f>
        <v>0</v>
      </c>
      <c r="N81" s="15">
        <f t="shared" si="176"/>
        <v>0</v>
      </c>
      <c r="O81" s="15">
        <f t="shared" si="176"/>
        <v>0</v>
      </c>
      <c r="P81" s="15">
        <f t="shared" si="176"/>
        <v>0</v>
      </c>
      <c r="Q81" s="15">
        <f t="shared" si="176"/>
        <v>0</v>
      </c>
      <c r="R81" s="15">
        <f t="shared" si="176"/>
        <v>0</v>
      </c>
      <c r="S81" s="15">
        <f t="shared" si="176"/>
        <v>3705</v>
      </c>
      <c r="T81" s="15">
        <f t="shared" si="176"/>
        <v>4716</v>
      </c>
      <c r="U81" s="15">
        <f t="shared" si="176"/>
        <v>5551</v>
      </c>
      <c r="V81" s="15">
        <f t="shared" si="176"/>
        <v>6209.5</v>
      </c>
      <c r="W81" s="15">
        <f t="shared" si="176"/>
        <v>7573.5</v>
      </c>
      <c r="X81" s="15">
        <f t="shared" si="176"/>
        <v>8586</v>
      </c>
      <c r="Y81" s="15">
        <f t="shared" si="176"/>
        <v>46231.5</v>
      </c>
      <c r="Z81" s="15">
        <f t="shared" si="176"/>
        <v>52659.8</v>
      </c>
      <c r="AA81" s="15">
        <f t="shared" si="176"/>
        <v>61372.1</v>
      </c>
      <c r="AB81" s="15">
        <f t="shared" si="176"/>
        <v>67331.600000000006</v>
      </c>
      <c r="AC81" s="15">
        <f t="shared" si="176"/>
        <v>70795.899999999994</v>
      </c>
      <c r="AD81" s="15">
        <f t="shared" si="176"/>
        <v>74064.900000000009</v>
      </c>
      <c r="AE81" s="15">
        <f t="shared" si="176"/>
        <v>82236.099999999991</v>
      </c>
      <c r="AF81" s="15">
        <f t="shared" si="176"/>
        <v>88676.200000000012</v>
      </c>
      <c r="AG81" s="15">
        <f t="shared" si="176"/>
        <v>97855.849999999991</v>
      </c>
      <c r="AH81" s="15">
        <f t="shared" si="176"/>
        <v>102267.7</v>
      </c>
      <c r="AI81" s="15">
        <f t="shared" si="176"/>
        <v>111486.65000000001</v>
      </c>
      <c r="AJ81" s="15">
        <f t="shared" si="176"/>
        <v>118588.95</v>
      </c>
      <c r="AK81" s="15">
        <f t="shared" si="176"/>
        <v>201723.9</v>
      </c>
      <c r="AL81" s="15">
        <f t="shared" si="176"/>
        <v>219766.35</v>
      </c>
      <c r="AM81" s="15">
        <f t="shared" si="176"/>
        <v>234452.5</v>
      </c>
      <c r="AN81" s="15">
        <f t="shared" si="176"/>
        <v>256982.5</v>
      </c>
      <c r="AO81" s="15">
        <f t="shared" si="176"/>
        <v>280688.3</v>
      </c>
      <c r="AP81" s="15">
        <f t="shared" si="176"/>
        <v>302306.10000000003</v>
      </c>
      <c r="AQ81" s="15">
        <f t="shared" si="176"/>
        <v>323411.89999999997</v>
      </c>
      <c r="AR81" s="15">
        <f t="shared" si="176"/>
        <v>343925.4</v>
      </c>
      <c r="AS81" s="15">
        <f t="shared" ref="AS81:BT81" si="177">AS77*$D$31+AR77*$D$32+AQ77*$D$33</f>
        <v>370025.7</v>
      </c>
      <c r="AT81" s="15">
        <f t="shared" si="177"/>
        <v>400897.6</v>
      </c>
      <c r="AU81" s="15">
        <f t="shared" si="177"/>
        <v>421712.3</v>
      </c>
      <c r="AV81" s="15">
        <f t="shared" si="177"/>
        <v>461473.3</v>
      </c>
      <c r="AW81" s="15">
        <f t="shared" si="177"/>
        <v>623036.30000000005</v>
      </c>
      <c r="AX81" s="15">
        <f t="shared" si="177"/>
        <v>683691.6</v>
      </c>
      <c r="AY81" s="15">
        <f t="shared" si="177"/>
        <v>746289.1</v>
      </c>
      <c r="AZ81" s="15">
        <f t="shared" si="177"/>
        <v>790828</v>
      </c>
      <c r="BA81" s="15">
        <f t="shared" si="177"/>
        <v>850981.6</v>
      </c>
      <c r="BB81" s="15">
        <f t="shared" si="177"/>
        <v>909683.20000000007</v>
      </c>
      <c r="BC81" s="15">
        <f t="shared" si="177"/>
        <v>997106.79999999993</v>
      </c>
      <c r="BD81" s="15">
        <f t="shared" si="177"/>
        <v>1066990.9000000001</v>
      </c>
      <c r="BE81" s="15">
        <f t="shared" si="177"/>
        <v>1132588</v>
      </c>
      <c r="BF81" s="15">
        <f t="shared" si="177"/>
        <v>1214443.5</v>
      </c>
      <c r="BG81" s="15">
        <f t="shared" si="177"/>
        <v>1287962.0999999999</v>
      </c>
      <c r="BH81" s="15">
        <f t="shared" si="177"/>
        <v>1380267.3</v>
      </c>
      <c r="BI81" s="15">
        <f t="shared" si="177"/>
        <v>1741538.4</v>
      </c>
      <c r="BJ81" s="15">
        <f t="shared" si="177"/>
        <v>1888233.1</v>
      </c>
      <c r="BK81" s="15">
        <f t="shared" si="177"/>
        <v>2024546.8</v>
      </c>
      <c r="BL81" s="15">
        <f t="shared" si="177"/>
        <v>2171407.1</v>
      </c>
      <c r="BM81" s="15">
        <f t="shared" si="177"/>
        <v>2323120.9</v>
      </c>
      <c r="BN81" s="15">
        <f t="shared" si="177"/>
        <v>2475934.2000000002</v>
      </c>
      <c r="BO81" s="15">
        <f t="shared" si="177"/>
        <v>2642686.5</v>
      </c>
      <c r="BP81" s="15">
        <f t="shared" si="177"/>
        <v>2821364.1</v>
      </c>
      <c r="BQ81" s="15">
        <f t="shared" si="177"/>
        <v>2995952.8</v>
      </c>
      <c r="BR81" s="15">
        <f t="shared" si="177"/>
        <v>3196435.4</v>
      </c>
      <c r="BS81" s="15">
        <f t="shared" si="177"/>
        <v>3398152</v>
      </c>
      <c r="BT81" s="15">
        <f t="shared" si="177"/>
        <v>3611996.5</v>
      </c>
    </row>
    <row r="82" spans="10:72" x14ac:dyDescent="0.3">
      <c r="J82" s="16"/>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row>
    <row r="83" spans="10:72" x14ac:dyDescent="0.3">
      <c r="J83" s="16" t="s">
        <v>62</v>
      </c>
      <c r="M83" s="15">
        <f>M81</f>
        <v>0</v>
      </c>
      <c r="N83" s="15">
        <f t="shared" ref="N83:AS83" si="178">M83+N81</f>
        <v>0</v>
      </c>
      <c r="O83" s="15">
        <f t="shared" si="178"/>
        <v>0</v>
      </c>
      <c r="P83" s="15">
        <f t="shared" si="178"/>
        <v>0</v>
      </c>
      <c r="Q83" s="15">
        <f t="shared" si="178"/>
        <v>0</v>
      </c>
      <c r="R83" s="15">
        <f t="shared" si="178"/>
        <v>0</v>
      </c>
      <c r="S83" s="15">
        <f t="shared" si="178"/>
        <v>3705</v>
      </c>
      <c r="T83" s="15">
        <f t="shared" si="178"/>
        <v>8421</v>
      </c>
      <c r="U83" s="15">
        <f t="shared" si="178"/>
        <v>13972</v>
      </c>
      <c r="V83" s="15">
        <f t="shared" si="178"/>
        <v>20181.5</v>
      </c>
      <c r="W83" s="15">
        <f t="shared" si="178"/>
        <v>27755</v>
      </c>
      <c r="X83" s="15">
        <f t="shared" si="178"/>
        <v>36341</v>
      </c>
      <c r="Y83" s="15">
        <f t="shared" si="178"/>
        <v>82572.5</v>
      </c>
      <c r="Z83" s="15">
        <f t="shared" si="178"/>
        <v>135232.29999999999</v>
      </c>
      <c r="AA83" s="15">
        <f t="shared" si="178"/>
        <v>196604.4</v>
      </c>
      <c r="AB83" s="15">
        <f t="shared" si="178"/>
        <v>263936</v>
      </c>
      <c r="AC83" s="15">
        <f t="shared" si="178"/>
        <v>334731.90000000002</v>
      </c>
      <c r="AD83" s="15">
        <f t="shared" si="178"/>
        <v>408796.80000000005</v>
      </c>
      <c r="AE83" s="15">
        <f t="shared" si="178"/>
        <v>491032.9</v>
      </c>
      <c r="AF83" s="15">
        <f t="shared" si="178"/>
        <v>579709.10000000009</v>
      </c>
      <c r="AG83" s="15">
        <f t="shared" si="178"/>
        <v>677564.95000000007</v>
      </c>
      <c r="AH83" s="15">
        <f t="shared" si="178"/>
        <v>779832.65</v>
      </c>
      <c r="AI83" s="15">
        <f t="shared" si="178"/>
        <v>891319.3</v>
      </c>
      <c r="AJ83" s="15">
        <f t="shared" si="178"/>
        <v>1009908.25</v>
      </c>
      <c r="AK83" s="15">
        <f t="shared" si="178"/>
        <v>1211632.1499999999</v>
      </c>
      <c r="AL83" s="15">
        <f t="shared" si="178"/>
        <v>1431398.5</v>
      </c>
      <c r="AM83" s="15">
        <f t="shared" si="178"/>
        <v>1665851</v>
      </c>
      <c r="AN83" s="15">
        <f t="shared" si="178"/>
        <v>1922833.5</v>
      </c>
      <c r="AO83" s="15">
        <f t="shared" si="178"/>
        <v>2203521.7999999998</v>
      </c>
      <c r="AP83" s="15">
        <f t="shared" si="178"/>
        <v>2505827.9</v>
      </c>
      <c r="AQ83" s="15">
        <f t="shared" si="178"/>
        <v>2829239.8</v>
      </c>
      <c r="AR83" s="15">
        <f t="shared" si="178"/>
        <v>3173165.1999999997</v>
      </c>
      <c r="AS83" s="15">
        <f t="shared" si="178"/>
        <v>3543190.9</v>
      </c>
      <c r="AT83" s="15">
        <f t="shared" ref="AT83:BT83" si="179">AS83+AT81</f>
        <v>3944088.5</v>
      </c>
      <c r="AU83" s="15">
        <f t="shared" si="179"/>
        <v>4365800.8</v>
      </c>
      <c r="AV83" s="15">
        <f t="shared" si="179"/>
        <v>4827274.0999999996</v>
      </c>
      <c r="AW83" s="15">
        <f t="shared" si="179"/>
        <v>5450310.3999999994</v>
      </c>
      <c r="AX83" s="15">
        <f t="shared" si="179"/>
        <v>6134001.9999999991</v>
      </c>
      <c r="AY83" s="15">
        <f t="shared" si="179"/>
        <v>6880291.0999999987</v>
      </c>
      <c r="AZ83" s="15">
        <f t="shared" si="179"/>
        <v>7671119.0999999987</v>
      </c>
      <c r="BA83" s="15">
        <f t="shared" si="179"/>
        <v>8522100.6999999993</v>
      </c>
      <c r="BB83" s="15">
        <f t="shared" si="179"/>
        <v>9431783.8999999985</v>
      </c>
      <c r="BC83" s="15">
        <f t="shared" si="179"/>
        <v>10428890.699999999</v>
      </c>
      <c r="BD83" s="15">
        <f t="shared" si="179"/>
        <v>11495881.6</v>
      </c>
      <c r="BE83" s="15">
        <f t="shared" si="179"/>
        <v>12628469.6</v>
      </c>
      <c r="BF83" s="15">
        <f t="shared" si="179"/>
        <v>13842913.1</v>
      </c>
      <c r="BG83" s="15">
        <f t="shared" si="179"/>
        <v>15130875.199999999</v>
      </c>
      <c r="BH83" s="15">
        <f t="shared" si="179"/>
        <v>16511142.5</v>
      </c>
      <c r="BI83" s="15">
        <f t="shared" si="179"/>
        <v>18252680.899999999</v>
      </c>
      <c r="BJ83" s="15">
        <f t="shared" si="179"/>
        <v>20140914</v>
      </c>
      <c r="BK83" s="15">
        <f t="shared" si="179"/>
        <v>22165460.800000001</v>
      </c>
      <c r="BL83" s="15">
        <f t="shared" si="179"/>
        <v>24336867.900000002</v>
      </c>
      <c r="BM83" s="15">
        <f t="shared" si="179"/>
        <v>26659988.800000001</v>
      </c>
      <c r="BN83" s="15">
        <f t="shared" si="179"/>
        <v>29135923</v>
      </c>
      <c r="BO83" s="15">
        <f t="shared" si="179"/>
        <v>31778609.5</v>
      </c>
      <c r="BP83" s="15">
        <f t="shared" si="179"/>
        <v>34599973.600000001</v>
      </c>
      <c r="BQ83" s="15">
        <f t="shared" si="179"/>
        <v>37595926.399999999</v>
      </c>
      <c r="BR83" s="15">
        <f t="shared" si="179"/>
        <v>40792361.799999997</v>
      </c>
      <c r="BS83" s="15">
        <f t="shared" si="179"/>
        <v>44190513.799999997</v>
      </c>
      <c r="BT83" s="15">
        <f t="shared" si="179"/>
        <v>47802510.299999997</v>
      </c>
    </row>
    <row r="85" spans="10:72" x14ac:dyDescent="0.3">
      <c r="J85" s="16" t="s">
        <v>63</v>
      </c>
      <c r="M85" s="15">
        <f t="shared" ref="M85:AR85" si="180">M79-M83</f>
        <v>0</v>
      </c>
      <c r="N85" s="15">
        <f t="shared" si="180"/>
        <v>0</v>
      </c>
      <c r="O85" s="15">
        <f t="shared" si="180"/>
        <v>0</v>
      </c>
      <c r="P85" s="15">
        <f t="shared" si="180"/>
        <v>0</v>
      </c>
      <c r="Q85" s="15">
        <f t="shared" si="180"/>
        <v>0</v>
      </c>
      <c r="R85" s="15">
        <f t="shared" si="180"/>
        <v>0</v>
      </c>
      <c r="S85" s="15">
        <f t="shared" si="180"/>
        <v>195</v>
      </c>
      <c r="T85" s="15">
        <f t="shared" si="180"/>
        <v>279</v>
      </c>
      <c r="U85" s="15">
        <f t="shared" si="180"/>
        <v>328</v>
      </c>
      <c r="V85" s="15">
        <f t="shared" si="180"/>
        <v>368.5</v>
      </c>
      <c r="W85" s="15">
        <f t="shared" si="180"/>
        <v>445</v>
      </c>
      <c r="X85" s="15">
        <f t="shared" si="180"/>
        <v>509</v>
      </c>
      <c r="Y85" s="15">
        <f t="shared" si="180"/>
        <v>2497.5</v>
      </c>
      <c r="Z85" s="15">
        <f t="shared" si="180"/>
        <v>3147.7000000000116</v>
      </c>
      <c r="AA85" s="15">
        <f t="shared" si="180"/>
        <v>3625.6000000000058</v>
      </c>
      <c r="AB85" s="15">
        <f t="shared" si="180"/>
        <v>4004</v>
      </c>
      <c r="AC85" s="15">
        <f t="shared" si="180"/>
        <v>4228.0999999999767</v>
      </c>
      <c r="AD85" s="15">
        <f t="shared" si="180"/>
        <v>4423.1999999999534</v>
      </c>
      <c r="AE85" s="15">
        <f t="shared" si="180"/>
        <v>4877.0999999999767</v>
      </c>
      <c r="AF85" s="15">
        <f t="shared" si="180"/>
        <v>5280.8999999999069</v>
      </c>
      <c r="AG85" s="15">
        <f t="shared" si="180"/>
        <v>5810.0499999999302</v>
      </c>
      <c r="AH85" s="15">
        <f t="shared" si="180"/>
        <v>6112.3499999999767</v>
      </c>
      <c r="AI85" s="15">
        <f t="shared" si="180"/>
        <v>6625.6999999999534</v>
      </c>
      <c r="AJ85" s="15">
        <f t="shared" si="180"/>
        <v>7071.75</v>
      </c>
      <c r="AK85" s="15">
        <f t="shared" si="180"/>
        <v>11497.850000000093</v>
      </c>
      <c r="AL85" s="15">
        <f t="shared" si="180"/>
        <v>13131.5</v>
      </c>
      <c r="AM85" s="15">
        <f t="shared" si="180"/>
        <v>13979</v>
      </c>
      <c r="AN85" s="15">
        <f t="shared" si="180"/>
        <v>15266.5</v>
      </c>
      <c r="AO85" s="15">
        <f t="shared" si="180"/>
        <v>16688.200000000186</v>
      </c>
      <c r="AP85" s="15">
        <f t="shared" si="180"/>
        <v>18002.100000000093</v>
      </c>
      <c r="AQ85" s="15">
        <f t="shared" si="180"/>
        <v>19270.200000000186</v>
      </c>
      <c r="AR85" s="15">
        <f t="shared" si="180"/>
        <v>20504.800000000279</v>
      </c>
      <c r="AS85" s="15">
        <f t="shared" ref="AS85:BT85" si="181">AS79-AS83</f>
        <v>22029.100000000093</v>
      </c>
      <c r="AT85" s="15">
        <f t="shared" si="181"/>
        <v>23851.5</v>
      </c>
      <c r="AU85" s="15">
        <f t="shared" si="181"/>
        <v>25179.200000000186</v>
      </c>
      <c r="AV85" s="15">
        <f t="shared" si="181"/>
        <v>27415.900000000373</v>
      </c>
      <c r="AW85" s="15">
        <f t="shared" si="181"/>
        <v>36229.600000000559</v>
      </c>
      <c r="AX85" s="15">
        <f t="shared" si="181"/>
        <v>40728.000000000931</v>
      </c>
      <c r="AY85" s="15">
        <f t="shared" si="181"/>
        <v>44378.900000001304</v>
      </c>
      <c r="AZ85" s="15">
        <f t="shared" si="181"/>
        <v>47180.900000001304</v>
      </c>
      <c r="BA85" s="15">
        <f t="shared" si="181"/>
        <v>50659.300000000745</v>
      </c>
      <c r="BB85" s="15">
        <f t="shared" si="181"/>
        <v>54206.10000000149</v>
      </c>
      <c r="BC85" s="15">
        <f t="shared" si="181"/>
        <v>59239.300000000745</v>
      </c>
      <c r="BD85" s="15">
        <f t="shared" si="181"/>
        <v>63588.400000000373</v>
      </c>
      <c r="BE85" s="15">
        <f t="shared" si="181"/>
        <v>67540.400000000373</v>
      </c>
      <c r="BF85" s="15">
        <f t="shared" si="181"/>
        <v>72326.900000000373</v>
      </c>
      <c r="BG85" s="15">
        <f t="shared" si="181"/>
        <v>76814.800000000745</v>
      </c>
      <c r="BH85" s="15">
        <f t="shared" si="181"/>
        <v>82207.5</v>
      </c>
      <c r="BI85" s="15">
        <f t="shared" si="181"/>
        <v>101919.10000000149</v>
      </c>
      <c r="BJ85" s="15">
        <f t="shared" si="181"/>
        <v>112556</v>
      </c>
      <c r="BK85" s="15">
        <f t="shared" si="181"/>
        <v>120619.19999999925</v>
      </c>
      <c r="BL85" s="15">
        <f t="shared" si="181"/>
        <v>129332.09999999776</v>
      </c>
      <c r="BM85" s="15">
        <f t="shared" si="181"/>
        <v>138411.19999999925</v>
      </c>
      <c r="BN85" s="15">
        <f t="shared" si="181"/>
        <v>147577</v>
      </c>
      <c r="BO85" s="15">
        <f t="shared" si="181"/>
        <v>157480.5</v>
      </c>
      <c r="BP85" s="15">
        <f t="shared" si="181"/>
        <v>168126.39999999851</v>
      </c>
      <c r="BQ85" s="15">
        <f t="shared" si="181"/>
        <v>178643.60000000149</v>
      </c>
      <c r="BR85" s="15">
        <f t="shared" si="181"/>
        <v>190478.20000000298</v>
      </c>
      <c r="BS85" s="15">
        <f t="shared" si="181"/>
        <v>202596.20000000298</v>
      </c>
      <c r="BT85" s="15">
        <f t="shared" si="181"/>
        <v>215339.70000000298</v>
      </c>
    </row>
    <row r="87" spans="10:72" x14ac:dyDescent="0.3">
      <c r="J87" s="16" t="s">
        <v>64</v>
      </c>
      <c r="M87" s="15">
        <f t="shared" ref="M87:AR87" si="182">M85-L85</f>
        <v>0</v>
      </c>
      <c r="N87" s="15">
        <f>N85-M85</f>
        <v>0</v>
      </c>
      <c r="O87" s="15">
        <f t="shared" si="182"/>
        <v>0</v>
      </c>
      <c r="P87" s="15">
        <f>P85-O85</f>
        <v>0</v>
      </c>
      <c r="Q87" s="15">
        <f t="shared" si="182"/>
        <v>0</v>
      </c>
      <c r="R87" s="15">
        <f t="shared" si="182"/>
        <v>0</v>
      </c>
      <c r="S87" s="15">
        <f t="shared" si="182"/>
        <v>195</v>
      </c>
      <c r="T87" s="15">
        <f t="shared" si="182"/>
        <v>84</v>
      </c>
      <c r="U87" s="15">
        <f t="shared" si="182"/>
        <v>49</v>
      </c>
      <c r="V87" s="15">
        <f t="shared" si="182"/>
        <v>40.5</v>
      </c>
      <c r="W87" s="15">
        <f t="shared" si="182"/>
        <v>76.5</v>
      </c>
      <c r="X87" s="15">
        <f t="shared" si="182"/>
        <v>64</v>
      </c>
      <c r="Y87" s="15">
        <f t="shared" si="182"/>
        <v>1988.5</v>
      </c>
      <c r="Z87" s="15">
        <f t="shared" si="182"/>
        <v>650.20000000001164</v>
      </c>
      <c r="AA87" s="15">
        <f t="shared" si="182"/>
        <v>477.89999999999418</v>
      </c>
      <c r="AB87" s="15">
        <f t="shared" si="182"/>
        <v>378.39999999999418</v>
      </c>
      <c r="AC87" s="15">
        <f t="shared" si="182"/>
        <v>224.09999999997672</v>
      </c>
      <c r="AD87" s="15">
        <f t="shared" si="182"/>
        <v>195.09999999997672</v>
      </c>
      <c r="AE87" s="15">
        <f t="shared" si="182"/>
        <v>453.90000000002328</v>
      </c>
      <c r="AF87" s="15">
        <f t="shared" si="182"/>
        <v>403.79999999993015</v>
      </c>
      <c r="AG87" s="15">
        <f t="shared" si="182"/>
        <v>529.15000000002328</v>
      </c>
      <c r="AH87" s="15">
        <f t="shared" si="182"/>
        <v>302.30000000004657</v>
      </c>
      <c r="AI87" s="15">
        <f t="shared" si="182"/>
        <v>513.34999999997672</v>
      </c>
      <c r="AJ87" s="15">
        <f t="shared" si="182"/>
        <v>446.05000000004657</v>
      </c>
      <c r="AK87" s="15">
        <f t="shared" si="182"/>
        <v>4426.1000000000931</v>
      </c>
      <c r="AL87" s="15">
        <f t="shared" si="182"/>
        <v>1633.6499999999069</v>
      </c>
      <c r="AM87" s="15">
        <f t="shared" si="182"/>
        <v>847.5</v>
      </c>
      <c r="AN87" s="15">
        <f t="shared" si="182"/>
        <v>1287.5</v>
      </c>
      <c r="AO87" s="15">
        <f t="shared" si="182"/>
        <v>1421.7000000001863</v>
      </c>
      <c r="AP87" s="15">
        <f t="shared" si="182"/>
        <v>1313.8999999999069</v>
      </c>
      <c r="AQ87" s="15">
        <f t="shared" si="182"/>
        <v>1268.1000000000931</v>
      </c>
      <c r="AR87" s="15">
        <f t="shared" si="182"/>
        <v>1234.6000000000931</v>
      </c>
      <c r="AS87" s="15">
        <f t="shared" ref="AS87:BT87" si="183">AS85-AR85</f>
        <v>1524.2999999998137</v>
      </c>
      <c r="AT87" s="15">
        <f t="shared" si="183"/>
        <v>1822.3999999999069</v>
      </c>
      <c r="AU87" s="15">
        <f t="shared" si="183"/>
        <v>1327.7000000001863</v>
      </c>
      <c r="AV87" s="15">
        <f t="shared" si="183"/>
        <v>2236.7000000001863</v>
      </c>
      <c r="AW87" s="15">
        <f t="shared" si="183"/>
        <v>8813.7000000001863</v>
      </c>
      <c r="AX87" s="15">
        <f t="shared" si="183"/>
        <v>4498.4000000003725</v>
      </c>
      <c r="AY87" s="15">
        <f t="shared" si="183"/>
        <v>3650.9000000003725</v>
      </c>
      <c r="AZ87" s="15">
        <f t="shared" si="183"/>
        <v>2802</v>
      </c>
      <c r="BA87" s="15">
        <f t="shared" si="183"/>
        <v>3478.3999999994412</v>
      </c>
      <c r="BB87" s="15">
        <f t="shared" si="183"/>
        <v>3546.8000000007451</v>
      </c>
      <c r="BC87" s="15">
        <f t="shared" si="183"/>
        <v>5033.1999999992549</v>
      </c>
      <c r="BD87" s="15">
        <f t="shared" si="183"/>
        <v>4349.0999999996275</v>
      </c>
      <c r="BE87" s="15">
        <f t="shared" si="183"/>
        <v>3952</v>
      </c>
      <c r="BF87" s="15">
        <f t="shared" si="183"/>
        <v>4786.5</v>
      </c>
      <c r="BG87" s="15">
        <f t="shared" si="183"/>
        <v>4487.9000000003725</v>
      </c>
      <c r="BH87" s="15">
        <f t="shared" si="183"/>
        <v>5392.6999999992549</v>
      </c>
      <c r="BI87" s="15">
        <f t="shared" si="183"/>
        <v>19711.60000000149</v>
      </c>
      <c r="BJ87" s="15">
        <f t="shared" si="183"/>
        <v>10636.89999999851</v>
      </c>
      <c r="BK87" s="15">
        <f t="shared" si="183"/>
        <v>8063.1999999992549</v>
      </c>
      <c r="BL87" s="15">
        <f t="shared" si="183"/>
        <v>8712.8999999985099</v>
      </c>
      <c r="BM87" s="15">
        <f t="shared" si="183"/>
        <v>9079.1000000014901</v>
      </c>
      <c r="BN87" s="15">
        <f t="shared" si="183"/>
        <v>9165.8000000007451</v>
      </c>
      <c r="BO87" s="15">
        <f t="shared" si="183"/>
        <v>9903.5</v>
      </c>
      <c r="BP87" s="15">
        <f t="shared" si="183"/>
        <v>10645.89999999851</v>
      </c>
      <c r="BQ87" s="15">
        <f t="shared" si="183"/>
        <v>10517.20000000298</v>
      </c>
      <c r="BR87" s="15">
        <f t="shared" si="183"/>
        <v>11834.60000000149</v>
      </c>
      <c r="BS87" s="15">
        <f t="shared" si="183"/>
        <v>12118</v>
      </c>
      <c r="BT87" s="15">
        <f t="shared" si="183"/>
        <v>12743.5</v>
      </c>
    </row>
    <row r="97" spans="11:72" x14ac:dyDescent="0.3">
      <c r="K97" t="s">
        <v>65</v>
      </c>
      <c r="M97" s="8">
        <f t="shared" ref="M97:AR97" si="184">SUM(M57:M63)</f>
        <v>0</v>
      </c>
      <c r="N97" s="8">
        <f t="shared" si="184"/>
        <v>0</v>
      </c>
      <c r="O97" s="8">
        <f t="shared" si="184"/>
        <v>0</v>
      </c>
      <c r="P97" s="8">
        <f t="shared" si="184"/>
        <v>0</v>
      </c>
      <c r="Q97" s="8">
        <f t="shared" si="184"/>
        <v>0</v>
      </c>
      <c r="R97" s="8">
        <f t="shared" si="184"/>
        <v>0</v>
      </c>
      <c r="S97" s="8">
        <f t="shared" si="184"/>
        <v>6</v>
      </c>
      <c r="T97" s="8">
        <f t="shared" si="184"/>
        <v>12</v>
      </c>
      <c r="U97" s="8">
        <f t="shared" si="184"/>
        <v>17</v>
      </c>
      <c r="V97" s="8">
        <f t="shared" si="184"/>
        <v>22</v>
      </c>
      <c r="W97" s="8">
        <f t="shared" si="184"/>
        <v>28</v>
      </c>
      <c r="X97" s="8">
        <f t="shared" si="184"/>
        <v>35</v>
      </c>
      <c r="Y97" s="8">
        <f t="shared" si="184"/>
        <v>41</v>
      </c>
      <c r="Z97" s="8">
        <f t="shared" si="184"/>
        <v>51</v>
      </c>
      <c r="AA97" s="8">
        <f t="shared" si="184"/>
        <v>65</v>
      </c>
      <c r="AB97" s="8">
        <f t="shared" si="184"/>
        <v>79</v>
      </c>
      <c r="AC97" s="8">
        <f t="shared" si="184"/>
        <v>92</v>
      </c>
      <c r="AD97" s="8">
        <f t="shared" si="184"/>
        <v>105</v>
      </c>
      <c r="AE97" s="8">
        <f t="shared" si="184"/>
        <v>119</v>
      </c>
      <c r="AF97" s="8">
        <f t="shared" si="184"/>
        <v>135</v>
      </c>
      <c r="AG97" s="8">
        <f t="shared" si="184"/>
        <v>152</v>
      </c>
      <c r="AH97" s="8">
        <f t="shared" si="184"/>
        <v>168</v>
      </c>
      <c r="AI97" s="8">
        <f t="shared" si="184"/>
        <v>187</v>
      </c>
      <c r="AJ97" s="8">
        <f t="shared" si="184"/>
        <v>205</v>
      </c>
      <c r="AK97" s="8">
        <f t="shared" si="184"/>
        <v>234</v>
      </c>
      <c r="AL97" s="8">
        <f t="shared" si="184"/>
        <v>261</v>
      </c>
      <c r="AM97" s="8">
        <f t="shared" si="184"/>
        <v>288</v>
      </c>
      <c r="AN97" s="8">
        <f t="shared" si="184"/>
        <v>317</v>
      </c>
      <c r="AO97" s="8">
        <f t="shared" si="184"/>
        <v>349</v>
      </c>
      <c r="AP97" s="8">
        <f t="shared" si="184"/>
        <v>382</v>
      </c>
      <c r="AQ97" s="8">
        <f t="shared" si="184"/>
        <v>416</v>
      </c>
      <c r="AR97" s="8">
        <f t="shared" si="184"/>
        <v>449</v>
      </c>
      <c r="AS97" s="8">
        <f t="shared" ref="AS97:BT97" si="185">SUM(AS57:AS63)</f>
        <v>487</v>
      </c>
      <c r="AT97" s="8">
        <f t="shared" si="185"/>
        <v>528</v>
      </c>
      <c r="AU97" s="8">
        <f t="shared" si="185"/>
        <v>568</v>
      </c>
      <c r="AV97" s="8">
        <f t="shared" si="185"/>
        <v>613</v>
      </c>
      <c r="AW97" s="8">
        <f t="shared" si="185"/>
        <v>676</v>
      </c>
      <c r="AX97" s="8">
        <f t="shared" si="185"/>
        <v>734</v>
      </c>
      <c r="AY97" s="8">
        <f t="shared" si="185"/>
        <v>797</v>
      </c>
      <c r="AZ97" s="8">
        <f t="shared" si="185"/>
        <v>861</v>
      </c>
      <c r="BA97" s="8">
        <f t="shared" si="185"/>
        <v>929</v>
      </c>
      <c r="BB97" s="8">
        <f t="shared" si="185"/>
        <v>998</v>
      </c>
      <c r="BC97" s="8">
        <f t="shared" si="185"/>
        <v>1077</v>
      </c>
      <c r="BD97" s="8">
        <f t="shared" si="185"/>
        <v>1157</v>
      </c>
      <c r="BE97" s="8">
        <f t="shared" si="185"/>
        <v>1237</v>
      </c>
      <c r="BF97" s="8">
        <f t="shared" si="185"/>
        <v>1326</v>
      </c>
      <c r="BG97" s="8">
        <f t="shared" si="185"/>
        <v>1413</v>
      </c>
      <c r="BH97" s="8">
        <f t="shared" si="185"/>
        <v>1512</v>
      </c>
      <c r="BI97" s="8">
        <f t="shared" si="185"/>
        <v>1627</v>
      </c>
      <c r="BJ97" s="8">
        <f t="shared" si="185"/>
        <v>1745</v>
      </c>
      <c r="BK97" s="8">
        <f t="shared" si="185"/>
        <v>1868</v>
      </c>
      <c r="BL97" s="8">
        <f t="shared" si="185"/>
        <v>1998</v>
      </c>
      <c r="BM97" s="8">
        <f t="shared" si="185"/>
        <v>2133</v>
      </c>
      <c r="BN97" s="8">
        <f t="shared" si="185"/>
        <v>2275</v>
      </c>
      <c r="BO97" s="8">
        <f t="shared" si="185"/>
        <v>2424</v>
      </c>
      <c r="BP97" s="8">
        <f t="shared" si="185"/>
        <v>2582</v>
      </c>
      <c r="BQ97" s="8">
        <f t="shared" si="185"/>
        <v>2745</v>
      </c>
      <c r="BR97" s="8">
        <f t="shared" si="185"/>
        <v>2920</v>
      </c>
      <c r="BS97" s="8">
        <f t="shared" si="185"/>
        <v>3101</v>
      </c>
      <c r="BT97" s="8">
        <f t="shared" si="185"/>
        <v>3293</v>
      </c>
    </row>
    <row r="98" spans="11:72" x14ac:dyDescent="0.3">
      <c r="M98" s="8">
        <f t="shared" ref="M98:AR98" si="186">M97-L97</f>
        <v>0</v>
      </c>
      <c r="N98" s="8">
        <f t="shared" si="186"/>
        <v>0</v>
      </c>
      <c r="O98" s="8">
        <f t="shared" si="186"/>
        <v>0</v>
      </c>
      <c r="P98" s="8">
        <f t="shared" si="186"/>
        <v>0</v>
      </c>
      <c r="Q98" s="8">
        <f t="shared" si="186"/>
        <v>0</v>
      </c>
      <c r="R98" s="8">
        <f t="shared" si="186"/>
        <v>0</v>
      </c>
      <c r="S98" s="8">
        <f t="shared" si="186"/>
        <v>6</v>
      </c>
      <c r="T98" s="8">
        <f t="shared" si="186"/>
        <v>6</v>
      </c>
      <c r="U98" s="8">
        <f t="shared" si="186"/>
        <v>5</v>
      </c>
      <c r="V98" s="8">
        <f t="shared" si="186"/>
        <v>5</v>
      </c>
      <c r="W98" s="8">
        <f t="shared" si="186"/>
        <v>6</v>
      </c>
      <c r="X98" s="8">
        <f t="shared" si="186"/>
        <v>7</v>
      </c>
      <c r="Y98" s="8">
        <f t="shared" si="186"/>
        <v>6</v>
      </c>
      <c r="Z98" s="8">
        <f t="shared" si="186"/>
        <v>10</v>
      </c>
      <c r="AA98" s="8">
        <f t="shared" si="186"/>
        <v>14</v>
      </c>
      <c r="AB98" s="8">
        <f t="shared" si="186"/>
        <v>14</v>
      </c>
      <c r="AC98" s="8">
        <f t="shared" si="186"/>
        <v>13</v>
      </c>
      <c r="AD98" s="8">
        <f t="shared" si="186"/>
        <v>13</v>
      </c>
      <c r="AE98" s="8">
        <f t="shared" si="186"/>
        <v>14</v>
      </c>
      <c r="AF98" s="8">
        <f t="shared" si="186"/>
        <v>16</v>
      </c>
      <c r="AG98" s="8">
        <f t="shared" si="186"/>
        <v>17</v>
      </c>
      <c r="AH98" s="8">
        <f t="shared" si="186"/>
        <v>16</v>
      </c>
      <c r="AI98" s="8">
        <f t="shared" si="186"/>
        <v>19</v>
      </c>
      <c r="AJ98" s="8">
        <f t="shared" si="186"/>
        <v>18</v>
      </c>
      <c r="AK98" s="8">
        <f t="shared" si="186"/>
        <v>29</v>
      </c>
      <c r="AL98" s="8">
        <f t="shared" si="186"/>
        <v>27</v>
      </c>
      <c r="AM98" s="8">
        <f t="shared" si="186"/>
        <v>27</v>
      </c>
      <c r="AN98" s="8">
        <f t="shared" si="186"/>
        <v>29</v>
      </c>
      <c r="AO98" s="8">
        <f t="shared" si="186"/>
        <v>32</v>
      </c>
      <c r="AP98" s="8">
        <f t="shared" si="186"/>
        <v>33</v>
      </c>
      <c r="AQ98" s="8">
        <f t="shared" si="186"/>
        <v>34</v>
      </c>
      <c r="AR98" s="8">
        <f t="shared" si="186"/>
        <v>33</v>
      </c>
      <c r="AS98" s="8">
        <f t="shared" ref="AS98:BT98" si="187">AS97-AR97</f>
        <v>38</v>
      </c>
      <c r="AT98" s="8">
        <f t="shared" si="187"/>
        <v>41</v>
      </c>
      <c r="AU98" s="8">
        <f t="shared" si="187"/>
        <v>40</v>
      </c>
      <c r="AV98" s="8">
        <f t="shared" si="187"/>
        <v>45</v>
      </c>
      <c r="AW98" s="8">
        <f t="shared" si="187"/>
        <v>63</v>
      </c>
      <c r="AX98" s="8">
        <f t="shared" si="187"/>
        <v>58</v>
      </c>
      <c r="AY98" s="8">
        <f t="shared" si="187"/>
        <v>63</v>
      </c>
      <c r="AZ98" s="8">
        <f t="shared" si="187"/>
        <v>64</v>
      </c>
      <c r="BA98" s="8">
        <f t="shared" si="187"/>
        <v>68</v>
      </c>
      <c r="BB98" s="8">
        <f t="shared" si="187"/>
        <v>69</v>
      </c>
      <c r="BC98" s="8">
        <f t="shared" si="187"/>
        <v>79</v>
      </c>
      <c r="BD98" s="8">
        <f t="shared" si="187"/>
        <v>80</v>
      </c>
      <c r="BE98" s="8">
        <f t="shared" si="187"/>
        <v>80</v>
      </c>
      <c r="BF98" s="8">
        <f t="shared" si="187"/>
        <v>89</v>
      </c>
      <c r="BG98" s="8">
        <f t="shared" si="187"/>
        <v>87</v>
      </c>
      <c r="BH98" s="8">
        <f t="shared" si="187"/>
        <v>99</v>
      </c>
      <c r="BI98" s="8">
        <f t="shared" si="187"/>
        <v>115</v>
      </c>
      <c r="BJ98" s="8">
        <f t="shared" si="187"/>
        <v>118</v>
      </c>
      <c r="BK98" s="8">
        <f t="shared" si="187"/>
        <v>123</v>
      </c>
      <c r="BL98" s="8">
        <f t="shared" si="187"/>
        <v>130</v>
      </c>
      <c r="BM98" s="8">
        <f t="shared" si="187"/>
        <v>135</v>
      </c>
      <c r="BN98" s="8">
        <f t="shared" si="187"/>
        <v>142</v>
      </c>
      <c r="BO98" s="8">
        <f t="shared" si="187"/>
        <v>149</v>
      </c>
      <c r="BP98" s="8">
        <f t="shared" si="187"/>
        <v>158</v>
      </c>
      <c r="BQ98" s="8">
        <f t="shared" si="187"/>
        <v>163</v>
      </c>
      <c r="BR98" s="8">
        <f t="shared" si="187"/>
        <v>175</v>
      </c>
      <c r="BS98" s="8">
        <f t="shared" si="187"/>
        <v>181</v>
      </c>
      <c r="BT98" s="8">
        <f t="shared" si="187"/>
        <v>192</v>
      </c>
    </row>
    <row r="100" spans="11:72" x14ac:dyDescent="0.3">
      <c r="K100" t="s">
        <v>65</v>
      </c>
      <c r="L100" t="s">
        <v>66</v>
      </c>
      <c r="M100" s="8">
        <f t="shared" ref="M100:AR100" si="188">SUM(M57:M59)</f>
        <v>0</v>
      </c>
      <c r="N100" s="8">
        <f t="shared" si="188"/>
        <v>0</v>
      </c>
      <c r="O100" s="8">
        <f t="shared" si="188"/>
        <v>0</v>
      </c>
      <c r="P100" s="8">
        <f t="shared" si="188"/>
        <v>0</v>
      </c>
      <c r="Q100" s="8">
        <f t="shared" si="188"/>
        <v>0</v>
      </c>
      <c r="R100" s="8">
        <f t="shared" si="188"/>
        <v>0</v>
      </c>
      <c r="S100" s="8">
        <f t="shared" si="188"/>
        <v>4</v>
      </c>
      <c r="T100" s="8">
        <f t="shared" si="188"/>
        <v>8</v>
      </c>
      <c r="U100" s="8">
        <f t="shared" si="188"/>
        <v>11</v>
      </c>
      <c r="V100" s="8">
        <f t="shared" si="188"/>
        <v>15</v>
      </c>
      <c r="W100" s="8">
        <f t="shared" si="188"/>
        <v>19</v>
      </c>
      <c r="X100" s="8">
        <f t="shared" si="188"/>
        <v>24</v>
      </c>
      <c r="Y100" s="8">
        <f t="shared" si="188"/>
        <v>27</v>
      </c>
      <c r="Z100" s="8">
        <f t="shared" si="188"/>
        <v>33</v>
      </c>
      <c r="AA100" s="8">
        <f t="shared" si="188"/>
        <v>41</v>
      </c>
      <c r="AB100" s="8">
        <f t="shared" si="188"/>
        <v>50</v>
      </c>
      <c r="AC100" s="8">
        <f t="shared" si="188"/>
        <v>57</v>
      </c>
      <c r="AD100" s="8">
        <f t="shared" si="188"/>
        <v>65</v>
      </c>
      <c r="AE100" s="8">
        <f t="shared" si="188"/>
        <v>73</v>
      </c>
      <c r="AF100" s="8">
        <f t="shared" si="188"/>
        <v>83</v>
      </c>
      <c r="AG100" s="8">
        <f t="shared" si="188"/>
        <v>93</v>
      </c>
      <c r="AH100" s="8">
        <f t="shared" si="188"/>
        <v>102</v>
      </c>
      <c r="AI100" s="8">
        <f t="shared" si="188"/>
        <v>114</v>
      </c>
      <c r="AJ100" s="8">
        <f t="shared" si="188"/>
        <v>125</v>
      </c>
      <c r="AK100" s="8">
        <f t="shared" si="188"/>
        <v>142</v>
      </c>
      <c r="AL100" s="8">
        <f t="shared" si="188"/>
        <v>158</v>
      </c>
      <c r="AM100" s="8">
        <f t="shared" si="188"/>
        <v>175</v>
      </c>
      <c r="AN100" s="8">
        <f t="shared" si="188"/>
        <v>192</v>
      </c>
      <c r="AO100" s="8">
        <f t="shared" si="188"/>
        <v>211</v>
      </c>
      <c r="AP100" s="8">
        <f t="shared" si="188"/>
        <v>231</v>
      </c>
      <c r="AQ100" s="8">
        <f t="shared" si="188"/>
        <v>251</v>
      </c>
      <c r="AR100" s="8">
        <f t="shared" si="188"/>
        <v>271</v>
      </c>
      <c r="AS100" s="8">
        <f t="shared" ref="AS100:BT100" si="189">SUM(AS57:AS59)</f>
        <v>295</v>
      </c>
      <c r="AT100" s="8">
        <f t="shared" si="189"/>
        <v>319</v>
      </c>
      <c r="AU100" s="8">
        <f t="shared" si="189"/>
        <v>343</v>
      </c>
      <c r="AV100" s="8">
        <f t="shared" si="189"/>
        <v>370</v>
      </c>
      <c r="AW100" s="8">
        <f t="shared" si="189"/>
        <v>403</v>
      </c>
      <c r="AX100" s="8">
        <f t="shared" si="189"/>
        <v>435</v>
      </c>
      <c r="AY100" s="8">
        <f t="shared" si="189"/>
        <v>470</v>
      </c>
      <c r="AZ100" s="8">
        <f t="shared" si="189"/>
        <v>505</v>
      </c>
      <c r="BA100" s="8">
        <f t="shared" si="189"/>
        <v>543</v>
      </c>
      <c r="BB100" s="8">
        <f t="shared" si="189"/>
        <v>581</v>
      </c>
      <c r="BC100" s="8">
        <f t="shared" si="189"/>
        <v>624</v>
      </c>
      <c r="BD100" s="8">
        <f t="shared" si="189"/>
        <v>668</v>
      </c>
      <c r="BE100" s="8">
        <f t="shared" si="189"/>
        <v>712</v>
      </c>
      <c r="BF100" s="8">
        <f t="shared" si="189"/>
        <v>761</v>
      </c>
      <c r="BG100" s="8">
        <f t="shared" si="189"/>
        <v>809</v>
      </c>
      <c r="BH100" s="8">
        <f t="shared" si="189"/>
        <v>863</v>
      </c>
      <c r="BI100" s="8">
        <f t="shared" si="189"/>
        <v>918</v>
      </c>
      <c r="BJ100" s="8">
        <f t="shared" si="189"/>
        <v>977</v>
      </c>
      <c r="BK100" s="8">
        <f t="shared" si="189"/>
        <v>1039</v>
      </c>
      <c r="BL100" s="8">
        <f t="shared" si="189"/>
        <v>1104</v>
      </c>
      <c r="BM100" s="8">
        <f t="shared" si="189"/>
        <v>1171</v>
      </c>
      <c r="BN100" s="8">
        <f t="shared" si="189"/>
        <v>1242</v>
      </c>
      <c r="BO100" s="8">
        <f t="shared" si="189"/>
        <v>1317</v>
      </c>
      <c r="BP100" s="8">
        <f t="shared" si="189"/>
        <v>1395</v>
      </c>
      <c r="BQ100" s="8">
        <f t="shared" si="189"/>
        <v>1477</v>
      </c>
      <c r="BR100" s="8">
        <f t="shared" si="189"/>
        <v>1564</v>
      </c>
      <c r="BS100" s="8">
        <f t="shared" si="189"/>
        <v>1654</v>
      </c>
      <c r="BT100" s="8">
        <f t="shared" si="189"/>
        <v>1751</v>
      </c>
    </row>
    <row r="101" spans="11:72" x14ac:dyDescent="0.3">
      <c r="L101" t="s">
        <v>67</v>
      </c>
      <c r="M101" s="8">
        <f t="shared" ref="M101:AR101" si="190">SUM(M61:M63)</f>
        <v>0</v>
      </c>
      <c r="N101" s="8">
        <f t="shared" si="190"/>
        <v>0</v>
      </c>
      <c r="O101" s="8">
        <f t="shared" si="190"/>
        <v>0</v>
      </c>
      <c r="P101" s="8">
        <f t="shared" si="190"/>
        <v>0</v>
      </c>
      <c r="Q101" s="8">
        <f t="shared" si="190"/>
        <v>0</v>
      </c>
      <c r="R101" s="8">
        <f t="shared" si="190"/>
        <v>0</v>
      </c>
      <c r="S101" s="8">
        <f t="shared" si="190"/>
        <v>2</v>
      </c>
      <c r="T101" s="8">
        <f t="shared" si="190"/>
        <v>4</v>
      </c>
      <c r="U101" s="8">
        <f t="shared" si="190"/>
        <v>6</v>
      </c>
      <c r="V101" s="8">
        <f t="shared" si="190"/>
        <v>7</v>
      </c>
      <c r="W101" s="8">
        <f t="shared" si="190"/>
        <v>9</v>
      </c>
      <c r="X101" s="8">
        <f t="shared" si="190"/>
        <v>11</v>
      </c>
      <c r="Y101" s="8">
        <f t="shared" si="190"/>
        <v>14</v>
      </c>
      <c r="Z101" s="8">
        <f t="shared" si="190"/>
        <v>18</v>
      </c>
      <c r="AA101" s="8">
        <f t="shared" si="190"/>
        <v>24</v>
      </c>
      <c r="AB101" s="8">
        <f t="shared" si="190"/>
        <v>29</v>
      </c>
      <c r="AC101" s="8">
        <f t="shared" si="190"/>
        <v>35</v>
      </c>
      <c r="AD101" s="8">
        <f t="shared" si="190"/>
        <v>40</v>
      </c>
      <c r="AE101" s="8">
        <f t="shared" si="190"/>
        <v>46</v>
      </c>
      <c r="AF101" s="8">
        <f t="shared" si="190"/>
        <v>52</v>
      </c>
      <c r="AG101" s="8">
        <f t="shared" si="190"/>
        <v>59</v>
      </c>
      <c r="AH101" s="8">
        <f t="shared" si="190"/>
        <v>66</v>
      </c>
      <c r="AI101" s="8">
        <f t="shared" si="190"/>
        <v>73</v>
      </c>
      <c r="AJ101" s="8">
        <f t="shared" si="190"/>
        <v>80</v>
      </c>
      <c r="AK101" s="8">
        <f t="shared" si="190"/>
        <v>92</v>
      </c>
      <c r="AL101" s="8">
        <f t="shared" si="190"/>
        <v>103</v>
      </c>
      <c r="AM101" s="8">
        <f t="shared" si="190"/>
        <v>113</v>
      </c>
      <c r="AN101" s="8">
        <f t="shared" si="190"/>
        <v>125</v>
      </c>
      <c r="AO101" s="8">
        <f t="shared" si="190"/>
        <v>138</v>
      </c>
      <c r="AP101" s="8">
        <f t="shared" si="190"/>
        <v>151</v>
      </c>
      <c r="AQ101" s="8">
        <f t="shared" si="190"/>
        <v>165</v>
      </c>
      <c r="AR101" s="8">
        <f t="shared" si="190"/>
        <v>178</v>
      </c>
      <c r="AS101" s="8">
        <f t="shared" ref="AS101:BT101" si="191">SUM(AS61:AS63)</f>
        <v>192</v>
      </c>
      <c r="AT101" s="8">
        <f t="shared" si="191"/>
        <v>209</v>
      </c>
      <c r="AU101" s="8">
        <f t="shared" si="191"/>
        <v>225</v>
      </c>
      <c r="AV101" s="8">
        <f t="shared" si="191"/>
        <v>243</v>
      </c>
      <c r="AW101" s="8">
        <f t="shared" si="191"/>
        <v>273</v>
      </c>
      <c r="AX101" s="8">
        <f t="shared" si="191"/>
        <v>299</v>
      </c>
      <c r="AY101" s="8">
        <f t="shared" si="191"/>
        <v>327</v>
      </c>
      <c r="AZ101" s="8">
        <f t="shared" si="191"/>
        <v>356</v>
      </c>
      <c r="BA101" s="8">
        <f t="shared" si="191"/>
        <v>386</v>
      </c>
      <c r="BB101" s="8">
        <f t="shared" si="191"/>
        <v>417</v>
      </c>
      <c r="BC101" s="8">
        <f t="shared" si="191"/>
        <v>453</v>
      </c>
      <c r="BD101" s="8">
        <f t="shared" si="191"/>
        <v>489</v>
      </c>
      <c r="BE101" s="8">
        <f t="shared" si="191"/>
        <v>525</v>
      </c>
      <c r="BF101" s="8">
        <f t="shared" si="191"/>
        <v>565</v>
      </c>
      <c r="BG101" s="8">
        <f t="shared" si="191"/>
        <v>604</v>
      </c>
      <c r="BH101" s="8">
        <f t="shared" si="191"/>
        <v>649</v>
      </c>
      <c r="BI101" s="8">
        <f t="shared" si="191"/>
        <v>709</v>
      </c>
      <c r="BJ101" s="8">
        <f t="shared" si="191"/>
        <v>768</v>
      </c>
      <c r="BK101" s="8">
        <f t="shared" si="191"/>
        <v>829</v>
      </c>
      <c r="BL101" s="8">
        <f t="shared" si="191"/>
        <v>894</v>
      </c>
      <c r="BM101" s="8">
        <f t="shared" si="191"/>
        <v>962</v>
      </c>
      <c r="BN101" s="8">
        <f t="shared" si="191"/>
        <v>1033</v>
      </c>
      <c r="BO101" s="8">
        <f t="shared" si="191"/>
        <v>1107</v>
      </c>
      <c r="BP101" s="8">
        <f t="shared" si="191"/>
        <v>1187</v>
      </c>
      <c r="BQ101" s="8">
        <f t="shared" si="191"/>
        <v>1268</v>
      </c>
      <c r="BR101" s="8">
        <f t="shared" si="191"/>
        <v>1356</v>
      </c>
      <c r="BS101" s="8">
        <f t="shared" si="191"/>
        <v>1447</v>
      </c>
      <c r="BT101" s="8">
        <f t="shared" si="191"/>
        <v>1542</v>
      </c>
    </row>
    <row r="113" spans="13:72" x14ac:dyDescent="0.3">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row>
    <row r="114" spans="13:72" x14ac:dyDescent="0.3">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row>
    <row r="116" spans="13:72" x14ac:dyDescent="0.3">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sheetData>
  <mergeCells count="1">
    <mergeCell ref="D35:H35"/>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49098-80F0-478F-A2BD-F67BCB40D29C}">
  <sheetPr>
    <tabColor rgb="FF00B050"/>
  </sheetPr>
  <dimension ref="A1:BU24"/>
  <sheetViews>
    <sheetView zoomScale="84" workbookViewId="0">
      <selection activeCell="K29" sqref="K29"/>
    </sheetView>
  </sheetViews>
  <sheetFormatPr defaultColWidth="8.77734375" defaultRowHeight="14.4" x14ac:dyDescent="0.3"/>
  <cols>
    <col min="1" max="1" width="31.109375" bestFit="1" customWidth="1"/>
    <col min="2" max="2" width="25.6640625" bestFit="1" customWidth="1"/>
    <col min="3" max="3" width="12" bestFit="1" customWidth="1"/>
    <col min="4" max="7" width="6.33203125" bestFit="1" customWidth="1"/>
    <col min="8" max="8" width="21.6640625" bestFit="1" customWidth="1"/>
    <col min="9" max="9" width="6.44140625" bestFit="1" customWidth="1"/>
    <col min="10" max="10" width="16.109375" bestFit="1" customWidth="1"/>
    <col min="11" max="11" width="25.6640625" bestFit="1" customWidth="1"/>
    <col min="12" max="12" width="24" customWidth="1"/>
    <col min="13" max="13" width="13.77734375" bestFit="1" customWidth="1"/>
    <col min="14" max="14" width="19.77734375" bestFit="1" customWidth="1"/>
    <col min="15" max="15" width="20.44140625" bestFit="1" customWidth="1"/>
    <col min="16" max="27" width="9.33203125" bestFit="1" customWidth="1"/>
    <col min="28" max="55" width="9.44140625" bestFit="1" customWidth="1"/>
    <col min="56" max="72" width="10.44140625" bestFit="1" customWidth="1"/>
  </cols>
  <sheetData>
    <row r="1" spans="1:73" x14ac:dyDescent="0.3">
      <c r="A1" t="s">
        <v>298</v>
      </c>
    </row>
    <row r="2" spans="1:73" x14ac:dyDescent="0.3">
      <c r="B2" t="s">
        <v>279</v>
      </c>
      <c r="C2" t="s">
        <v>8</v>
      </c>
      <c r="D2" t="s">
        <v>9</v>
      </c>
      <c r="E2" t="s">
        <v>10</v>
      </c>
      <c r="F2" t="s">
        <v>11</v>
      </c>
      <c r="G2" t="s">
        <v>12</v>
      </c>
      <c r="H2" t="s">
        <v>283</v>
      </c>
      <c r="I2" s="12"/>
      <c r="J2" s="12"/>
      <c r="K2" s="12"/>
      <c r="M2" s="78" t="s">
        <v>8</v>
      </c>
      <c r="N2" s="78" t="s">
        <v>8</v>
      </c>
      <c r="O2" s="78" t="s">
        <v>8</v>
      </c>
      <c r="P2" s="78" t="s">
        <v>8</v>
      </c>
      <c r="Q2" s="78" t="s">
        <v>8</v>
      </c>
      <c r="R2" s="78" t="s">
        <v>8</v>
      </c>
      <c r="S2" s="78" t="s">
        <v>8</v>
      </c>
      <c r="T2" s="78" t="s">
        <v>8</v>
      </c>
      <c r="U2" s="78" t="s">
        <v>8</v>
      </c>
      <c r="V2" s="78" t="s">
        <v>8</v>
      </c>
      <c r="W2" s="78" t="s">
        <v>8</v>
      </c>
      <c r="X2" s="78" t="s">
        <v>8</v>
      </c>
      <c r="Y2" s="78" t="s">
        <v>9</v>
      </c>
      <c r="Z2" s="78" t="s">
        <v>9</v>
      </c>
      <c r="AA2" s="78" t="s">
        <v>9</v>
      </c>
      <c r="AB2" s="78" t="s">
        <v>9</v>
      </c>
      <c r="AC2" s="78" t="s">
        <v>9</v>
      </c>
      <c r="AD2" s="78" t="s">
        <v>9</v>
      </c>
      <c r="AE2" s="78" t="s">
        <v>9</v>
      </c>
      <c r="AF2" s="78" t="s">
        <v>9</v>
      </c>
      <c r="AG2" s="78" t="s">
        <v>9</v>
      </c>
      <c r="AH2" s="78" t="s">
        <v>9</v>
      </c>
      <c r="AI2" s="78" t="s">
        <v>9</v>
      </c>
      <c r="AJ2" s="78" t="s">
        <v>9</v>
      </c>
      <c r="AK2" s="78" t="s">
        <v>10</v>
      </c>
      <c r="AL2" s="78" t="s">
        <v>10</v>
      </c>
      <c r="AM2" s="78" t="s">
        <v>10</v>
      </c>
      <c r="AN2" s="78" t="s">
        <v>10</v>
      </c>
      <c r="AO2" s="78" t="s">
        <v>10</v>
      </c>
      <c r="AP2" s="78" t="s">
        <v>10</v>
      </c>
      <c r="AQ2" s="78" t="s">
        <v>10</v>
      </c>
      <c r="AR2" s="78" t="s">
        <v>10</v>
      </c>
      <c r="AS2" s="78" t="s">
        <v>10</v>
      </c>
      <c r="AT2" s="78" t="s">
        <v>10</v>
      </c>
      <c r="AU2" s="78" t="s">
        <v>10</v>
      </c>
      <c r="AV2" s="78" t="s">
        <v>10</v>
      </c>
      <c r="AW2" s="78" t="s">
        <v>11</v>
      </c>
      <c r="AX2" s="78" t="s">
        <v>11</v>
      </c>
      <c r="AY2" s="78" t="s">
        <v>11</v>
      </c>
      <c r="AZ2" s="78" t="s">
        <v>11</v>
      </c>
      <c r="BA2" s="78" t="s">
        <v>11</v>
      </c>
      <c r="BB2" s="78" t="s">
        <v>11</v>
      </c>
      <c r="BC2" s="78" t="s">
        <v>11</v>
      </c>
      <c r="BD2" s="78" t="s">
        <v>11</v>
      </c>
      <c r="BE2" s="78" t="s">
        <v>11</v>
      </c>
      <c r="BF2" s="78" t="s">
        <v>11</v>
      </c>
      <c r="BG2" s="78" t="s">
        <v>11</v>
      </c>
      <c r="BH2" s="78" t="s">
        <v>11</v>
      </c>
      <c r="BI2" s="78" t="s">
        <v>12</v>
      </c>
      <c r="BJ2" s="78" t="s">
        <v>12</v>
      </c>
      <c r="BK2" s="78" t="s">
        <v>12</v>
      </c>
      <c r="BL2" s="78" t="s">
        <v>12</v>
      </c>
      <c r="BM2" s="78" t="s">
        <v>12</v>
      </c>
      <c r="BN2" s="78" t="s">
        <v>12</v>
      </c>
      <c r="BO2" s="78" t="s">
        <v>12</v>
      </c>
      <c r="BP2" s="78" t="s">
        <v>12</v>
      </c>
      <c r="BQ2" s="78" t="s">
        <v>12</v>
      </c>
      <c r="BR2" s="78" t="s">
        <v>12</v>
      </c>
      <c r="BS2" s="78" t="s">
        <v>12</v>
      </c>
      <c r="BT2" s="78" t="s">
        <v>12</v>
      </c>
    </row>
    <row r="3" spans="1:73" x14ac:dyDescent="0.3">
      <c r="B3" t="s">
        <v>272</v>
      </c>
      <c r="F3">
        <v>1.2</v>
      </c>
      <c r="G3">
        <v>1.5</v>
      </c>
      <c r="H3">
        <v>1.05</v>
      </c>
      <c r="I3" s="12"/>
      <c r="J3" s="12" t="s">
        <v>284</v>
      </c>
      <c r="M3" s="79" t="s">
        <v>14</v>
      </c>
      <c r="N3" s="79" t="s">
        <v>15</v>
      </c>
      <c r="O3" s="79" t="s">
        <v>16</v>
      </c>
      <c r="P3" s="79" t="s">
        <v>17</v>
      </c>
      <c r="Q3" s="79" t="s">
        <v>18</v>
      </c>
      <c r="R3" s="79" t="s">
        <v>19</v>
      </c>
      <c r="S3" s="79" t="s">
        <v>20</v>
      </c>
      <c r="T3" s="79" t="s">
        <v>21</v>
      </c>
      <c r="U3" s="79" t="s">
        <v>22</v>
      </c>
      <c r="V3" s="79" t="s">
        <v>23</v>
      </c>
      <c r="W3" s="79" t="s">
        <v>24</v>
      </c>
      <c r="X3" s="79" t="s">
        <v>25</v>
      </c>
      <c r="Y3" s="79" t="s">
        <v>14</v>
      </c>
      <c r="Z3" s="79" t="s">
        <v>15</v>
      </c>
      <c r="AA3" s="79" t="s">
        <v>16</v>
      </c>
      <c r="AB3" s="79" t="s">
        <v>17</v>
      </c>
      <c r="AC3" s="79" t="s">
        <v>18</v>
      </c>
      <c r="AD3" s="79" t="s">
        <v>19</v>
      </c>
      <c r="AE3" s="79" t="s">
        <v>20</v>
      </c>
      <c r="AF3" s="79" t="s">
        <v>21</v>
      </c>
      <c r="AG3" s="79" t="s">
        <v>22</v>
      </c>
      <c r="AH3" s="79" t="s">
        <v>23</v>
      </c>
      <c r="AI3" s="79" t="s">
        <v>24</v>
      </c>
      <c r="AJ3" s="79" t="s">
        <v>25</v>
      </c>
      <c r="AK3" s="79" t="s">
        <v>14</v>
      </c>
      <c r="AL3" s="79" t="s">
        <v>15</v>
      </c>
      <c r="AM3" s="79" t="s">
        <v>16</v>
      </c>
      <c r="AN3" s="79" t="s">
        <v>17</v>
      </c>
      <c r="AO3" s="79" t="s">
        <v>18</v>
      </c>
      <c r="AP3" s="79" t="s">
        <v>19</v>
      </c>
      <c r="AQ3" s="79" t="s">
        <v>20</v>
      </c>
      <c r="AR3" s="79" t="s">
        <v>21</v>
      </c>
      <c r="AS3" s="79" t="s">
        <v>22</v>
      </c>
      <c r="AT3" s="79" t="s">
        <v>23</v>
      </c>
      <c r="AU3" s="79" t="s">
        <v>24</v>
      </c>
      <c r="AV3" s="79" t="s">
        <v>25</v>
      </c>
      <c r="AW3" s="79" t="s">
        <v>14</v>
      </c>
      <c r="AX3" s="79" t="s">
        <v>15</v>
      </c>
      <c r="AY3" s="79" t="s">
        <v>16</v>
      </c>
      <c r="AZ3" s="79" t="s">
        <v>17</v>
      </c>
      <c r="BA3" s="79" t="s">
        <v>18</v>
      </c>
      <c r="BB3" s="79" t="s">
        <v>19</v>
      </c>
      <c r="BC3" s="79" t="s">
        <v>20</v>
      </c>
      <c r="BD3" s="79" t="s">
        <v>21</v>
      </c>
      <c r="BE3" s="79" t="s">
        <v>22</v>
      </c>
      <c r="BF3" s="79" t="s">
        <v>23</v>
      </c>
      <c r="BG3" s="79" t="s">
        <v>24</v>
      </c>
      <c r="BH3" s="79" t="s">
        <v>25</v>
      </c>
      <c r="BI3" s="79" t="s">
        <v>14</v>
      </c>
      <c r="BJ3" s="79" t="s">
        <v>15</v>
      </c>
      <c r="BK3" s="79" t="s">
        <v>16</v>
      </c>
      <c r="BL3" s="79" t="s">
        <v>17</v>
      </c>
      <c r="BM3" s="79" t="s">
        <v>18</v>
      </c>
      <c r="BN3" s="79" t="s">
        <v>19</v>
      </c>
      <c r="BO3" s="79" t="s">
        <v>20</v>
      </c>
      <c r="BP3" s="79" t="s">
        <v>21</v>
      </c>
      <c r="BQ3" s="79" t="s">
        <v>22</v>
      </c>
      <c r="BR3" s="79" t="s">
        <v>23</v>
      </c>
      <c r="BS3" s="79" t="s">
        <v>24</v>
      </c>
      <c r="BT3" s="79" t="s">
        <v>25</v>
      </c>
    </row>
    <row r="4" spans="1:73" x14ac:dyDescent="0.3">
      <c r="B4" t="s">
        <v>280</v>
      </c>
      <c r="C4">
        <v>4</v>
      </c>
      <c r="D4">
        <v>3.6</v>
      </c>
      <c r="E4">
        <v>2.8</v>
      </c>
      <c r="F4">
        <v>2</v>
      </c>
      <c r="G4">
        <v>1.2</v>
      </c>
      <c r="H4">
        <v>1.05</v>
      </c>
      <c r="J4" s="12"/>
      <c r="K4" t="s">
        <v>272</v>
      </c>
      <c r="M4" s="8">
        <f t="shared" ref="M4:M11" si="0">IF(M$3=$M$3,_xlfn.XLOOKUP(M$2,$C$2:$G$2,$C3:$G3)+L4,L4*$H3)</f>
        <v>0</v>
      </c>
      <c r="N4" s="8">
        <f t="shared" ref="N4:BT4" si="1">IF(N$3=$M$3,_xlfn.XLOOKUP(N$2,$C$2:$G$2,$C3:$G3)+M4,M4*$H3)</f>
        <v>0</v>
      </c>
      <c r="O4" s="8">
        <f t="shared" si="1"/>
        <v>0</v>
      </c>
      <c r="P4" s="8">
        <f t="shared" si="1"/>
        <v>0</v>
      </c>
      <c r="Q4" s="8">
        <f t="shared" si="1"/>
        <v>0</v>
      </c>
      <c r="R4" s="8">
        <f t="shared" si="1"/>
        <v>0</v>
      </c>
      <c r="S4" s="8">
        <f t="shared" si="1"/>
        <v>0</v>
      </c>
      <c r="T4" s="8">
        <f t="shared" si="1"/>
        <v>0</v>
      </c>
      <c r="U4" s="8">
        <f t="shared" si="1"/>
        <v>0</v>
      </c>
      <c r="V4" s="8">
        <f t="shared" si="1"/>
        <v>0</v>
      </c>
      <c r="W4" s="8">
        <f t="shared" si="1"/>
        <v>0</v>
      </c>
      <c r="X4" s="8">
        <f t="shared" si="1"/>
        <v>0</v>
      </c>
      <c r="Y4" s="8">
        <f t="shared" si="1"/>
        <v>0</v>
      </c>
      <c r="Z4" s="8">
        <f t="shared" si="1"/>
        <v>0</v>
      </c>
      <c r="AA4" s="8">
        <f t="shared" si="1"/>
        <v>0</v>
      </c>
      <c r="AB4" s="8">
        <f t="shared" si="1"/>
        <v>0</v>
      </c>
      <c r="AC4" s="8">
        <f t="shared" si="1"/>
        <v>0</v>
      </c>
      <c r="AD4" s="8">
        <f t="shared" si="1"/>
        <v>0</v>
      </c>
      <c r="AE4" s="8">
        <f t="shared" si="1"/>
        <v>0</v>
      </c>
      <c r="AF4" s="8">
        <f t="shared" si="1"/>
        <v>0</v>
      </c>
      <c r="AG4" s="8">
        <f t="shared" si="1"/>
        <v>0</v>
      </c>
      <c r="AH4" s="8">
        <f t="shared" si="1"/>
        <v>0</v>
      </c>
      <c r="AI4" s="8">
        <f t="shared" si="1"/>
        <v>0</v>
      </c>
      <c r="AJ4" s="8">
        <f t="shared" si="1"/>
        <v>0</v>
      </c>
      <c r="AK4" s="8">
        <f t="shared" si="1"/>
        <v>0</v>
      </c>
      <c r="AL4" s="8">
        <f t="shared" si="1"/>
        <v>0</v>
      </c>
      <c r="AM4" s="8">
        <f t="shared" si="1"/>
        <v>0</v>
      </c>
      <c r="AN4" s="8">
        <f t="shared" si="1"/>
        <v>0</v>
      </c>
      <c r="AO4" s="8">
        <f t="shared" si="1"/>
        <v>0</v>
      </c>
      <c r="AP4" s="8">
        <f t="shared" si="1"/>
        <v>0</v>
      </c>
      <c r="AQ4" s="8">
        <f t="shared" si="1"/>
        <v>0</v>
      </c>
      <c r="AR4" s="8">
        <f t="shared" si="1"/>
        <v>0</v>
      </c>
      <c r="AS4" s="8">
        <f t="shared" si="1"/>
        <v>0</v>
      </c>
      <c r="AT4" s="8">
        <f t="shared" si="1"/>
        <v>0</v>
      </c>
      <c r="AU4" s="8">
        <f t="shared" si="1"/>
        <v>0</v>
      </c>
      <c r="AV4" s="8">
        <f t="shared" si="1"/>
        <v>0</v>
      </c>
      <c r="AW4" s="8">
        <f t="shared" si="1"/>
        <v>1.2</v>
      </c>
      <c r="AX4" s="8">
        <f t="shared" si="1"/>
        <v>1.26</v>
      </c>
      <c r="AY4" s="8">
        <f t="shared" si="1"/>
        <v>1.3230000000000002</v>
      </c>
      <c r="AZ4" s="8">
        <f t="shared" si="1"/>
        <v>1.3891500000000003</v>
      </c>
      <c r="BA4" s="8">
        <f t="shared" si="1"/>
        <v>1.4586075000000005</v>
      </c>
      <c r="BB4" s="8">
        <f t="shared" si="1"/>
        <v>1.5315378750000006</v>
      </c>
      <c r="BC4" s="8">
        <f t="shared" si="1"/>
        <v>1.6081147687500008</v>
      </c>
      <c r="BD4" s="8">
        <f t="shared" si="1"/>
        <v>1.6885205071875009</v>
      </c>
      <c r="BE4" s="8">
        <f t="shared" si="1"/>
        <v>1.7729465325468761</v>
      </c>
      <c r="BF4" s="8">
        <f t="shared" si="1"/>
        <v>1.86159385917422</v>
      </c>
      <c r="BG4" s="8">
        <f t="shared" si="1"/>
        <v>1.954673552132931</v>
      </c>
      <c r="BH4" s="8">
        <f t="shared" si="1"/>
        <v>2.0524072297395777</v>
      </c>
      <c r="BI4" s="8">
        <f t="shared" si="1"/>
        <v>3.5524072297395777</v>
      </c>
      <c r="BJ4" s="8">
        <f t="shared" si="1"/>
        <v>3.7300275912265568</v>
      </c>
      <c r="BK4" s="8">
        <f t="shared" si="1"/>
        <v>3.9165289707878848</v>
      </c>
      <c r="BL4" s="8">
        <f t="shared" si="1"/>
        <v>4.1123554193272795</v>
      </c>
      <c r="BM4" s="8">
        <f t="shared" si="1"/>
        <v>4.3179731902936433</v>
      </c>
      <c r="BN4" s="8">
        <f t="shared" si="1"/>
        <v>4.5338718498083255</v>
      </c>
      <c r="BO4" s="8">
        <f t="shared" si="1"/>
        <v>4.7605654422987422</v>
      </c>
      <c r="BP4" s="8">
        <f t="shared" si="1"/>
        <v>4.9985937144136798</v>
      </c>
      <c r="BQ4" s="8">
        <f t="shared" si="1"/>
        <v>5.2485234001343644</v>
      </c>
      <c r="BR4" s="8">
        <f t="shared" si="1"/>
        <v>5.5109495701410829</v>
      </c>
      <c r="BS4" s="8">
        <f t="shared" si="1"/>
        <v>5.7864970486481369</v>
      </c>
      <c r="BT4" s="8">
        <f t="shared" si="1"/>
        <v>6.0758219010805439</v>
      </c>
    </row>
    <row r="5" spans="1:73" x14ac:dyDescent="0.3">
      <c r="B5" t="s">
        <v>187</v>
      </c>
      <c r="F5">
        <v>3</v>
      </c>
      <c r="G5">
        <v>3.2</v>
      </c>
      <c r="H5">
        <v>1.05</v>
      </c>
      <c r="I5" s="12"/>
      <c r="J5" s="12"/>
      <c r="K5" t="s">
        <v>280</v>
      </c>
      <c r="M5" s="8">
        <f t="shared" si="0"/>
        <v>4</v>
      </c>
      <c r="N5" s="8">
        <f t="shared" ref="N5:BT5" si="2">IF(N$3=$M$3,_xlfn.XLOOKUP(N$2,$C$2:$G$2,$C4:$G4)+M5,M5*$H4)</f>
        <v>4.2</v>
      </c>
      <c r="O5" s="8">
        <f t="shared" si="2"/>
        <v>4.41</v>
      </c>
      <c r="P5" s="8">
        <f t="shared" si="2"/>
        <v>4.6305000000000005</v>
      </c>
      <c r="Q5" s="8">
        <f t="shared" si="2"/>
        <v>4.8620250000000009</v>
      </c>
      <c r="R5" s="8">
        <f t="shared" si="2"/>
        <v>5.1051262500000014</v>
      </c>
      <c r="S5" s="8">
        <f t="shared" si="2"/>
        <v>5.3603825625000017</v>
      </c>
      <c r="T5" s="8">
        <f t="shared" si="2"/>
        <v>5.6284016906250018</v>
      </c>
      <c r="U5" s="8">
        <f t="shared" si="2"/>
        <v>5.9098217751562521</v>
      </c>
      <c r="V5" s="8">
        <f t="shared" si="2"/>
        <v>6.2053128639140649</v>
      </c>
      <c r="W5" s="8">
        <f t="shared" si="2"/>
        <v>6.515578507109768</v>
      </c>
      <c r="X5" s="8">
        <f t="shared" si="2"/>
        <v>6.8413574324652568</v>
      </c>
      <c r="Y5" s="8">
        <f t="shared" si="2"/>
        <v>10.441357432465256</v>
      </c>
      <c r="Z5" s="8">
        <f t="shared" si="2"/>
        <v>10.963425304088521</v>
      </c>
      <c r="AA5" s="8">
        <f t="shared" si="2"/>
        <v>11.511596569292948</v>
      </c>
      <c r="AB5" s="8">
        <f t="shared" si="2"/>
        <v>12.087176397757595</v>
      </c>
      <c r="AC5" s="8">
        <f t="shared" si="2"/>
        <v>12.691535217645475</v>
      </c>
      <c r="AD5" s="8">
        <f t="shared" si="2"/>
        <v>13.326111978527749</v>
      </c>
      <c r="AE5" s="8">
        <f t="shared" si="2"/>
        <v>13.992417577454138</v>
      </c>
      <c r="AF5" s="8">
        <f t="shared" si="2"/>
        <v>14.692038456326845</v>
      </c>
      <c r="AG5" s="8">
        <f t="shared" si="2"/>
        <v>15.426640379143187</v>
      </c>
      <c r="AH5" s="8">
        <f t="shared" si="2"/>
        <v>16.197972398100347</v>
      </c>
      <c r="AI5" s="8">
        <f t="shared" si="2"/>
        <v>17.007871018005364</v>
      </c>
      <c r="AJ5" s="8">
        <f t="shared" si="2"/>
        <v>17.858264568905632</v>
      </c>
      <c r="AK5" s="8">
        <f t="shared" si="2"/>
        <v>20.658264568905633</v>
      </c>
      <c r="AL5" s="8">
        <f t="shared" si="2"/>
        <v>21.691177797350914</v>
      </c>
      <c r="AM5" s="8">
        <f t="shared" si="2"/>
        <v>22.775736687218462</v>
      </c>
      <c r="AN5" s="8">
        <f t="shared" si="2"/>
        <v>23.914523521579387</v>
      </c>
      <c r="AO5" s="8">
        <f t="shared" si="2"/>
        <v>25.110249697658357</v>
      </c>
      <c r="AP5" s="8">
        <f t="shared" si="2"/>
        <v>26.365762182541275</v>
      </c>
      <c r="AQ5" s="8">
        <f t="shared" si="2"/>
        <v>27.684050291668338</v>
      </c>
      <c r="AR5" s="8">
        <f t="shared" si="2"/>
        <v>29.068252806251756</v>
      </c>
      <c r="AS5" s="8">
        <f t="shared" si="2"/>
        <v>30.521665446564345</v>
      </c>
      <c r="AT5" s="8">
        <f t="shared" si="2"/>
        <v>32.047748718892564</v>
      </c>
      <c r="AU5" s="8">
        <f t="shared" si="2"/>
        <v>33.650136154837192</v>
      </c>
      <c r="AV5" s="8">
        <f t="shared" si="2"/>
        <v>35.332642962579051</v>
      </c>
      <c r="AW5" s="8">
        <f t="shared" si="2"/>
        <v>37.332642962579051</v>
      </c>
      <c r="AX5" s="8">
        <f t="shared" si="2"/>
        <v>39.199275110708008</v>
      </c>
      <c r="AY5" s="8">
        <f t="shared" si="2"/>
        <v>41.159238866243413</v>
      </c>
      <c r="AZ5" s="8">
        <f t="shared" si="2"/>
        <v>43.217200809555585</v>
      </c>
      <c r="BA5" s="8">
        <f t="shared" si="2"/>
        <v>45.378060850033364</v>
      </c>
      <c r="BB5" s="8">
        <f t="shared" si="2"/>
        <v>47.646963892535034</v>
      </c>
      <c r="BC5" s="8">
        <f t="shared" si="2"/>
        <v>50.029312087161784</v>
      </c>
      <c r="BD5" s="8">
        <f t="shared" si="2"/>
        <v>52.530777691519873</v>
      </c>
      <c r="BE5" s="8">
        <f t="shared" si="2"/>
        <v>55.157316576095866</v>
      </c>
      <c r="BF5" s="8">
        <f t="shared" si="2"/>
        <v>57.915182404900662</v>
      </c>
      <c r="BG5" s="8">
        <f t="shared" si="2"/>
        <v>60.810941525145701</v>
      </c>
      <c r="BH5" s="8">
        <f t="shared" si="2"/>
        <v>63.851488601402991</v>
      </c>
      <c r="BI5" s="8">
        <f t="shared" si="2"/>
        <v>65.051488601402994</v>
      </c>
      <c r="BJ5" s="8">
        <f t="shared" si="2"/>
        <v>68.304063031473149</v>
      </c>
      <c r="BK5" s="8">
        <f t="shared" si="2"/>
        <v>71.719266183046813</v>
      </c>
      <c r="BL5" s="8">
        <f t="shared" si="2"/>
        <v>75.30522949219916</v>
      </c>
      <c r="BM5" s="8">
        <f t="shared" si="2"/>
        <v>79.070490966809118</v>
      </c>
      <c r="BN5" s="8">
        <f t="shared" si="2"/>
        <v>83.024015515149571</v>
      </c>
      <c r="BO5" s="8">
        <f t="shared" si="2"/>
        <v>87.175216290907059</v>
      </c>
      <c r="BP5" s="8">
        <f t="shared" si="2"/>
        <v>91.533977105452422</v>
      </c>
      <c r="BQ5" s="8">
        <f t="shared" si="2"/>
        <v>96.110675960725047</v>
      </c>
      <c r="BR5" s="8">
        <f t="shared" si="2"/>
        <v>100.9162097587613</v>
      </c>
      <c r="BS5" s="8">
        <f t="shared" si="2"/>
        <v>105.96202024669937</v>
      </c>
      <c r="BT5" s="8">
        <f t="shared" si="2"/>
        <v>111.26012125903434</v>
      </c>
    </row>
    <row r="6" spans="1:73" x14ac:dyDescent="0.3">
      <c r="B6" t="s">
        <v>281</v>
      </c>
      <c r="D6">
        <v>2</v>
      </c>
      <c r="E6">
        <v>2.6</v>
      </c>
      <c r="F6">
        <v>3</v>
      </c>
      <c r="G6">
        <v>3.2</v>
      </c>
      <c r="H6">
        <v>1.05</v>
      </c>
      <c r="I6" s="12"/>
      <c r="J6" s="12"/>
      <c r="K6" t="s">
        <v>187</v>
      </c>
      <c r="M6" s="8">
        <f t="shared" si="0"/>
        <v>0</v>
      </c>
      <c r="N6" s="8">
        <f t="shared" ref="N6:BT6" si="3">IF(N$3=$M$3,_xlfn.XLOOKUP(N$2,$C$2:$G$2,$C5:$G5)+M6,M6*$H5)</f>
        <v>0</v>
      </c>
      <c r="O6" s="8">
        <f t="shared" si="3"/>
        <v>0</v>
      </c>
      <c r="P6" s="8">
        <f t="shared" si="3"/>
        <v>0</v>
      </c>
      <c r="Q6" s="8">
        <f t="shared" si="3"/>
        <v>0</v>
      </c>
      <c r="R6" s="8">
        <f t="shared" si="3"/>
        <v>0</v>
      </c>
      <c r="S6" s="8">
        <f t="shared" si="3"/>
        <v>0</v>
      </c>
      <c r="T6" s="8">
        <f t="shared" si="3"/>
        <v>0</v>
      </c>
      <c r="U6" s="8">
        <f t="shared" si="3"/>
        <v>0</v>
      </c>
      <c r="V6" s="8">
        <f t="shared" si="3"/>
        <v>0</v>
      </c>
      <c r="W6" s="8">
        <f t="shared" si="3"/>
        <v>0</v>
      </c>
      <c r="X6" s="8">
        <f t="shared" si="3"/>
        <v>0</v>
      </c>
      <c r="Y6" s="8">
        <f t="shared" si="3"/>
        <v>0</v>
      </c>
      <c r="Z6" s="8">
        <f t="shared" si="3"/>
        <v>0</v>
      </c>
      <c r="AA6" s="8">
        <f t="shared" si="3"/>
        <v>0</v>
      </c>
      <c r="AB6" s="8">
        <f t="shared" si="3"/>
        <v>0</v>
      </c>
      <c r="AC6" s="8">
        <f t="shared" si="3"/>
        <v>0</v>
      </c>
      <c r="AD6" s="8">
        <f t="shared" si="3"/>
        <v>0</v>
      </c>
      <c r="AE6" s="8">
        <f t="shared" si="3"/>
        <v>0</v>
      </c>
      <c r="AF6" s="8">
        <f t="shared" si="3"/>
        <v>0</v>
      </c>
      <c r="AG6" s="8">
        <f t="shared" si="3"/>
        <v>0</v>
      </c>
      <c r="AH6" s="8">
        <f t="shared" si="3"/>
        <v>0</v>
      </c>
      <c r="AI6" s="8">
        <f t="shared" si="3"/>
        <v>0</v>
      </c>
      <c r="AJ6" s="8">
        <f t="shared" si="3"/>
        <v>0</v>
      </c>
      <c r="AK6" s="8">
        <f t="shared" si="3"/>
        <v>0</v>
      </c>
      <c r="AL6" s="8">
        <f t="shared" si="3"/>
        <v>0</v>
      </c>
      <c r="AM6" s="8">
        <f t="shared" si="3"/>
        <v>0</v>
      </c>
      <c r="AN6" s="8">
        <f t="shared" si="3"/>
        <v>0</v>
      </c>
      <c r="AO6" s="8">
        <f t="shared" si="3"/>
        <v>0</v>
      </c>
      <c r="AP6" s="8">
        <f t="shared" si="3"/>
        <v>0</v>
      </c>
      <c r="AQ6" s="8">
        <f t="shared" si="3"/>
        <v>0</v>
      </c>
      <c r="AR6" s="8">
        <f t="shared" si="3"/>
        <v>0</v>
      </c>
      <c r="AS6" s="8">
        <f t="shared" si="3"/>
        <v>0</v>
      </c>
      <c r="AT6" s="8">
        <f t="shared" si="3"/>
        <v>0</v>
      </c>
      <c r="AU6" s="8">
        <f t="shared" si="3"/>
        <v>0</v>
      </c>
      <c r="AV6" s="8">
        <f t="shared" si="3"/>
        <v>0</v>
      </c>
      <c r="AW6" s="8">
        <f t="shared" si="3"/>
        <v>3</v>
      </c>
      <c r="AX6" s="8">
        <f t="shared" si="3"/>
        <v>3.1500000000000004</v>
      </c>
      <c r="AY6" s="8">
        <f t="shared" si="3"/>
        <v>3.3075000000000006</v>
      </c>
      <c r="AZ6" s="8">
        <f t="shared" si="3"/>
        <v>3.4728750000000006</v>
      </c>
      <c r="BA6" s="8">
        <f t="shared" si="3"/>
        <v>3.6465187500000007</v>
      </c>
      <c r="BB6" s="8">
        <f t="shared" si="3"/>
        <v>3.8288446875000011</v>
      </c>
      <c r="BC6" s="8">
        <f t="shared" si="3"/>
        <v>4.0202869218750017</v>
      </c>
      <c r="BD6" s="8">
        <f t="shared" si="3"/>
        <v>4.2213012679687516</v>
      </c>
      <c r="BE6" s="8">
        <f t="shared" si="3"/>
        <v>4.4323663313671897</v>
      </c>
      <c r="BF6" s="8">
        <f t="shared" si="3"/>
        <v>4.6539846479355491</v>
      </c>
      <c r="BG6" s="8">
        <f t="shared" si="3"/>
        <v>4.8866838803323267</v>
      </c>
      <c r="BH6" s="8">
        <f t="shared" si="3"/>
        <v>5.1310180743489431</v>
      </c>
      <c r="BI6" s="8">
        <f t="shared" si="3"/>
        <v>8.3310180743489433</v>
      </c>
      <c r="BJ6" s="8">
        <f t="shared" si="3"/>
        <v>8.7475689780663917</v>
      </c>
      <c r="BK6" s="8">
        <f t="shared" si="3"/>
        <v>9.1849474269697122</v>
      </c>
      <c r="BL6" s="8">
        <f t="shared" si="3"/>
        <v>9.6441947983181979</v>
      </c>
      <c r="BM6" s="8">
        <f t="shared" si="3"/>
        <v>10.126404538234109</v>
      </c>
      <c r="BN6" s="8">
        <f t="shared" si="3"/>
        <v>10.632724765145815</v>
      </c>
      <c r="BO6" s="8">
        <f t="shared" si="3"/>
        <v>11.164361003403107</v>
      </c>
      <c r="BP6" s="8">
        <f t="shared" si="3"/>
        <v>11.722579053573263</v>
      </c>
      <c r="BQ6" s="8">
        <f t="shared" si="3"/>
        <v>12.308708006251926</v>
      </c>
      <c r="BR6" s="8">
        <f t="shared" si="3"/>
        <v>12.924143406564523</v>
      </c>
      <c r="BS6" s="8">
        <f t="shared" si="3"/>
        <v>13.57035057689275</v>
      </c>
      <c r="BT6" s="8">
        <f t="shared" si="3"/>
        <v>14.248868105737388</v>
      </c>
    </row>
    <row r="7" spans="1:73" x14ac:dyDescent="0.3">
      <c r="B7" t="s">
        <v>186</v>
      </c>
      <c r="G7">
        <v>4</v>
      </c>
      <c r="H7">
        <v>1.05</v>
      </c>
      <c r="I7" s="12"/>
      <c r="J7" s="12"/>
      <c r="K7" t="s">
        <v>281</v>
      </c>
      <c r="M7" s="8">
        <f t="shared" si="0"/>
        <v>0</v>
      </c>
      <c r="N7" s="8">
        <f t="shared" ref="N7:BT7" si="4">IF(N$3=$M$3,_xlfn.XLOOKUP(N$2,$C$2:$G$2,$C6:$G6)+M7,M7*$H6)</f>
        <v>0</v>
      </c>
      <c r="O7" s="8">
        <f t="shared" si="4"/>
        <v>0</v>
      </c>
      <c r="P7" s="8">
        <f t="shared" si="4"/>
        <v>0</v>
      </c>
      <c r="Q7" s="8">
        <f t="shared" si="4"/>
        <v>0</v>
      </c>
      <c r="R7" s="8">
        <f t="shared" si="4"/>
        <v>0</v>
      </c>
      <c r="S7" s="8">
        <f t="shared" si="4"/>
        <v>0</v>
      </c>
      <c r="T7" s="8">
        <f t="shared" si="4"/>
        <v>0</v>
      </c>
      <c r="U7" s="8">
        <f t="shared" si="4"/>
        <v>0</v>
      </c>
      <c r="V7" s="8">
        <f t="shared" si="4"/>
        <v>0</v>
      </c>
      <c r="W7" s="8">
        <f t="shared" si="4"/>
        <v>0</v>
      </c>
      <c r="X7" s="8">
        <f t="shared" si="4"/>
        <v>0</v>
      </c>
      <c r="Y7" s="8">
        <f t="shared" si="4"/>
        <v>2</v>
      </c>
      <c r="Z7" s="8">
        <f t="shared" si="4"/>
        <v>2.1</v>
      </c>
      <c r="AA7" s="8">
        <f t="shared" si="4"/>
        <v>2.2050000000000001</v>
      </c>
      <c r="AB7" s="8">
        <f t="shared" si="4"/>
        <v>2.3152500000000003</v>
      </c>
      <c r="AC7" s="8">
        <f t="shared" si="4"/>
        <v>2.4310125000000005</v>
      </c>
      <c r="AD7" s="8">
        <f t="shared" si="4"/>
        <v>2.5525631250000007</v>
      </c>
      <c r="AE7" s="8">
        <f t="shared" si="4"/>
        <v>2.6801912812500008</v>
      </c>
      <c r="AF7" s="8">
        <f t="shared" si="4"/>
        <v>2.8142008453125009</v>
      </c>
      <c r="AG7" s="8">
        <f t="shared" si="4"/>
        <v>2.954910887578126</v>
      </c>
      <c r="AH7" s="8">
        <f t="shared" si="4"/>
        <v>3.1026564319570324</v>
      </c>
      <c r="AI7" s="8">
        <f t="shared" si="4"/>
        <v>3.257789253554884</v>
      </c>
      <c r="AJ7" s="8">
        <f t="shared" si="4"/>
        <v>3.4206787162326284</v>
      </c>
      <c r="AK7" s="8">
        <f t="shared" si="4"/>
        <v>6.020678716232629</v>
      </c>
      <c r="AL7" s="8">
        <f t="shared" si="4"/>
        <v>6.321712652044261</v>
      </c>
      <c r="AM7" s="8">
        <f t="shared" si="4"/>
        <v>6.6377982846464745</v>
      </c>
      <c r="AN7" s="8">
        <f t="shared" si="4"/>
        <v>6.9696881988787984</v>
      </c>
      <c r="AO7" s="8">
        <f t="shared" si="4"/>
        <v>7.3181726088227386</v>
      </c>
      <c r="AP7" s="8">
        <f t="shared" si="4"/>
        <v>7.6840812392638762</v>
      </c>
      <c r="AQ7" s="8">
        <f t="shared" si="4"/>
        <v>8.0682853012270712</v>
      </c>
      <c r="AR7" s="8">
        <f t="shared" si="4"/>
        <v>8.4716995662884251</v>
      </c>
      <c r="AS7" s="8">
        <f t="shared" si="4"/>
        <v>8.8952845446028466</v>
      </c>
      <c r="AT7" s="8">
        <f t="shared" si="4"/>
        <v>9.3400487718329899</v>
      </c>
      <c r="AU7" s="8">
        <f t="shared" si="4"/>
        <v>9.807051210424639</v>
      </c>
      <c r="AV7" s="8">
        <f t="shared" si="4"/>
        <v>10.297403770945872</v>
      </c>
      <c r="AW7" s="8">
        <f t="shared" si="4"/>
        <v>13.297403770945872</v>
      </c>
      <c r="AX7" s="8">
        <f t="shared" si="4"/>
        <v>13.962273959493166</v>
      </c>
      <c r="AY7" s="8">
        <f t="shared" si="4"/>
        <v>14.660387657467824</v>
      </c>
      <c r="AZ7" s="8">
        <f t="shared" si="4"/>
        <v>15.393407040341216</v>
      </c>
      <c r="BA7" s="8">
        <f t="shared" si="4"/>
        <v>16.163077392358279</v>
      </c>
      <c r="BB7" s="8">
        <f t="shared" si="4"/>
        <v>16.971231261976193</v>
      </c>
      <c r="BC7" s="8">
        <f t="shared" si="4"/>
        <v>17.819792825075005</v>
      </c>
      <c r="BD7" s="8">
        <f t="shared" si="4"/>
        <v>18.710782466328755</v>
      </c>
      <c r="BE7" s="8">
        <f t="shared" si="4"/>
        <v>19.646321589645193</v>
      </c>
      <c r="BF7" s="8">
        <f t="shared" si="4"/>
        <v>20.628637669127453</v>
      </c>
      <c r="BG7" s="8">
        <f t="shared" si="4"/>
        <v>21.660069552583828</v>
      </c>
      <c r="BH7" s="8">
        <f t="shared" si="4"/>
        <v>22.743073030213019</v>
      </c>
      <c r="BI7" s="8">
        <f t="shared" si="4"/>
        <v>25.943073030213018</v>
      </c>
      <c r="BJ7" s="8">
        <f t="shared" si="4"/>
        <v>27.240226681723669</v>
      </c>
      <c r="BK7" s="8">
        <f t="shared" si="4"/>
        <v>28.602238015809853</v>
      </c>
      <c r="BL7" s="8">
        <f t="shared" si="4"/>
        <v>30.032349916600346</v>
      </c>
      <c r="BM7" s="8">
        <f t="shared" si="4"/>
        <v>31.533967412430364</v>
      </c>
      <c r="BN7" s="8">
        <f t="shared" si="4"/>
        <v>33.110665783051886</v>
      </c>
      <c r="BO7" s="8">
        <f t="shared" si="4"/>
        <v>34.766199072204479</v>
      </c>
      <c r="BP7" s="8">
        <f t="shared" si="4"/>
        <v>36.504509025814706</v>
      </c>
      <c r="BQ7" s="8">
        <f t="shared" si="4"/>
        <v>38.32973447710544</v>
      </c>
      <c r="BR7" s="8">
        <f t="shared" si="4"/>
        <v>40.246221200960711</v>
      </c>
      <c r="BS7" s="8">
        <f t="shared" si="4"/>
        <v>42.258532261008746</v>
      </c>
      <c r="BT7" s="8">
        <f t="shared" si="4"/>
        <v>44.371458874059186</v>
      </c>
    </row>
    <row r="8" spans="1:73" x14ac:dyDescent="0.3">
      <c r="B8" t="s">
        <v>281</v>
      </c>
      <c r="D8">
        <v>2</v>
      </c>
      <c r="E8">
        <v>2.6</v>
      </c>
      <c r="F8">
        <v>3</v>
      </c>
      <c r="G8">
        <v>3.2</v>
      </c>
      <c r="H8">
        <v>1.05</v>
      </c>
      <c r="K8" t="s">
        <v>186</v>
      </c>
      <c r="M8" s="8">
        <f t="shared" si="0"/>
        <v>0</v>
      </c>
      <c r="N8" s="8">
        <f t="shared" ref="N8:BT8" si="5">IF(N$3=$M$3,_xlfn.XLOOKUP(N$2,$C$2:$G$2,$C7:$G7)+M8,M8*$H7)</f>
        <v>0</v>
      </c>
      <c r="O8" s="8">
        <f t="shared" si="5"/>
        <v>0</v>
      </c>
      <c r="P8" s="8">
        <f t="shared" si="5"/>
        <v>0</v>
      </c>
      <c r="Q8" s="8">
        <f t="shared" si="5"/>
        <v>0</v>
      </c>
      <c r="R8" s="8">
        <f t="shared" si="5"/>
        <v>0</v>
      </c>
      <c r="S8" s="8">
        <f t="shared" si="5"/>
        <v>0</v>
      </c>
      <c r="T8" s="8">
        <f t="shared" si="5"/>
        <v>0</v>
      </c>
      <c r="U8" s="8">
        <f t="shared" si="5"/>
        <v>0</v>
      </c>
      <c r="V8" s="8">
        <f t="shared" si="5"/>
        <v>0</v>
      </c>
      <c r="W8" s="8">
        <f t="shared" si="5"/>
        <v>0</v>
      </c>
      <c r="X8" s="8">
        <f t="shared" si="5"/>
        <v>0</v>
      </c>
      <c r="Y8" s="8">
        <f t="shared" si="5"/>
        <v>0</v>
      </c>
      <c r="Z8" s="8">
        <f t="shared" si="5"/>
        <v>0</v>
      </c>
      <c r="AA8" s="8">
        <f t="shared" si="5"/>
        <v>0</v>
      </c>
      <c r="AB8" s="8">
        <f t="shared" si="5"/>
        <v>0</v>
      </c>
      <c r="AC8" s="8">
        <f t="shared" si="5"/>
        <v>0</v>
      </c>
      <c r="AD8" s="8">
        <f t="shared" si="5"/>
        <v>0</v>
      </c>
      <c r="AE8" s="8">
        <f t="shared" si="5"/>
        <v>0</v>
      </c>
      <c r="AF8" s="8">
        <f t="shared" si="5"/>
        <v>0</v>
      </c>
      <c r="AG8" s="8">
        <f t="shared" si="5"/>
        <v>0</v>
      </c>
      <c r="AH8" s="8">
        <f t="shared" si="5"/>
        <v>0</v>
      </c>
      <c r="AI8" s="8">
        <f t="shared" si="5"/>
        <v>0</v>
      </c>
      <c r="AJ8" s="8">
        <f t="shared" si="5"/>
        <v>0</v>
      </c>
      <c r="AK8" s="8">
        <f t="shared" si="5"/>
        <v>0</v>
      </c>
      <c r="AL8" s="8">
        <f t="shared" si="5"/>
        <v>0</v>
      </c>
      <c r="AM8" s="8">
        <f t="shared" si="5"/>
        <v>0</v>
      </c>
      <c r="AN8" s="8">
        <f t="shared" si="5"/>
        <v>0</v>
      </c>
      <c r="AO8" s="8">
        <f t="shared" si="5"/>
        <v>0</v>
      </c>
      <c r="AP8" s="8">
        <f t="shared" si="5"/>
        <v>0</v>
      </c>
      <c r="AQ8" s="8">
        <f t="shared" si="5"/>
        <v>0</v>
      </c>
      <c r="AR8" s="8">
        <f t="shared" si="5"/>
        <v>0</v>
      </c>
      <c r="AS8" s="8">
        <f t="shared" si="5"/>
        <v>0</v>
      </c>
      <c r="AT8" s="8">
        <f t="shared" si="5"/>
        <v>0</v>
      </c>
      <c r="AU8" s="8">
        <f t="shared" si="5"/>
        <v>0</v>
      </c>
      <c r="AV8" s="8">
        <f t="shared" si="5"/>
        <v>0</v>
      </c>
      <c r="AW8" s="8">
        <f t="shared" si="5"/>
        <v>0</v>
      </c>
      <c r="AX8" s="8">
        <f t="shared" si="5"/>
        <v>0</v>
      </c>
      <c r="AY8" s="8">
        <f t="shared" si="5"/>
        <v>0</v>
      </c>
      <c r="AZ8" s="8">
        <f t="shared" si="5"/>
        <v>0</v>
      </c>
      <c r="BA8" s="8">
        <f t="shared" si="5"/>
        <v>0</v>
      </c>
      <c r="BB8" s="8">
        <f t="shared" si="5"/>
        <v>0</v>
      </c>
      <c r="BC8" s="8">
        <f t="shared" si="5"/>
        <v>0</v>
      </c>
      <c r="BD8" s="8">
        <f t="shared" si="5"/>
        <v>0</v>
      </c>
      <c r="BE8" s="8">
        <f t="shared" si="5"/>
        <v>0</v>
      </c>
      <c r="BF8" s="8">
        <f t="shared" si="5"/>
        <v>0</v>
      </c>
      <c r="BG8" s="8">
        <f t="shared" si="5"/>
        <v>0</v>
      </c>
      <c r="BH8" s="8">
        <f t="shared" si="5"/>
        <v>0</v>
      </c>
      <c r="BI8" s="8">
        <f t="shared" si="5"/>
        <v>4</v>
      </c>
      <c r="BJ8" s="8">
        <f t="shared" si="5"/>
        <v>4.2</v>
      </c>
      <c r="BK8" s="8">
        <f t="shared" si="5"/>
        <v>4.41</v>
      </c>
      <c r="BL8" s="8">
        <f t="shared" si="5"/>
        <v>4.6305000000000005</v>
      </c>
      <c r="BM8" s="8">
        <f t="shared" si="5"/>
        <v>4.8620250000000009</v>
      </c>
      <c r="BN8" s="8">
        <f t="shared" si="5"/>
        <v>5.1051262500000014</v>
      </c>
      <c r="BO8" s="8">
        <f t="shared" si="5"/>
        <v>5.3603825625000017</v>
      </c>
      <c r="BP8" s="8">
        <f t="shared" si="5"/>
        <v>5.6284016906250018</v>
      </c>
      <c r="BQ8" s="8">
        <f t="shared" si="5"/>
        <v>5.9098217751562521</v>
      </c>
      <c r="BR8" s="8">
        <f t="shared" si="5"/>
        <v>6.2053128639140649</v>
      </c>
      <c r="BS8" s="8">
        <f t="shared" si="5"/>
        <v>6.515578507109768</v>
      </c>
      <c r="BT8" s="8">
        <f t="shared" si="5"/>
        <v>6.8413574324652568</v>
      </c>
    </row>
    <row r="9" spans="1:73" x14ac:dyDescent="0.3">
      <c r="B9" t="s">
        <v>181</v>
      </c>
      <c r="D9">
        <v>2</v>
      </c>
      <c r="E9">
        <v>2.2000000000000002</v>
      </c>
      <c r="F9">
        <v>2.4</v>
      </c>
      <c r="G9">
        <v>2.6</v>
      </c>
      <c r="H9">
        <v>1.05</v>
      </c>
      <c r="K9" t="s">
        <v>281</v>
      </c>
      <c r="M9" s="8">
        <f t="shared" si="0"/>
        <v>0</v>
      </c>
      <c r="N9" s="8">
        <f t="shared" ref="N9:BT9" si="6">IF(N$3=$M$3,_xlfn.XLOOKUP(N$2,$C$2:$G$2,$C8:$G8)+M9,M9*$H8)</f>
        <v>0</v>
      </c>
      <c r="O9" s="8">
        <f t="shared" si="6"/>
        <v>0</v>
      </c>
      <c r="P9" s="8">
        <f t="shared" si="6"/>
        <v>0</v>
      </c>
      <c r="Q9" s="8">
        <f t="shared" si="6"/>
        <v>0</v>
      </c>
      <c r="R9" s="8">
        <f t="shared" si="6"/>
        <v>0</v>
      </c>
      <c r="S9" s="8">
        <f t="shared" si="6"/>
        <v>0</v>
      </c>
      <c r="T9" s="8">
        <f t="shared" si="6"/>
        <v>0</v>
      </c>
      <c r="U9" s="8">
        <f t="shared" si="6"/>
        <v>0</v>
      </c>
      <c r="V9" s="8">
        <f t="shared" si="6"/>
        <v>0</v>
      </c>
      <c r="W9" s="8">
        <f t="shared" si="6"/>
        <v>0</v>
      </c>
      <c r="X9" s="8">
        <f t="shared" si="6"/>
        <v>0</v>
      </c>
      <c r="Y9" s="8">
        <f t="shared" si="6"/>
        <v>2</v>
      </c>
      <c r="Z9" s="8">
        <f t="shared" si="6"/>
        <v>2.1</v>
      </c>
      <c r="AA9" s="8">
        <f t="shared" si="6"/>
        <v>2.2050000000000001</v>
      </c>
      <c r="AB9" s="8">
        <f t="shared" si="6"/>
        <v>2.3152500000000003</v>
      </c>
      <c r="AC9" s="8">
        <f t="shared" si="6"/>
        <v>2.4310125000000005</v>
      </c>
      <c r="AD9" s="8">
        <f t="shared" si="6"/>
        <v>2.5525631250000007</v>
      </c>
      <c r="AE9" s="8">
        <f t="shared" si="6"/>
        <v>2.6801912812500008</v>
      </c>
      <c r="AF9" s="8">
        <f t="shared" si="6"/>
        <v>2.8142008453125009</v>
      </c>
      <c r="AG9" s="8">
        <f t="shared" si="6"/>
        <v>2.954910887578126</v>
      </c>
      <c r="AH9" s="8">
        <f t="shared" si="6"/>
        <v>3.1026564319570324</v>
      </c>
      <c r="AI9" s="8">
        <f t="shared" si="6"/>
        <v>3.257789253554884</v>
      </c>
      <c r="AJ9" s="8">
        <f t="shared" si="6"/>
        <v>3.4206787162326284</v>
      </c>
      <c r="AK9" s="8">
        <f t="shared" si="6"/>
        <v>6.020678716232629</v>
      </c>
      <c r="AL9" s="8">
        <f t="shared" si="6"/>
        <v>6.321712652044261</v>
      </c>
      <c r="AM9" s="8">
        <f t="shared" si="6"/>
        <v>6.6377982846464745</v>
      </c>
      <c r="AN9" s="8">
        <f t="shared" si="6"/>
        <v>6.9696881988787984</v>
      </c>
      <c r="AO9" s="8">
        <f t="shared" si="6"/>
        <v>7.3181726088227386</v>
      </c>
      <c r="AP9" s="8">
        <f t="shared" si="6"/>
        <v>7.6840812392638762</v>
      </c>
      <c r="AQ9" s="8">
        <f t="shared" si="6"/>
        <v>8.0682853012270712</v>
      </c>
      <c r="AR9" s="8">
        <f t="shared" si="6"/>
        <v>8.4716995662884251</v>
      </c>
      <c r="AS9" s="8">
        <f t="shared" si="6"/>
        <v>8.8952845446028466</v>
      </c>
      <c r="AT9" s="8">
        <f t="shared" si="6"/>
        <v>9.3400487718329899</v>
      </c>
      <c r="AU9" s="8">
        <f t="shared" si="6"/>
        <v>9.807051210424639</v>
      </c>
      <c r="AV9" s="8">
        <f t="shared" si="6"/>
        <v>10.297403770945872</v>
      </c>
      <c r="AW9" s="8">
        <f t="shared" si="6"/>
        <v>13.297403770945872</v>
      </c>
      <c r="AX9" s="8">
        <f t="shared" si="6"/>
        <v>13.962273959493166</v>
      </c>
      <c r="AY9" s="8">
        <f t="shared" si="6"/>
        <v>14.660387657467824</v>
      </c>
      <c r="AZ9" s="8">
        <f t="shared" si="6"/>
        <v>15.393407040341216</v>
      </c>
      <c r="BA9" s="8">
        <f t="shared" si="6"/>
        <v>16.163077392358279</v>
      </c>
      <c r="BB9" s="8">
        <f t="shared" si="6"/>
        <v>16.971231261976193</v>
      </c>
      <c r="BC9" s="8">
        <f t="shared" si="6"/>
        <v>17.819792825075005</v>
      </c>
      <c r="BD9" s="8">
        <f t="shared" si="6"/>
        <v>18.710782466328755</v>
      </c>
      <c r="BE9" s="8">
        <f t="shared" si="6"/>
        <v>19.646321589645193</v>
      </c>
      <c r="BF9" s="8">
        <f t="shared" si="6"/>
        <v>20.628637669127453</v>
      </c>
      <c r="BG9" s="8">
        <f t="shared" si="6"/>
        <v>21.660069552583828</v>
      </c>
      <c r="BH9" s="8">
        <f t="shared" si="6"/>
        <v>22.743073030213019</v>
      </c>
      <c r="BI9" s="8">
        <f t="shared" si="6"/>
        <v>25.943073030213018</v>
      </c>
      <c r="BJ9" s="8">
        <f t="shared" si="6"/>
        <v>27.240226681723669</v>
      </c>
      <c r="BK9" s="8">
        <f t="shared" si="6"/>
        <v>28.602238015809853</v>
      </c>
      <c r="BL9" s="8">
        <f t="shared" si="6"/>
        <v>30.032349916600346</v>
      </c>
      <c r="BM9" s="8">
        <f t="shared" si="6"/>
        <v>31.533967412430364</v>
      </c>
      <c r="BN9" s="8">
        <f t="shared" si="6"/>
        <v>33.110665783051886</v>
      </c>
      <c r="BO9" s="8">
        <f t="shared" si="6"/>
        <v>34.766199072204479</v>
      </c>
      <c r="BP9" s="8">
        <f t="shared" si="6"/>
        <v>36.504509025814706</v>
      </c>
      <c r="BQ9" s="8">
        <f t="shared" si="6"/>
        <v>38.32973447710544</v>
      </c>
      <c r="BR9" s="8">
        <f t="shared" si="6"/>
        <v>40.246221200960711</v>
      </c>
      <c r="BS9" s="8">
        <f t="shared" si="6"/>
        <v>42.258532261008746</v>
      </c>
      <c r="BT9" s="8">
        <f t="shared" si="6"/>
        <v>44.371458874059186</v>
      </c>
    </row>
    <row r="10" spans="1:73" x14ac:dyDescent="0.3">
      <c r="B10" t="s">
        <v>185</v>
      </c>
      <c r="F10">
        <v>4</v>
      </c>
      <c r="G10">
        <v>4.5</v>
      </c>
      <c r="H10">
        <v>1.05</v>
      </c>
      <c r="K10" t="s">
        <v>181</v>
      </c>
      <c r="M10" s="8">
        <f t="shared" si="0"/>
        <v>0</v>
      </c>
      <c r="N10" s="8">
        <f t="shared" ref="N10:BT10" si="7">IF(N$3=$M$3,_xlfn.XLOOKUP(N$2,$C$2:$G$2,$C9:$G9)+M10,M10*$H9)</f>
        <v>0</v>
      </c>
      <c r="O10" s="8">
        <f t="shared" si="7"/>
        <v>0</v>
      </c>
      <c r="P10" s="8">
        <f t="shared" si="7"/>
        <v>0</v>
      </c>
      <c r="Q10" s="8">
        <f t="shared" si="7"/>
        <v>0</v>
      </c>
      <c r="R10" s="8">
        <f t="shared" si="7"/>
        <v>0</v>
      </c>
      <c r="S10" s="8">
        <f t="shared" si="7"/>
        <v>0</v>
      </c>
      <c r="T10" s="8">
        <f t="shared" si="7"/>
        <v>0</v>
      </c>
      <c r="U10" s="8">
        <f t="shared" si="7"/>
        <v>0</v>
      </c>
      <c r="V10" s="8">
        <f t="shared" si="7"/>
        <v>0</v>
      </c>
      <c r="W10" s="8">
        <f t="shared" si="7"/>
        <v>0</v>
      </c>
      <c r="X10" s="8">
        <f t="shared" si="7"/>
        <v>0</v>
      </c>
      <c r="Y10" s="8">
        <f t="shared" si="7"/>
        <v>2</v>
      </c>
      <c r="Z10" s="8">
        <f t="shared" si="7"/>
        <v>2.1</v>
      </c>
      <c r="AA10" s="8">
        <f t="shared" si="7"/>
        <v>2.2050000000000001</v>
      </c>
      <c r="AB10" s="8">
        <f t="shared" si="7"/>
        <v>2.3152500000000003</v>
      </c>
      <c r="AC10" s="8">
        <f t="shared" si="7"/>
        <v>2.4310125000000005</v>
      </c>
      <c r="AD10" s="8">
        <f t="shared" si="7"/>
        <v>2.5525631250000007</v>
      </c>
      <c r="AE10" s="8">
        <f t="shared" si="7"/>
        <v>2.6801912812500008</v>
      </c>
      <c r="AF10" s="8">
        <f t="shared" si="7"/>
        <v>2.8142008453125009</v>
      </c>
      <c r="AG10" s="8">
        <f t="shared" si="7"/>
        <v>2.954910887578126</v>
      </c>
      <c r="AH10" s="8">
        <f t="shared" si="7"/>
        <v>3.1026564319570324</v>
      </c>
      <c r="AI10" s="8">
        <f t="shared" si="7"/>
        <v>3.257789253554884</v>
      </c>
      <c r="AJ10" s="8">
        <f t="shared" si="7"/>
        <v>3.4206787162326284</v>
      </c>
      <c r="AK10" s="8">
        <f t="shared" si="7"/>
        <v>5.6206787162326286</v>
      </c>
      <c r="AL10" s="8">
        <f t="shared" si="7"/>
        <v>5.9017126520442602</v>
      </c>
      <c r="AM10" s="8">
        <f t="shared" si="7"/>
        <v>6.1967982846464738</v>
      </c>
      <c r="AN10" s="8">
        <f t="shared" si="7"/>
        <v>6.5066381988787976</v>
      </c>
      <c r="AO10" s="8">
        <f t="shared" si="7"/>
        <v>6.8319701088227376</v>
      </c>
      <c r="AP10" s="8">
        <f t="shared" si="7"/>
        <v>7.1735686142638748</v>
      </c>
      <c r="AQ10" s="8">
        <f t="shared" si="7"/>
        <v>7.5322470449770691</v>
      </c>
      <c r="AR10" s="8">
        <f t="shared" si="7"/>
        <v>7.9088593972259229</v>
      </c>
      <c r="AS10" s="8">
        <f t="shared" si="7"/>
        <v>8.3043023670872191</v>
      </c>
      <c r="AT10" s="8">
        <f t="shared" si="7"/>
        <v>8.71951748544158</v>
      </c>
      <c r="AU10" s="8">
        <f t="shared" si="7"/>
        <v>9.1554933597136596</v>
      </c>
      <c r="AV10" s="8">
        <f t="shared" si="7"/>
        <v>9.613268027699343</v>
      </c>
      <c r="AW10" s="8">
        <f t="shared" si="7"/>
        <v>12.013268027699343</v>
      </c>
      <c r="AX10" s="8">
        <f t="shared" si="7"/>
        <v>12.61393142908431</v>
      </c>
      <c r="AY10" s="8">
        <f t="shared" si="7"/>
        <v>13.244628000538526</v>
      </c>
      <c r="AZ10" s="8">
        <f t="shared" si="7"/>
        <v>13.906859400565454</v>
      </c>
      <c r="BA10" s="8">
        <f t="shared" si="7"/>
        <v>14.602202370593726</v>
      </c>
      <c r="BB10" s="8">
        <f t="shared" si="7"/>
        <v>15.332312489123414</v>
      </c>
      <c r="BC10" s="8">
        <f t="shared" si="7"/>
        <v>16.098928113579586</v>
      </c>
      <c r="BD10" s="8">
        <f t="shared" si="7"/>
        <v>16.903874519258565</v>
      </c>
      <c r="BE10" s="8">
        <f t="shared" si="7"/>
        <v>17.749068245221494</v>
      </c>
      <c r="BF10" s="8">
        <f t="shared" si="7"/>
        <v>18.636521657482568</v>
      </c>
      <c r="BG10" s="8">
        <f t="shared" si="7"/>
        <v>19.568347740356696</v>
      </c>
      <c r="BH10" s="8">
        <f t="shared" si="7"/>
        <v>20.546765127374531</v>
      </c>
      <c r="BI10" s="8">
        <f t="shared" si="7"/>
        <v>23.146765127374533</v>
      </c>
      <c r="BJ10" s="8">
        <f t="shared" si="7"/>
        <v>24.304103383743261</v>
      </c>
      <c r="BK10" s="8">
        <f t="shared" si="7"/>
        <v>25.519308552930426</v>
      </c>
      <c r="BL10" s="8">
        <f t="shared" si="7"/>
        <v>26.795273980576948</v>
      </c>
      <c r="BM10" s="8">
        <f t="shared" si="7"/>
        <v>28.135037679605794</v>
      </c>
      <c r="BN10" s="8">
        <f t="shared" si="7"/>
        <v>29.541789563586086</v>
      </c>
      <c r="BO10" s="8">
        <f t="shared" si="7"/>
        <v>31.018879041765391</v>
      </c>
      <c r="BP10" s="8">
        <f t="shared" si="7"/>
        <v>32.569822993853663</v>
      </c>
      <c r="BQ10" s="8">
        <f t="shared" si="7"/>
        <v>34.198314143546348</v>
      </c>
      <c r="BR10" s="8">
        <f t="shared" si="7"/>
        <v>35.908229850723664</v>
      </c>
      <c r="BS10" s="8">
        <f t="shared" si="7"/>
        <v>37.703641343259847</v>
      </c>
      <c r="BT10" s="8">
        <f t="shared" si="7"/>
        <v>39.58882341042284</v>
      </c>
    </row>
    <row r="11" spans="1:73" x14ac:dyDescent="0.3">
      <c r="K11" t="s">
        <v>185</v>
      </c>
      <c r="M11" s="8">
        <f t="shared" si="0"/>
        <v>0</v>
      </c>
      <c r="N11" s="8">
        <f t="shared" ref="N11:BT11" si="8">IF(N$3=$M$3,_xlfn.XLOOKUP(N$2,$C$2:$G$2,$C10:$G10)+M11,M11*$H10)</f>
        <v>0</v>
      </c>
      <c r="O11" s="8">
        <f t="shared" si="8"/>
        <v>0</v>
      </c>
      <c r="P11" s="8">
        <f t="shared" si="8"/>
        <v>0</v>
      </c>
      <c r="Q11" s="8">
        <f t="shared" si="8"/>
        <v>0</v>
      </c>
      <c r="R11" s="8">
        <f t="shared" si="8"/>
        <v>0</v>
      </c>
      <c r="S11" s="8">
        <f t="shared" si="8"/>
        <v>0</v>
      </c>
      <c r="T11" s="8">
        <f t="shared" si="8"/>
        <v>0</v>
      </c>
      <c r="U11" s="8">
        <f t="shared" si="8"/>
        <v>0</v>
      </c>
      <c r="V11" s="8">
        <f t="shared" si="8"/>
        <v>0</v>
      </c>
      <c r="W11" s="8">
        <f t="shared" si="8"/>
        <v>0</v>
      </c>
      <c r="X11" s="8">
        <f t="shared" si="8"/>
        <v>0</v>
      </c>
      <c r="Y11" s="8">
        <f t="shared" si="8"/>
        <v>0</v>
      </c>
      <c r="Z11" s="8">
        <f t="shared" si="8"/>
        <v>0</v>
      </c>
      <c r="AA11" s="8">
        <f t="shared" si="8"/>
        <v>0</v>
      </c>
      <c r="AB11" s="8">
        <f t="shared" si="8"/>
        <v>0</v>
      </c>
      <c r="AC11" s="8">
        <f t="shared" si="8"/>
        <v>0</v>
      </c>
      <c r="AD11" s="8">
        <f t="shared" si="8"/>
        <v>0</v>
      </c>
      <c r="AE11" s="8">
        <f t="shared" si="8"/>
        <v>0</v>
      </c>
      <c r="AF11" s="8">
        <f t="shared" si="8"/>
        <v>0</v>
      </c>
      <c r="AG11" s="8">
        <f t="shared" si="8"/>
        <v>0</v>
      </c>
      <c r="AH11" s="8">
        <f t="shared" si="8"/>
        <v>0</v>
      </c>
      <c r="AI11" s="8">
        <f t="shared" si="8"/>
        <v>0</v>
      </c>
      <c r="AJ11" s="8">
        <f t="shared" si="8"/>
        <v>0</v>
      </c>
      <c r="AK11" s="8">
        <f t="shared" si="8"/>
        <v>0</v>
      </c>
      <c r="AL11" s="8">
        <f t="shared" si="8"/>
        <v>0</v>
      </c>
      <c r="AM11" s="8">
        <f t="shared" si="8"/>
        <v>0</v>
      </c>
      <c r="AN11" s="8">
        <f t="shared" si="8"/>
        <v>0</v>
      </c>
      <c r="AO11" s="8">
        <f t="shared" si="8"/>
        <v>0</v>
      </c>
      <c r="AP11" s="8">
        <f t="shared" si="8"/>
        <v>0</v>
      </c>
      <c r="AQ11" s="8">
        <f t="shared" si="8"/>
        <v>0</v>
      </c>
      <c r="AR11" s="8">
        <f t="shared" si="8"/>
        <v>0</v>
      </c>
      <c r="AS11" s="8">
        <f t="shared" si="8"/>
        <v>0</v>
      </c>
      <c r="AT11" s="8">
        <f t="shared" si="8"/>
        <v>0</v>
      </c>
      <c r="AU11" s="8">
        <f t="shared" si="8"/>
        <v>0</v>
      </c>
      <c r="AV11" s="8">
        <f t="shared" si="8"/>
        <v>0</v>
      </c>
      <c r="AW11" s="8">
        <f t="shared" si="8"/>
        <v>4</v>
      </c>
      <c r="AX11" s="8">
        <f t="shared" si="8"/>
        <v>4.2</v>
      </c>
      <c r="AY11" s="8">
        <f t="shared" si="8"/>
        <v>4.41</v>
      </c>
      <c r="AZ11" s="8">
        <f t="shared" si="8"/>
        <v>4.6305000000000005</v>
      </c>
      <c r="BA11" s="8">
        <f t="shared" si="8"/>
        <v>4.8620250000000009</v>
      </c>
      <c r="BB11" s="8">
        <f t="shared" si="8"/>
        <v>5.1051262500000014</v>
      </c>
      <c r="BC11" s="8">
        <f t="shared" si="8"/>
        <v>5.3603825625000017</v>
      </c>
      <c r="BD11" s="8">
        <f t="shared" si="8"/>
        <v>5.6284016906250018</v>
      </c>
      <c r="BE11" s="8">
        <f t="shared" si="8"/>
        <v>5.9098217751562521</v>
      </c>
      <c r="BF11" s="8">
        <f t="shared" si="8"/>
        <v>6.2053128639140649</v>
      </c>
      <c r="BG11" s="8">
        <f t="shared" si="8"/>
        <v>6.515578507109768</v>
      </c>
      <c r="BH11" s="8">
        <f t="shared" si="8"/>
        <v>6.8413574324652568</v>
      </c>
      <c r="BI11" s="8">
        <f t="shared" si="8"/>
        <v>11.341357432465257</v>
      </c>
      <c r="BJ11" s="8">
        <f t="shared" si="8"/>
        <v>11.908425304088521</v>
      </c>
      <c r="BK11" s="8">
        <f t="shared" si="8"/>
        <v>12.503846569292948</v>
      </c>
      <c r="BL11" s="8">
        <f t="shared" si="8"/>
        <v>13.129038897757596</v>
      </c>
      <c r="BM11" s="8">
        <f t="shared" si="8"/>
        <v>13.785490842645476</v>
      </c>
      <c r="BN11" s="8">
        <f t="shared" si="8"/>
        <v>14.474765384777751</v>
      </c>
      <c r="BO11" s="8">
        <f t="shared" si="8"/>
        <v>15.198503654016639</v>
      </c>
      <c r="BP11" s="8">
        <f t="shared" si="8"/>
        <v>15.958428836717472</v>
      </c>
      <c r="BQ11" s="8">
        <f t="shared" si="8"/>
        <v>16.756350278553345</v>
      </c>
      <c r="BR11" s="8">
        <f t="shared" si="8"/>
        <v>17.594167792481013</v>
      </c>
      <c r="BS11" s="8">
        <f t="shared" si="8"/>
        <v>18.473876182105066</v>
      </c>
      <c r="BT11" s="8">
        <f t="shared" si="8"/>
        <v>19.397569991210322</v>
      </c>
      <c r="BU11" s="8"/>
    </row>
    <row r="12" spans="1:73" x14ac:dyDescent="0.3">
      <c r="B12" t="s">
        <v>282</v>
      </c>
      <c r="C12" t="s">
        <v>176</v>
      </c>
      <c r="J12" t="s">
        <v>300</v>
      </c>
    </row>
    <row r="13" spans="1:73" x14ac:dyDescent="0.3">
      <c r="B13" t="s">
        <v>272</v>
      </c>
      <c r="C13">
        <f>'Sales &amp; Marketing'!D19</f>
        <v>4</v>
      </c>
      <c r="K13" t="s">
        <v>292</v>
      </c>
      <c r="M13" s="8">
        <f t="shared" ref="M13:AR13" si="9">SUM(M4:M11)</f>
        <v>4</v>
      </c>
      <c r="N13" s="8">
        <f t="shared" si="9"/>
        <v>4.2</v>
      </c>
      <c r="O13" s="8">
        <f t="shared" si="9"/>
        <v>4.41</v>
      </c>
      <c r="P13" s="8">
        <f t="shared" si="9"/>
        <v>4.6305000000000005</v>
      </c>
      <c r="Q13" s="8">
        <f t="shared" si="9"/>
        <v>4.8620250000000009</v>
      </c>
      <c r="R13" s="8">
        <f t="shared" si="9"/>
        <v>5.1051262500000014</v>
      </c>
      <c r="S13" s="8">
        <f t="shared" si="9"/>
        <v>5.3603825625000017</v>
      </c>
      <c r="T13" s="8">
        <f t="shared" si="9"/>
        <v>5.6284016906250018</v>
      </c>
      <c r="U13" s="8">
        <f t="shared" si="9"/>
        <v>5.9098217751562521</v>
      </c>
      <c r="V13" s="8">
        <f t="shared" si="9"/>
        <v>6.2053128639140649</v>
      </c>
      <c r="W13" s="8">
        <f t="shared" si="9"/>
        <v>6.515578507109768</v>
      </c>
      <c r="X13" s="8">
        <f t="shared" si="9"/>
        <v>6.8413574324652568</v>
      </c>
      <c r="Y13" s="8">
        <f t="shared" si="9"/>
        <v>16.441357432465256</v>
      </c>
      <c r="Z13" s="8">
        <f t="shared" si="9"/>
        <v>17.263425304088521</v>
      </c>
      <c r="AA13" s="8">
        <f t="shared" si="9"/>
        <v>18.12659656929295</v>
      </c>
      <c r="AB13" s="8">
        <f t="shared" si="9"/>
        <v>19.032926397757596</v>
      </c>
      <c r="AC13" s="8">
        <f t="shared" si="9"/>
        <v>19.984572717645477</v>
      </c>
      <c r="AD13" s="8">
        <f t="shared" si="9"/>
        <v>20.983801353527753</v>
      </c>
      <c r="AE13" s="8">
        <f t="shared" si="9"/>
        <v>22.032991421204137</v>
      </c>
      <c r="AF13" s="8">
        <f t="shared" si="9"/>
        <v>23.134640992264352</v>
      </c>
      <c r="AG13" s="8">
        <f t="shared" si="9"/>
        <v>24.291373041877566</v>
      </c>
      <c r="AH13" s="8">
        <f t="shared" si="9"/>
        <v>25.505941693971447</v>
      </c>
      <c r="AI13" s="8">
        <f t="shared" si="9"/>
        <v>26.781238778670012</v>
      </c>
      <c r="AJ13" s="8">
        <f t="shared" si="9"/>
        <v>28.12030071760352</v>
      </c>
      <c r="AK13" s="8">
        <f t="shared" si="9"/>
        <v>38.320300717603516</v>
      </c>
      <c r="AL13" s="8">
        <f t="shared" si="9"/>
        <v>40.236315753483694</v>
      </c>
      <c r="AM13" s="8">
        <f t="shared" si="9"/>
        <v>42.248131541157889</v>
      </c>
      <c r="AN13" s="8">
        <f t="shared" si="9"/>
        <v>44.360538118215779</v>
      </c>
      <c r="AO13" s="8">
        <f t="shared" si="9"/>
        <v>46.578565024126569</v>
      </c>
      <c r="AP13" s="8">
        <f t="shared" si="9"/>
        <v>48.907493275332897</v>
      </c>
      <c r="AQ13" s="8">
        <f t="shared" si="9"/>
        <v>51.352867939099546</v>
      </c>
      <c r="AR13" s="8">
        <f t="shared" si="9"/>
        <v>53.920511336054531</v>
      </c>
      <c r="AS13" s="8">
        <f t="shared" ref="AS13:BT13" si="10">SUM(AS4:AS11)</f>
        <v>56.616536902857256</v>
      </c>
      <c r="AT13" s="8">
        <f t="shared" si="10"/>
        <v>59.447363748000122</v>
      </c>
      <c r="AU13" s="8">
        <f t="shared" si="10"/>
        <v>62.419731935400129</v>
      </c>
      <c r="AV13" s="8">
        <f t="shared" si="10"/>
        <v>65.540718532170132</v>
      </c>
      <c r="AW13" s="8">
        <f t="shared" si="10"/>
        <v>84.140718532170141</v>
      </c>
      <c r="AX13" s="8">
        <f t="shared" si="10"/>
        <v>88.347754458778653</v>
      </c>
      <c r="AY13" s="8">
        <f t="shared" si="10"/>
        <v>92.765142181717579</v>
      </c>
      <c r="AZ13" s="8">
        <f t="shared" si="10"/>
        <v>97.403399290803478</v>
      </c>
      <c r="BA13" s="8">
        <f t="shared" si="10"/>
        <v>102.27356925534365</v>
      </c>
      <c r="BB13" s="8">
        <f t="shared" si="10"/>
        <v>107.38724771811083</v>
      </c>
      <c r="BC13" s="8">
        <f t="shared" si="10"/>
        <v>112.75661010401639</v>
      </c>
      <c r="BD13" s="8">
        <f t="shared" si="10"/>
        <v>118.39444060921718</v>
      </c>
      <c r="BE13" s="8">
        <f t="shared" si="10"/>
        <v>124.31416263967806</v>
      </c>
      <c r="BF13" s="8">
        <f t="shared" si="10"/>
        <v>130.52987077166196</v>
      </c>
      <c r="BG13" s="8">
        <f t="shared" si="10"/>
        <v>137.05636431024507</v>
      </c>
      <c r="BH13" s="8">
        <f t="shared" si="10"/>
        <v>143.90918252575733</v>
      </c>
      <c r="BI13" s="8">
        <f t="shared" si="10"/>
        <v>167.30918252575734</v>
      </c>
      <c r="BJ13" s="8">
        <f t="shared" si="10"/>
        <v>175.67464165204524</v>
      </c>
      <c r="BK13" s="8">
        <f t="shared" si="10"/>
        <v>184.45837373464749</v>
      </c>
      <c r="BL13" s="8">
        <f t="shared" si="10"/>
        <v>193.68129242137988</v>
      </c>
      <c r="BM13" s="8">
        <f t="shared" si="10"/>
        <v>203.36535704244889</v>
      </c>
      <c r="BN13" s="8">
        <f t="shared" si="10"/>
        <v>213.53362489457132</v>
      </c>
      <c r="BO13" s="8">
        <f t="shared" si="10"/>
        <v>224.21030613929989</v>
      </c>
      <c r="BP13" s="8">
        <f t="shared" si="10"/>
        <v>235.42082144626494</v>
      </c>
      <c r="BQ13" s="8">
        <f t="shared" si="10"/>
        <v>247.19186251857815</v>
      </c>
      <c r="BR13" s="8">
        <f t="shared" si="10"/>
        <v>259.55145564450709</v>
      </c>
      <c r="BS13" s="8">
        <f t="shared" si="10"/>
        <v>272.52902842673245</v>
      </c>
      <c r="BT13" s="8">
        <f t="shared" si="10"/>
        <v>286.15547984806909</v>
      </c>
    </row>
    <row r="14" spans="1:73" x14ac:dyDescent="0.3">
      <c r="B14" t="s">
        <v>280</v>
      </c>
      <c r="C14">
        <v>1</v>
      </c>
    </row>
    <row r="15" spans="1:73" x14ac:dyDescent="0.3">
      <c r="B15" t="s">
        <v>187</v>
      </c>
      <c r="C15">
        <f>'Sales &amp; Marketing'!D18</f>
        <v>4</v>
      </c>
      <c r="K15" t="s">
        <v>272</v>
      </c>
      <c r="M15" s="17" cm="1">
        <f t="array" ref="M15">_xlfn.XLOOKUP(M$2,_xlfn.ANCHORARRAY($C$21),$C$24:$G$24)*M4*$C$23</f>
        <v>0</v>
      </c>
      <c r="N15" s="17" cm="1">
        <f t="array" ref="N15">_xlfn.XLOOKUP(N$2,_xlfn.ANCHORARRAY($C$21),$C$24:$G$24)*N4*$C$23</f>
        <v>0</v>
      </c>
      <c r="O15" s="17" cm="1">
        <f t="array" ref="O15">_xlfn.XLOOKUP(O$2,_xlfn.ANCHORARRAY($C$21),$C$24:$G$24)*O4*$C$23</f>
        <v>0</v>
      </c>
      <c r="P15" s="17" cm="1">
        <f t="array" ref="P15">_xlfn.XLOOKUP(P$2,_xlfn.ANCHORARRAY($C$21),$C$24:$G$24)*P4*$C$23</f>
        <v>0</v>
      </c>
      <c r="Q15" s="17" cm="1">
        <f t="array" ref="Q15">_xlfn.XLOOKUP(Q$2,_xlfn.ANCHORARRAY($C$21),$C$24:$G$24)*Q4*$C$23</f>
        <v>0</v>
      </c>
      <c r="R15" s="17" cm="1">
        <f t="array" ref="R15">_xlfn.XLOOKUP(R$2,_xlfn.ANCHORARRAY($C$21),$C$24:$G$24)*R4*$C$23</f>
        <v>0</v>
      </c>
      <c r="S15" s="17" cm="1">
        <f t="array" ref="S15">_xlfn.XLOOKUP(S$2,_xlfn.ANCHORARRAY($C$21),$C$24:$G$24)*S4*$C$23</f>
        <v>0</v>
      </c>
      <c r="T15" s="17" cm="1">
        <f t="array" ref="T15">_xlfn.XLOOKUP(T$2,_xlfn.ANCHORARRAY($C$21),$C$24:$G$24)*T4*$C$23</f>
        <v>0</v>
      </c>
      <c r="U15" s="17" cm="1">
        <f t="array" ref="U15">_xlfn.XLOOKUP(U$2,_xlfn.ANCHORARRAY($C$21),$C$24:$G$24)*U4*$C$23</f>
        <v>0</v>
      </c>
      <c r="V15" s="17" cm="1">
        <f t="array" ref="V15">_xlfn.XLOOKUP(V$2,_xlfn.ANCHORARRAY($C$21),$C$24:$G$24)*V4*$C$23</f>
        <v>0</v>
      </c>
      <c r="W15" s="17" cm="1">
        <f t="array" ref="W15">_xlfn.XLOOKUP(W$2,_xlfn.ANCHORARRAY($C$21),$C$24:$G$24)*W4*$C$23</f>
        <v>0</v>
      </c>
      <c r="X15" s="17" cm="1">
        <f t="array" ref="X15">_xlfn.XLOOKUP(X$2,_xlfn.ANCHORARRAY($C$21),$C$24:$G$24)*X4*$C$23</f>
        <v>0</v>
      </c>
      <c r="Y15" s="17" cm="1">
        <f t="array" ref="Y15">_xlfn.XLOOKUP(Y$2,_xlfn.ANCHORARRAY($C$21),$C$24:$G$24)*Y4*$C$23</f>
        <v>0</v>
      </c>
      <c r="Z15" s="17" cm="1">
        <f t="array" ref="Z15">_xlfn.XLOOKUP(Z$2,_xlfn.ANCHORARRAY($C$21),$C$24:$G$24)*Z4*$C$23</f>
        <v>0</v>
      </c>
      <c r="AA15" s="17" cm="1">
        <f t="array" ref="AA15">_xlfn.XLOOKUP(AA$2,_xlfn.ANCHORARRAY($C$21),$C$24:$G$24)*AA4*$C$23</f>
        <v>0</v>
      </c>
      <c r="AB15" s="17" cm="1">
        <f t="array" ref="AB15">_xlfn.XLOOKUP(AB$2,_xlfn.ANCHORARRAY($C$21),$C$24:$G$24)*AB4*$C$23</f>
        <v>0</v>
      </c>
      <c r="AC15" s="17" cm="1">
        <f t="array" ref="AC15">_xlfn.XLOOKUP(AC$2,_xlfn.ANCHORARRAY($C$21),$C$24:$G$24)*AC4*$C$23</f>
        <v>0</v>
      </c>
      <c r="AD15" s="17" cm="1">
        <f t="array" ref="AD15">_xlfn.XLOOKUP(AD$2,_xlfn.ANCHORARRAY($C$21),$C$24:$G$24)*AD4*$C$23</f>
        <v>0</v>
      </c>
      <c r="AE15" s="17" cm="1">
        <f t="array" ref="AE15">_xlfn.XLOOKUP(AE$2,_xlfn.ANCHORARRAY($C$21),$C$24:$G$24)*AE4*$C$23</f>
        <v>0</v>
      </c>
      <c r="AF15" s="17" cm="1">
        <f t="array" ref="AF15">_xlfn.XLOOKUP(AF$2,_xlfn.ANCHORARRAY($C$21),$C$24:$G$24)*AF4*$C$23</f>
        <v>0</v>
      </c>
      <c r="AG15" s="17" cm="1">
        <f t="array" ref="AG15">_xlfn.XLOOKUP(AG$2,_xlfn.ANCHORARRAY($C$21),$C$24:$G$24)*AG4*$C$23</f>
        <v>0</v>
      </c>
      <c r="AH15" s="17" cm="1">
        <f t="array" ref="AH15">_xlfn.XLOOKUP(AH$2,_xlfn.ANCHORARRAY($C$21),$C$24:$G$24)*AH4*$C$23</f>
        <v>0</v>
      </c>
      <c r="AI15" s="17" cm="1">
        <f t="array" ref="AI15">_xlfn.XLOOKUP(AI$2,_xlfn.ANCHORARRAY($C$21),$C$24:$G$24)*AI4*$C$23</f>
        <v>0</v>
      </c>
      <c r="AJ15" s="17" cm="1">
        <f t="array" ref="AJ15">_xlfn.XLOOKUP(AJ$2,_xlfn.ANCHORARRAY($C$21),$C$24:$G$24)*AJ4*$C$23</f>
        <v>0</v>
      </c>
      <c r="AK15" s="17" cm="1">
        <f t="array" ref="AK15">_xlfn.XLOOKUP(AK$2,_xlfn.ANCHORARRAY($C$21),$C$24:$G$24)*AK4*$C$23</f>
        <v>0</v>
      </c>
      <c r="AL15" s="17" cm="1">
        <f t="array" ref="AL15">_xlfn.XLOOKUP(AL$2,_xlfn.ANCHORARRAY($C$21),$C$24:$G$24)*AL4*$C$23</f>
        <v>0</v>
      </c>
      <c r="AM15" s="17" cm="1">
        <f t="array" ref="AM15">_xlfn.XLOOKUP(AM$2,_xlfn.ANCHORARRAY($C$21),$C$24:$G$24)*AM4*$C$23</f>
        <v>0</v>
      </c>
      <c r="AN15" s="17" cm="1">
        <f t="array" ref="AN15">_xlfn.XLOOKUP(AN$2,_xlfn.ANCHORARRAY($C$21),$C$24:$G$24)*AN4*$C$23</f>
        <v>0</v>
      </c>
      <c r="AO15" s="17" cm="1">
        <f t="array" ref="AO15">_xlfn.XLOOKUP(AO$2,_xlfn.ANCHORARRAY($C$21),$C$24:$G$24)*AO4*$C$23</f>
        <v>0</v>
      </c>
      <c r="AP15" s="17" cm="1">
        <f t="array" ref="AP15">_xlfn.XLOOKUP(AP$2,_xlfn.ANCHORARRAY($C$21),$C$24:$G$24)*AP4*$C$23</f>
        <v>0</v>
      </c>
      <c r="AQ15" s="17" cm="1">
        <f t="array" ref="AQ15">_xlfn.XLOOKUP(AQ$2,_xlfn.ANCHORARRAY($C$21),$C$24:$G$24)*AQ4*$C$23</f>
        <v>0</v>
      </c>
      <c r="AR15" s="17" cm="1">
        <f t="array" ref="AR15">_xlfn.XLOOKUP(AR$2,_xlfn.ANCHORARRAY($C$21),$C$24:$G$24)*AR4*$C$23</f>
        <v>0</v>
      </c>
      <c r="AS15" s="17" cm="1">
        <f t="array" ref="AS15">_xlfn.XLOOKUP(AS$2,_xlfn.ANCHORARRAY($C$21),$C$24:$G$24)*AS4*$C$23</f>
        <v>0</v>
      </c>
      <c r="AT15" s="17" cm="1">
        <f t="array" ref="AT15">_xlfn.XLOOKUP(AT$2,_xlfn.ANCHORARRAY($C$21),$C$24:$G$24)*AT4*$C$23</f>
        <v>0</v>
      </c>
      <c r="AU15" s="17" cm="1">
        <f t="array" ref="AU15">_xlfn.XLOOKUP(AU$2,_xlfn.ANCHORARRAY($C$21),$C$24:$G$24)*AU4*$C$23</f>
        <v>0</v>
      </c>
      <c r="AV15" s="17" cm="1">
        <f t="array" ref="AV15">_xlfn.XLOOKUP(AV$2,_xlfn.ANCHORARRAY($C$21),$C$24:$G$24)*AV4*$C$23</f>
        <v>0</v>
      </c>
      <c r="AW15" s="17" cm="1">
        <f t="array" ref="AW15">_xlfn.XLOOKUP(AW$2,_xlfn.ANCHORARRAY($C$21),$C$24:$G$24)*AW4*$C$23</f>
        <v>134</v>
      </c>
      <c r="AX15" s="17" cm="1">
        <f t="array" ref="AX15">_xlfn.XLOOKUP(AX$2,_xlfn.ANCHORARRAY($C$21),$C$24:$G$24)*AX4*$C$23</f>
        <v>140.70000000000002</v>
      </c>
      <c r="AY15" s="17" cm="1">
        <f t="array" ref="AY15">_xlfn.XLOOKUP(AY$2,_xlfn.ANCHORARRAY($C$21),$C$24:$G$24)*AY4*$C$23</f>
        <v>147.73500000000004</v>
      </c>
      <c r="AZ15" s="17" cm="1">
        <f t="array" ref="AZ15">_xlfn.XLOOKUP(AZ$2,_xlfn.ANCHORARRAY($C$21),$C$24:$G$24)*AZ4*$C$23</f>
        <v>155.12175000000005</v>
      </c>
      <c r="BA15" s="17" cm="1">
        <f t="array" ref="BA15">_xlfn.XLOOKUP(BA$2,_xlfn.ANCHORARRAY($C$21),$C$24:$G$24)*BA4*$C$23</f>
        <v>162.87783750000008</v>
      </c>
      <c r="BB15" s="17" cm="1">
        <f t="array" ref="BB15">_xlfn.XLOOKUP(BB$2,_xlfn.ANCHORARRAY($C$21),$C$24:$G$24)*BB4*$C$23</f>
        <v>171.02172937500009</v>
      </c>
      <c r="BC15" s="17" cm="1">
        <f t="array" ref="BC15">_xlfn.XLOOKUP(BC$2,_xlfn.ANCHORARRAY($C$21),$C$24:$G$24)*BC4*$C$23</f>
        <v>179.57281584375011</v>
      </c>
      <c r="BD15" s="17" cm="1">
        <f t="array" ref="BD15">_xlfn.XLOOKUP(BD$2,_xlfn.ANCHORARRAY($C$21),$C$24:$G$24)*BD4*$C$23</f>
        <v>188.55145663593763</v>
      </c>
      <c r="BE15" s="17" cm="1">
        <f t="array" ref="BE15">_xlfn.XLOOKUP(BE$2,_xlfn.ANCHORARRAY($C$21),$C$24:$G$24)*BE4*$C$23</f>
        <v>197.97902946773453</v>
      </c>
      <c r="BF15" s="17" cm="1">
        <f t="array" ref="BF15">_xlfn.XLOOKUP(BF$2,_xlfn.ANCHORARRAY($C$21),$C$24:$G$24)*BF4*$C$23</f>
        <v>207.87798094112128</v>
      </c>
      <c r="BG15" s="17" cm="1">
        <f t="array" ref="BG15">_xlfn.XLOOKUP(BG$2,_xlfn.ANCHORARRAY($C$21),$C$24:$G$24)*BG4*$C$23</f>
        <v>218.27187998817732</v>
      </c>
      <c r="BH15" s="17" cm="1">
        <f t="array" ref="BH15">_xlfn.XLOOKUP(BH$2,_xlfn.ANCHORARRAY($C$21),$C$24:$G$24)*BH4*$C$23</f>
        <v>229.18547398758619</v>
      </c>
      <c r="BI15" s="17" cm="1">
        <f t="array" ref="BI15">_xlfn.XLOOKUP(BI$2,_xlfn.ANCHORARRAY($C$21),$C$24:$G$24)*BI4*$C$23</f>
        <v>449.97158243367988</v>
      </c>
      <c r="BJ15" s="17" cm="1">
        <f t="array" ref="BJ15">_xlfn.XLOOKUP(BJ$2,_xlfn.ANCHORARRAY($C$21),$C$24:$G$24)*BJ4*$C$23</f>
        <v>472.47016155536386</v>
      </c>
      <c r="BK15" s="17" cm="1">
        <f t="array" ref="BK15">_xlfn.XLOOKUP(BK$2,_xlfn.ANCHORARRAY($C$21),$C$24:$G$24)*BK4*$C$23</f>
        <v>496.09366963313215</v>
      </c>
      <c r="BL15" s="17" cm="1">
        <f t="array" ref="BL15">_xlfn.XLOOKUP(BL$2,_xlfn.ANCHORARRAY($C$21),$C$24:$G$24)*BL4*$C$23</f>
        <v>520.89835311478873</v>
      </c>
      <c r="BM15" s="17" cm="1">
        <f t="array" ref="BM15">_xlfn.XLOOKUP(BM$2,_xlfn.ANCHORARRAY($C$21),$C$24:$G$24)*BM4*$C$23</f>
        <v>546.94327077052822</v>
      </c>
      <c r="BN15" s="17" cm="1">
        <f t="array" ref="BN15">_xlfn.XLOOKUP(BN$2,_xlfn.ANCHORARRAY($C$21),$C$24:$G$24)*BN4*$C$23</f>
        <v>574.2904343090546</v>
      </c>
      <c r="BO15" s="17" cm="1">
        <f t="array" ref="BO15">_xlfn.XLOOKUP(BO$2,_xlfn.ANCHORARRAY($C$21),$C$24:$G$24)*BO4*$C$23</f>
        <v>603.00495602450735</v>
      </c>
      <c r="BP15" s="17" cm="1">
        <f t="array" ref="BP15">_xlfn.XLOOKUP(BP$2,_xlfn.ANCHORARRAY($C$21),$C$24:$G$24)*BP4*$C$23</f>
        <v>633.15520382573288</v>
      </c>
      <c r="BQ15" s="17" cm="1">
        <f t="array" ref="BQ15">_xlfn.XLOOKUP(BQ$2,_xlfn.ANCHORARRAY($C$21),$C$24:$G$24)*BQ4*$C$23</f>
        <v>664.81296401701957</v>
      </c>
      <c r="BR15" s="17" cm="1">
        <f t="array" ref="BR15">_xlfn.XLOOKUP(BR$2,_xlfn.ANCHORARRAY($C$21),$C$24:$G$24)*BR4*$C$23</f>
        <v>698.05361221787052</v>
      </c>
      <c r="BS15" s="17" cm="1">
        <f t="array" ref="BS15">_xlfn.XLOOKUP(BS$2,_xlfn.ANCHORARRAY($C$21),$C$24:$G$24)*BS4*$C$23</f>
        <v>732.95629282876416</v>
      </c>
      <c r="BT15" s="17" cm="1">
        <f t="array" ref="BT15">_xlfn.XLOOKUP(BT$2,_xlfn.ANCHORARRAY($C$21),$C$24:$G$24)*BT4*$C$23</f>
        <v>769.60410747020228</v>
      </c>
    </row>
    <row r="16" spans="1:73" x14ac:dyDescent="0.3">
      <c r="B16" t="s">
        <v>281</v>
      </c>
      <c r="C16">
        <v>2</v>
      </c>
      <c r="K16" t="s">
        <v>280</v>
      </c>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row>
    <row r="17" spans="2:72" x14ac:dyDescent="0.3">
      <c r="B17" t="s">
        <v>186</v>
      </c>
      <c r="C17">
        <v>5</v>
      </c>
      <c r="K17" t="s">
        <v>187</v>
      </c>
      <c r="M17" s="17" cm="1">
        <f t="array" ref="M17">_xlfn.XLOOKUP(M$2,_xlfn.ANCHORARRAY($C$21),$C$24:$G$24)*M6*$C$23</f>
        <v>0</v>
      </c>
      <c r="N17" s="17" cm="1">
        <f t="array" ref="N17">_xlfn.XLOOKUP(N$2,_xlfn.ANCHORARRAY($C$21),$C$24:$G$24)*N6*$C$23</f>
        <v>0</v>
      </c>
      <c r="O17" s="17" cm="1">
        <f t="array" ref="O17">_xlfn.XLOOKUP(O$2,_xlfn.ANCHORARRAY($C$21),$C$24:$G$24)*O6*$C$23</f>
        <v>0</v>
      </c>
      <c r="P17" s="17" cm="1">
        <f t="array" ref="P17">_xlfn.XLOOKUP(P$2,_xlfn.ANCHORARRAY($C$21),$C$24:$G$24)*P6*$C$23</f>
        <v>0</v>
      </c>
      <c r="Q17" s="17" cm="1">
        <f t="array" ref="Q17">_xlfn.XLOOKUP(Q$2,_xlfn.ANCHORARRAY($C$21),$C$24:$G$24)*Q6*$C$23</f>
        <v>0</v>
      </c>
      <c r="R17" s="17" cm="1">
        <f t="array" ref="R17">_xlfn.XLOOKUP(R$2,_xlfn.ANCHORARRAY($C$21),$C$24:$G$24)*R6*$C$23</f>
        <v>0</v>
      </c>
      <c r="S17" s="17" cm="1">
        <f t="array" ref="S17">_xlfn.XLOOKUP(S$2,_xlfn.ANCHORARRAY($C$21),$C$24:$G$24)*S6*$C$23</f>
        <v>0</v>
      </c>
      <c r="T17" s="17" cm="1">
        <f t="array" ref="T17">_xlfn.XLOOKUP(T$2,_xlfn.ANCHORARRAY($C$21),$C$24:$G$24)*T6*$C$23</f>
        <v>0</v>
      </c>
      <c r="U17" s="17" cm="1">
        <f t="array" ref="U17">_xlfn.XLOOKUP(U$2,_xlfn.ANCHORARRAY($C$21),$C$24:$G$24)*U6*$C$23</f>
        <v>0</v>
      </c>
      <c r="V17" s="17" cm="1">
        <f t="array" ref="V17">_xlfn.XLOOKUP(V$2,_xlfn.ANCHORARRAY($C$21),$C$24:$G$24)*V6*$C$23</f>
        <v>0</v>
      </c>
      <c r="W17" s="17" cm="1">
        <f t="array" ref="W17">_xlfn.XLOOKUP(W$2,_xlfn.ANCHORARRAY($C$21),$C$24:$G$24)*W6*$C$23</f>
        <v>0</v>
      </c>
      <c r="X17" s="17" cm="1">
        <f t="array" ref="X17">_xlfn.XLOOKUP(X$2,_xlfn.ANCHORARRAY($C$21),$C$24:$G$24)*X6*$C$23</f>
        <v>0</v>
      </c>
      <c r="Y17" s="17" cm="1">
        <f t="array" ref="Y17">_xlfn.XLOOKUP(Y$2,_xlfn.ANCHORARRAY($C$21),$C$24:$G$24)*Y6*$C$23</f>
        <v>0</v>
      </c>
      <c r="Z17" s="17" cm="1">
        <f t="array" ref="Z17">_xlfn.XLOOKUP(Z$2,_xlfn.ANCHORARRAY($C$21),$C$24:$G$24)*Z6*$C$23</f>
        <v>0</v>
      </c>
      <c r="AA17" s="17" cm="1">
        <f t="array" ref="AA17">_xlfn.XLOOKUP(AA$2,_xlfn.ANCHORARRAY($C$21),$C$24:$G$24)*AA6*$C$23</f>
        <v>0</v>
      </c>
      <c r="AB17" s="17" cm="1">
        <f t="array" ref="AB17">_xlfn.XLOOKUP(AB$2,_xlfn.ANCHORARRAY($C$21),$C$24:$G$24)*AB6*$C$23</f>
        <v>0</v>
      </c>
      <c r="AC17" s="17" cm="1">
        <f t="array" ref="AC17">_xlfn.XLOOKUP(AC$2,_xlfn.ANCHORARRAY($C$21),$C$24:$G$24)*AC6*$C$23</f>
        <v>0</v>
      </c>
      <c r="AD17" s="17" cm="1">
        <f t="array" ref="AD17">_xlfn.XLOOKUP(AD$2,_xlfn.ANCHORARRAY($C$21),$C$24:$G$24)*AD6*$C$23</f>
        <v>0</v>
      </c>
      <c r="AE17" s="17" cm="1">
        <f t="array" ref="AE17">_xlfn.XLOOKUP(AE$2,_xlfn.ANCHORARRAY($C$21),$C$24:$G$24)*AE6*$C$23</f>
        <v>0</v>
      </c>
      <c r="AF17" s="17" cm="1">
        <f t="array" ref="AF17">_xlfn.XLOOKUP(AF$2,_xlfn.ANCHORARRAY($C$21),$C$24:$G$24)*AF6*$C$23</f>
        <v>0</v>
      </c>
      <c r="AG17" s="17" cm="1">
        <f t="array" ref="AG17">_xlfn.XLOOKUP(AG$2,_xlfn.ANCHORARRAY($C$21),$C$24:$G$24)*AG6*$C$23</f>
        <v>0</v>
      </c>
      <c r="AH17" s="17" cm="1">
        <f t="array" ref="AH17">_xlfn.XLOOKUP(AH$2,_xlfn.ANCHORARRAY($C$21),$C$24:$G$24)*AH6*$C$23</f>
        <v>0</v>
      </c>
      <c r="AI17" s="17" cm="1">
        <f t="array" ref="AI17">_xlfn.XLOOKUP(AI$2,_xlfn.ANCHORARRAY($C$21),$C$24:$G$24)*AI6*$C$23</f>
        <v>0</v>
      </c>
      <c r="AJ17" s="17" cm="1">
        <f t="array" ref="AJ17">_xlfn.XLOOKUP(AJ$2,_xlfn.ANCHORARRAY($C$21),$C$24:$G$24)*AJ6*$C$23</f>
        <v>0</v>
      </c>
      <c r="AK17" s="17" cm="1">
        <f t="array" ref="AK17">_xlfn.XLOOKUP(AK$2,_xlfn.ANCHORARRAY($C$21),$C$24:$G$24)*AK6*$C$23</f>
        <v>0</v>
      </c>
      <c r="AL17" s="17" cm="1">
        <f t="array" ref="AL17">_xlfn.XLOOKUP(AL$2,_xlfn.ANCHORARRAY($C$21),$C$24:$G$24)*AL6*$C$23</f>
        <v>0</v>
      </c>
      <c r="AM17" s="17" cm="1">
        <f t="array" ref="AM17">_xlfn.XLOOKUP(AM$2,_xlfn.ANCHORARRAY($C$21),$C$24:$G$24)*AM6*$C$23</f>
        <v>0</v>
      </c>
      <c r="AN17" s="17" cm="1">
        <f t="array" ref="AN17">_xlfn.XLOOKUP(AN$2,_xlfn.ANCHORARRAY($C$21),$C$24:$G$24)*AN6*$C$23</f>
        <v>0</v>
      </c>
      <c r="AO17" s="17" cm="1">
        <f t="array" ref="AO17">_xlfn.XLOOKUP(AO$2,_xlfn.ANCHORARRAY($C$21),$C$24:$G$24)*AO6*$C$23</f>
        <v>0</v>
      </c>
      <c r="AP17" s="17" cm="1">
        <f t="array" ref="AP17">_xlfn.XLOOKUP(AP$2,_xlfn.ANCHORARRAY($C$21),$C$24:$G$24)*AP6*$C$23</f>
        <v>0</v>
      </c>
      <c r="AQ17" s="17" cm="1">
        <f t="array" ref="AQ17">_xlfn.XLOOKUP(AQ$2,_xlfn.ANCHORARRAY($C$21),$C$24:$G$24)*AQ6*$C$23</f>
        <v>0</v>
      </c>
      <c r="AR17" s="17" cm="1">
        <f t="array" ref="AR17">_xlfn.XLOOKUP(AR$2,_xlfn.ANCHORARRAY($C$21),$C$24:$G$24)*AR6*$C$23</f>
        <v>0</v>
      </c>
      <c r="AS17" s="17" cm="1">
        <f t="array" ref="AS17">_xlfn.XLOOKUP(AS$2,_xlfn.ANCHORARRAY($C$21),$C$24:$G$24)*AS6*$C$23</f>
        <v>0</v>
      </c>
      <c r="AT17" s="17" cm="1">
        <f t="array" ref="AT17">_xlfn.XLOOKUP(AT$2,_xlfn.ANCHORARRAY($C$21),$C$24:$G$24)*AT6*$C$23</f>
        <v>0</v>
      </c>
      <c r="AU17" s="17" cm="1">
        <f t="array" ref="AU17">_xlfn.XLOOKUP(AU$2,_xlfn.ANCHORARRAY($C$21),$C$24:$G$24)*AU6*$C$23</f>
        <v>0</v>
      </c>
      <c r="AV17" s="17" cm="1">
        <f t="array" ref="AV17">_xlfn.XLOOKUP(AV$2,_xlfn.ANCHORARRAY($C$21),$C$24:$G$24)*AV6*$C$23</f>
        <v>0</v>
      </c>
      <c r="AW17" s="17" cm="1">
        <f t="array" ref="AW17">_xlfn.XLOOKUP(AW$2,_xlfn.ANCHORARRAY($C$21),$C$24:$G$24)*AW6*$C$23</f>
        <v>335</v>
      </c>
      <c r="AX17" s="17" cm="1">
        <f t="array" ref="AX17">_xlfn.XLOOKUP(AX$2,_xlfn.ANCHORARRAY($C$21),$C$24:$G$24)*AX6*$C$23</f>
        <v>351.75000000000006</v>
      </c>
      <c r="AY17" s="17" cm="1">
        <f t="array" ref="AY17">_xlfn.XLOOKUP(AY$2,_xlfn.ANCHORARRAY($C$21),$C$24:$G$24)*AY6*$C$23</f>
        <v>369.33750000000009</v>
      </c>
      <c r="AZ17" s="17" cm="1">
        <f t="array" ref="AZ17">_xlfn.XLOOKUP(AZ$2,_xlfn.ANCHORARRAY($C$21),$C$24:$G$24)*AZ6*$C$23</f>
        <v>387.80437500000011</v>
      </c>
      <c r="BA17" s="17" cm="1">
        <f t="array" ref="BA17">_xlfn.XLOOKUP(BA$2,_xlfn.ANCHORARRAY($C$21),$C$24:$G$24)*BA6*$C$23</f>
        <v>407.19459375000014</v>
      </c>
      <c r="BB17" s="17" cm="1">
        <f t="array" ref="BB17">_xlfn.XLOOKUP(BB$2,_xlfn.ANCHORARRAY($C$21),$C$24:$G$24)*BB6*$C$23</f>
        <v>427.55432343750022</v>
      </c>
      <c r="BC17" s="17" cm="1">
        <f t="array" ref="BC17">_xlfn.XLOOKUP(BC$2,_xlfn.ANCHORARRAY($C$21),$C$24:$G$24)*BC6*$C$23</f>
        <v>448.93203960937529</v>
      </c>
      <c r="BD17" s="17" cm="1">
        <f t="array" ref="BD17">_xlfn.XLOOKUP(BD$2,_xlfn.ANCHORARRAY($C$21),$C$24:$G$24)*BD6*$C$23</f>
        <v>471.37864158984394</v>
      </c>
      <c r="BE17" s="17" cm="1">
        <f t="array" ref="BE17">_xlfn.XLOOKUP(BE$2,_xlfn.ANCHORARRAY($C$21),$C$24:$G$24)*BE6*$C$23</f>
        <v>494.94757366933618</v>
      </c>
      <c r="BF17" s="17" cm="1">
        <f t="array" ref="BF17">_xlfn.XLOOKUP(BF$2,_xlfn.ANCHORARRAY($C$21),$C$24:$G$24)*BF6*$C$23</f>
        <v>519.69495235280306</v>
      </c>
      <c r="BG17" s="17" cm="1">
        <f t="array" ref="BG17">_xlfn.XLOOKUP(BG$2,_xlfn.ANCHORARRAY($C$21),$C$24:$G$24)*BG6*$C$23</f>
        <v>545.67969997044327</v>
      </c>
      <c r="BH17" s="17" cm="1">
        <f t="array" ref="BH17">_xlfn.XLOOKUP(BH$2,_xlfn.ANCHORARRAY($C$21),$C$24:$G$24)*BH6*$C$23</f>
        <v>572.96368496896537</v>
      </c>
      <c r="BI17" s="17" cm="1">
        <f t="array" ref="BI17">_xlfn.XLOOKUP(BI$2,_xlfn.ANCHORARRAY($C$21),$C$24:$G$24)*BI6*$C$23</f>
        <v>1055.2622894175329</v>
      </c>
      <c r="BJ17" s="17" cm="1">
        <f t="array" ref="BJ17">_xlfn.XLOOKUP(BJ$2,_xlfn.ANCHORARRAY($C$21),$C$24:$G$24)*BJ6*$C$23</f>
        <v>1108.0254038884098</v>
      </c>
      <c r="BK17" s="17" cm="1">
        <f t="array" ref="BK17">_xlfn.XLOOKUP(BK$2,_xlfn.ANCHORARRAY($C$21),$C$24:$G$24)*BK6*$C$23</f>
        <v>1163.4266740828305</v>
      </c>
      <c r="BL17" s="17" cm="1">
        <f t="array" ref="BL17">_xlfn.XLOOKUP(BL$2,_xlfn.ANCHORARRAY($C$21),$C$24:$G$24)*BL6*$C$23</f>
        <v>1221.5980077869717</v>
      </c>
      <c r="BM17" s="17" cm="1">
        <f t="array" ref="BM17">_xlfn.XLOOKUP(BM$2,_xlfn.ANCHORARRAY($C$21),$C$24:$G$24)*BM6*$C$23</f>
        <v>1282.6779081763207</v>
      </c>
      <c r="BN17" s="17" cm="1">
        <f t="array" ref="BN17">_xlfn.XLOOKUP(BN$2,_xlfn.ANCHORARRAY($C$21),$C$24:$G$24)*BN6*$C$23</f>
        <v>1346.8118035851367</v>
      </c>
      <c r="BO17" s="17" cm="1">
        <f t="array" ref="BO17">_xlfn.XLOOKUP(BO$2,_xlfn.ANCHORARRAY($C$21),$C$24:$G$24)*BO6*$C$23</f>
        <v>1414.1523937643938</v>
      </c>
      <c r="BP17" s="17" cm="1">
        <f t="array" ref="BP17">_xlfn.XLOOKUP(BP$2,_xlfn.ANCHORARRAY($C$21),$C$24:$G$24)*BP6*$C$23</f>
        <v>1484.8600134526134</v>
      </c>
      <c r="BQ17" s="17" cm="1">
        <f t="array" ref="BQ17">_xlfn.XLOOKUP(BQ$2,_xlfn.ANCHORARRAY($C$21),$C$24:$G$24)*BQ6*$C$23</f>
        <v>1559.103014125244</v>
      </c>
      <c r="BR17" s="17" cm="1">
        <f t="array" ref="BR17">_xlfn.XLOOKUP(BR$2,_xlfn.ANCHORARRAY($C$21),$C$24:$G$24)*BR6*$C$23</f>
        <v>1637.0581648315065</v>
      </c>
      <c r="BS17" s="17" cm="1">
        <f t="array" ref="BS17">_xlfn.XLOOKUP(BS$2,_xlfn.ANCHORARRAY($C$21),$C$24:$G$24)*BS6*$C$23</f>
        <v>1718.911073073082</v>
      </c>
      <c r="BT17" s="17" cm="1">
        <f t="array" ref="BT17">_xlfn.XLOOKUP(BT$2,_xlfn.ANCHORARRAY($C$21),$C$24:$G$24)*BT6*$C$23</f>
        <v>1804.8566267267361</v>
      </c>
    </row>
    <row r="18" spans="2:72" x14ac:dyDescent="0.3">
      <c r="B18" t="s">
        <v>281</v>
      </c>
      <c r="C18">
        <f>'Sales &amp; Marketing'!D14</f>
        <v>2</v>
      </c>
      <c r="K18" t="s">
        <v>281</v>
      </c>
      <c r="M18" s="17" cm="1">
        <f t="array" ref="M18">_xlfn.XLOOKUP(M$2,_xlfn.ANCHORARRAY($C$21),$C$24:$G$24)*M7*$C$23</f>
        <v>0</v>
      </c>
      <c r="N18" s="17" cm="1">
        <f t="array" ref="N18">_xlfn.XLOOKUP(N$2,_xlfn.ANCHORARRAY($C$21),$C$24:$G$24)*N7*$C$23</f>
        <v>0</v>
      </c>
      <c r="O18" s="17" cm="1">
        <f t="array" ref="O18">_xlfn.XLOOKUP(O$2,_xlfn.ANCHORARRAY($C$21),$C$24:$G$24)*O7*$C$23</f>
        <v>0</v>
      </c>
      <c r="P18" s="17" cm="1">
        <f t="array" ref="P18">_xlfn.XLOOKUP(P$2,_xlfn.ANCHORARRAY($C$21),$C$24:$G$24)*P7*$C$23</f>
        <v>0</v>
      </c>
      <c r="Q18" s="17" cm="1">
        <f t="array" ref="Q18">_xlfn.XLOOKUP(Q$2,_xlfn.ANCHORARRAY($C$21),$C$24:$G$24)*Q7*$C$23</f>
        <v>0</v>
      </c>
      <c r="R18" s="17" cm="1">
        <f t="array" ref="R18">_xlfn.XLOOKUP(R$2,_xlfn.ANCHORARRAY($C$21),$C$24:$G$24)*R7*$C$23</f>
        <v>0</v>
      </c>
      <c r="S18" s="17" cm="1">
        <f t="array" ref="S18">_xlfn.XLOOKUP(S$2,_xlfn.ANCHORARRAY($C$21),$C$24:$G$24)*S7*$C$23</f>
        <v>0</v>
      </c>
      <c r="T18" s="17" cm="1">
        <f t="array" ref="T18">_xlfn.XLOOKUP(T$2,_xlfn.ANCHORARRAY($C$21),$C$24:$G$24)*T7*$C$23</f>
        <v>0</v>
      </c>
      <c r="U18" s="17" cm="1">
        <f t="array" ref="U18">_xlfn.XLOOKUP(U$2,_xlfn.ANCHORARRAY($C$21),$C$24:$G$24)*U7*$C$23</f>
        <v>0</v>
      </c>
      <c r="V18" s="17" cm="1">
        <f t="array" ref="V18">_xlfn.XLOOKUP(V$2,_xlfn.ANCHORARRAY($C$21),$C$24:$G$24)*V7*$C$23</f>
        <v>0</v>
      </c>
      <c r="W18" s="17" cm="1">
        <f t="array" ref="W18">_xlfn.XLOOKUP(W$2,_xlfn.ANCHORARRAY($C$21),$C$24:$G$24)*W7*$C$23</f>
        <v>0</v>
      </c>
      <c r="X18" s="17" cm="1">
        <f t="array" ref="X18">_xlfn.XLOOKUP(X$2,_xlfn.ANCHORARRAY($C$21),$C$24:$G$24)*X7*$C$23</f>
        <v>0</v>
      </c>
      <c r="Y18" s="17" cm="1">
        <f t="array" ref="Y18">_xlfn.XLOOKUP(Y$2,_xlfn.ANCHORARRAY($C$21),$C$24:$G$24)*Y7*$C$23</f>
        <v>175</v>
      </c>
      <c r="Z18" s="17" cm="1">
        <f t="array" ref="Z18">_xlfn.XLOOKUP(Z$2,_xlfn.ANCHORARRAY($C$21),$C$24:$G$24)*Z7*$C$23</f>
        <v>183.75</v>
      </c>
      <c r="AA18" s="17" cm="1">
        <f t="array" ref="AA18">_xlfn.XLOOKUP(AA$2,_xlfn.ANCHORARRAY($C$21),$C$24:$G$24)*AA7*$C$23</f>
        <v>192.9375</v>
      </c>
      <c r="AB18" s="17" cm="1">
        <f t="array" ref="AB18">_xlfn.XLOOKUP(AB$2,_xlfn.ANCHORARRAY($C$21),$C$24:$G$24)*AB7*$C$23</f>
        <v>202.58437500000002</v>
      </c>
      <c r="AC18" s="17" cm="1">
        <f t="array" ref="AC18">_xlfn.XLOOKUP(AC$2,_xlfn.ANCHORARRAY($C$21),$C$24:$G$24)*AC7*$C$23</f>
        <v>212.71359375000003</v>
      </c>
      <c r="AD18" s="17" cm="1">
        <f t="array" ref="AD18">_xlfn.XLOOKUP(AD$2,_xlfn.ANCHORARRAY($C$21),$C$24:$G$24)*AD7*$C$23</f>
        <v>223.34927343750007</v>
      </c>
      <c r="AE18" s="17" cm="1">
        <f t="array" ref="AE18">_xlfn.XLOOKUP(AE$2,_xlfn.ANCHORARRAY($C$21),$C$24:$G$24)*AE7*$C$23</f>
        <v>234.51673710937507</v>
      </c>
      <c r="AF18" s="17" cm="1">
        <f t="array" ref="AF18">_xlfn.XLOOKUP(AF$2,_xlfn.ANCHORARRAY($C$21),$C$24:$G$24)*AF7*$C$23</f>
        <v>246.24257396484381</v>
      </c>
      <c r="AG18" s="17" cm="1">
        <f t="array" ref="AG18">_xlfn.XLOOKUP(AG$2,_xlfn.ANCHORARRAY($C$21),$C$24:$G$24)*AG7*$C$23</f>
        <v>258.55470266308606</v>
      </c>
      <c r="AH18" s="17" cm="1">
        <f t="array" ref="AH18">_xlfn.XLOOKUP(AH$2,_xlfn.ANCHORARRAY($C$21),$C$24:$G$24)*AH7*$C$23</f>
        <v>271.48243779624039</v>
      </c>
      <c r="AI18" s="17" cm="1">
        <f t="array" ref="AI18">_xlfn.XLOOKUP(AI$2,_xlfn.ANCHORARRAY($C$21),$C$24:$G$24)*AI7*$C$23</f>
        <v>285.05655968605237</v>
      </c>
      <c r="AJ18" s="17" cm="1">
        <f t="array" ref="AJ18">_xlfn.XLOOKUP(AJ$2,_xlfn.ANCHORARRAY($C$21),$C$24:$G$24)*AJ7*$C$23</f>
        <v>299.30938767035502</v>
      </c>
      <c r="AK18" s="17" cm="1">
        <f t="array" ref="AK18">_xlfn.XLOOKUP(AK$2,_xlfn.ANCHORARRAY($C$21),$C$24:$G$24)*AK7*$C$23</f>
        <v>618.12301486654997</v>
      </c>
      <c r="AL18" s="17" cm="1">
        <f t="array" ref="AL18">_xlfn.XLOOKUP(AL$2,_xlfn.ANCHORARRAY($C$21),$C$24:$G$24)*AL7*$C$23</f>
        <v>649.02916560987751</v>
      </c>
      <c r="AM18" s="17" cm="1">
        <f t="array" ref="AM18">_xlfn.XLOOKUP(AM$2,_xlfn.ANCHORARRAY($C$21),$C$24:$G$24)*AM7*$C$23</f>
        <v>681.48062389037148</v>
      </c>
      <c r="AN18" s="17" cm="1">
        <f t="array" ref="AN18">_xlfn.XLOOKUP(AN$2,_xlfn.ANCHORARRAY($C$21),$C$24:$G$24)*AN7*$C$23</f>
        <v>715.5546550848901</v>
      </c>
      <c r="AO18" s="17" cm="1">
        <f t="array" ref="AO18">_xlfn.XLOOKUP(AO$2,_xlfn.ANCHORARRAY($C$21),$C$24:$G$24)*AO7*$C$23</f>
        <v>751.33238783913464</v>
      </c>
      <c r="AP18" s="17" cm="1">
        <f t="array" ref="AP18">_xlfn.XLOOKUP(AP$2,_xlfn.ANCHORARRAY($C$21),$C$24:$G$24)*AP7*$C$23</f>
        <v>788.89900723109133</v>
      </c>
      <c r="AQ18" s="17" cm="1">
        <f t="array" ref="AQ18">_xlfn.XLOOKUP(AQ$2,_xlfn.ANCHORARRAY($C$21),$C$24:$G$24)*AQ7*$C$23</f>
        <v>828.34395759264612</v>
      </c>
      <c r="AR18" s="17" cm="1">
        <f t="array" ref="AR18">_xlfn.XLOOKUP(AR$2,_xlfn.ANCHORARRAY($C$21),$C$24:$G$24)*AR7*$C$23</f>
        <v>869.76115547227846</v>
      </c>
      <c r="AS18" s="17" cm="1">
        <f t="array" ref="AS18">_xlfn.XLOOKUP(AS$2,_xlfn.ANCHORARRAY($C$21),$C$24:$G$24)*AS7*$C$23</f>
        <v>913.24921324589241</v>
      </c>
      <c r="AT18" s="17" cm="1">
        <f t="array" ref="AT18">_xlfn.XLOOKUP(AT$2,_xlfn.ANCHORARRAY($C$21),$C$24:$G$24)*AT7*$C$23</f>
        <v>958.91167390818703</v>
      </c>
      <c r="AU18" s="17" cm="1">
        <f t="array" ref="AU18">_xlfn.XLOOKUP(AU$2,_xlfn.ANCHORARRAY($C$21),$C$24:$G$24)*AU7*$C$23</f>
        <v>1006.8572576035964</v>
      </c>
      <c r="AV18" s="17" cm="1">
        <f t="array" ref="AV18">_xlfn.XLOOKUP(AV$2,_xlfn.ANCHORARRAY($C$21),$C$24:$G$24)*AV7*$C$23</f>
        <v>1057.2001204837763</v>
      </c>
      <c r="AW18" s="17" cm="1">
        <f t="array" ref="AW18">_xlfn.XLOOKUP(AW$2,_xlfn.ANCHORARRAY($C$21),$C$24:$G$24)*AW7*$C$23</f>
        <v>1484.8767544222892</v>
      </c>
      <c r="AX18" s="17" cm="1">
        <f t="array" ref="AX18">_xlfn.XLOOKUP(AX$2,_xlfn.ANCHORARRAY($C$21),$C$24:$G$24)*AX7*$C$23</f>
        <v>1559.1205921434037</v>
      </c>
      <c r="AY18" s="17" cm="1">
        <f t="array" ref="AY18">_xlfn.XLOOKUP(AY$2,_xlfn.ANCHORARRAY($C$21),$C$24:$G$24)*AY7*$C$23</f>
        <v>1637.0766217505738</v>
      </c>
      <c r="AZ18" s="17" cm="1">
        <f t="array" ref="AZ18">_xlfn.XLOOKUP(AZ$2,_xlfn.ANCHORARRAY($C$21),$C$24:$G$24)*AZ7*$C$23</f>
        <v>1718.9304528381028</v>
      </c>
      <c r="BA18" s="17" cm="1">
        <f t="array" ref="BA18">_xlfn.XLOOKUP(BA$2,_xlfn.ANCHORARRAY($C$21),$C$24:$G$24)*BA7*$C$23</f>
        <v>1804.876975480008</v>
      </c>
      <c r="BB18" s="17" cm="1">
        <f t="array" ref="BB18">_xlfn.XLOOKUP(BB$2,_xlfn.ANCHORARRAY($C$21),$C$24:$G$24)*BB7*$C$23</f>
        <v>1895.1208242540085</v>
      </c>
      <c r="BC18" s="17" cm="1">
        <f t="array" ref="BC18">_xlfn.XLOOKUP(BC$2,_xlfn.ANCHORARRAY($C$21),$C$24:$G$24)*BC7*$C$23</f>
        <v>1989.8768654667092</v>
      </c>
      <c r="BD18" s="17" cm="1">
        <f t="array" ref="BD18">_xlfn.XLOOKUP(BD$2,_xlfn.ANCHORARRAY($C$21),$C$24:$G$24)*BD7*$C$23</f>
        <v>2089.3707087400448</v>
      </c>
      <c r="BE18" s="17" cm="1">
        <f t="array" ref="BE18">_xlfn.XLOOKUP(BE$2,_xlfn.ANCHORARRAY($C$21),$C$24:$G$24)*BE7*$C$23</f>
        <v>2193.839244177047</v>
      </c>
      <c r="BF18" s="17" cm="1">
        <f t="array" ref="BF18">_xlfn.XLOOKUP(BF$2,_xlfn.ANCHORARRAY($C$21),$C$24:$G$24)*BF7*$C$23</f>
        <v>2303.5312063858992</v>
      </c>
      <c r="BG18" s="17" cm="1">
        <f t="array" ref="BG18">_xlfn.XLOOKUP(BG$2,_xlfn.ANCHORARRAY($C$21),$C$24:$G$24)*BG7*$C$23</f>
        <v>2418.707766705194</v>
      </c>
      <c r="BH18" s="17" cm="1">
        <f t="array" ref="BH18">_xlfn.XLOOKUP(BH$2,_xlfn.ANCHORARRAY($C$21),$C$24:$G$24)*BH7*$C$23</f>
        <v>2539.6431550404541</v>
      </c>
      <c r="BI18" s="17" cm="1">
        <f t="array" ref="BI18">_xlfn.XLOOKUP(BI$2,_xlfn.ANCHORARRAY($C$21),$C$24:$G$24)*BI7*$C$23</f>
        <v>3286.1225838269829</v>
      </c>
      <c r="BJ18" s="17" cm="1">
        <f t="array" ref="BJ18">_xlfn.XLOOKUP(BJ$2,_xlfn.ANCHORARRAY($C$21),$C$24:$G$24)*BJ7*$C$23</f>
        <v>3450.4287130183316</v>
      </c>
      <c r="BK18" s="17" cm="1">
        <f t="array" ref="BK18">_xlfn.XLOOKUP(BK$2,_xlfn.ANCHORARRAY($C$21),$C$24:$G$24)*BK7*$C$23</f>
        <v>3622.9501486692484</v>
      </c>
      <c r="BL18" s="17" cm="1">
        <f t="array" ref="BL18">_xlfn.XLOOKUP(BL$2,_xlfn.ANCHORARRAY($C$21),$C$24:$G$24)*BL7*$C$23</f>
        <v>3804.097656102711</v>
      </c>
      <c r="BM18" s="17" cm="1">
        <f t="array" ref="BM18">_xlfn.XLOOKUP(BM$2,_xlfn.ANCHORARRAY($C$21),$C$24:$G$24)*BM7*$C$23</f>
        <v>3994.3025389078466</v>
      </c>
      <c r="BN18" s="17" cm="1">
        <f t="array" ref="BN18">_xlfn.XLOOKUP(BN$2,_xlfn.ANCHORARRAY($C$21),$C$24:$G$24)*BN7*$C$23</f>
        <v>4194.0176658532391</v>
      </c>
      <c r="BO18" s="17" cm="1">
        <f t="array" ref="BO18">_xlfn.XLOOKUP(BO$2,_xlfn.ANCHORARRAY($C$21),$C$24:$G$24)*BO7*$C$23</f>
        <v>4403.7185491459013</v>
      </c>
      <c r="BP18" s="17" cm="1">
        <f t="array" ref="BP18">_xlfn.XLOOKUP(BP$2,_xlfn.ANCHORARRAY($C$21),$C$24:$G$24)*BP7*$C$23</f>
        <v>4623.9044766031966</v>
      </c>
      <c r="BQ18" s="17" cm="1">
        <f t="array" ref="BQ18">_xlfn.XLOOKUP(BQ$2,_xlfn.ANCHORARRAY($C$21),$C$24:$G$24)*BQ7*$C$23</f>
        <v>4855.0997004333567</v>
      </c>
      <c r="BR18" s="17" cm="1">
        <f t="array" ref="BR18">_xlfn.XLOOKUP(BR$2,_xlfn.ANCHORARRAY($C$21),$C$24:$G$24)*BR7*$C$23</f>
        <v>5097.8546854550241</v>
      </c>
      <c r="BS18" s="17" cm="1">
        <f t="array" ref="BS18">_xlfn.XLOOKUP(BS$2,_xlfn.ANCHORARRAY($C$21),$C$24:$G$24)*BS7*$C$23</f>
        <v>5352.7474197277752</v>
      </c>
      <c r="BT18" s="17" cm="1">
        <f t="array" ref="BT18">_xlfn.XLOOKUP(BT$2,_xlfn.ANCHORARRAY($C$21),$C$24:$G$24)*BT7*$C$23</f>
        <v>5620.3847907141644</v>
      </c>
    </row>
    <row r="19" spans="2:72" x14ac:dyDescent="0.3">
      <c r="B19" t="s">
        <v>181</v>
      </c>
      <c r="C19">
        <f>'Sales &amp; Marketing'!D13</f>
        <v>2</v>
      </c>
      <c r="K19" t="s">
        <v>186</v>
      </c>
      <c r="M19" s="17" cm="1">
        <f t="array" ref="M19">_xlfn.XLOOKUP(M$2,_xlfn.ANCHORARRAY($C$21),$C$24:$G$24)*M8*$C$23</f>
        <v>0</v>
      </c>
      <c r="N19" s="17" cm="1">
        <f t="array" ref="N19">_xlfn.XLOOKUP(N$2,_xlfn.ANCHORARRAY($C$21),$C$24:$G$24)*N8*$C$23</f>
        <v>0</v>
      </c>
      <c r="O19" s="17" cm="1">
        <f t="array" ref="O19">_xlfn.XLOOKUP(O$2,_xlfn.ANCHORARRAY($C$21),$C$24:$G$24)*O8*$C$23</f>
        <v>0</v>
      </c>
      <c r="P19" s="17" cm="1">
        <f t="array" ref="P19">_xlfn.XLOOKUP(P$2,_xlfn.ANCHORARRAY($C$21),$C$24:$G$24)*P8*$C$23</f>
        <v>0</v>
      </c>
      <c r="Q19" s="17" cm="1">
        <f t="array" ref="Q19">_xlfn.XLOOKUP(Q$2,_xlfn.ANCHORARRAY($C$21),$C$24:$G$24)*Q8*$C$23</f>
        <v>0</v>
      </c>
      <c r="R19" s="17" cm="1">
        <f t="array" ref="R19">_xlfn.XLOOKUP(R$2,_xlfn.ANCHORARRAY($C$21),$C$24:$G$24)*R8*$C$23</f>
        <v>0</v>
      </c>
      <c r="S19" s="17" cm="1">
        <f t="array" ref="S19">_xlfn.XLOOKUP(S$2,_xlfn.ANCHORARRAY($C$21),$C$24:$G$24)*S8*$C$23</f>
        <v>0</v>
      </c>
      <c r="T19" s="17" cm="1">
        <f t="array" ref="T19">_xlfn.XLOOKUP(T$2,_xlfn.ANCHORARRAY($C$21),$C$24:$G$24)*T8*$C$23</f>
        <v>0</v>
      </c>
      <c r="U19" s="17" cm="1">
        <f t="array" ref="U19">_xlfn.XLOOKUP(U$2,_xlfn.ANCHORARRAY($C$21),$C$24:$G$24)*U8*$C$23</f>
        <v>0</v>
      </c>
      <c r="V19" s="17" cm="1">
        <f t="array" ref="V19">_xlfn.XLOOKUP(V$2,_xlfn.ANCHORARRAY($C$21),$C$24:$G$24)*V8*$C$23</f>
        <v>0</v>
      </c>
      <c r="W19" s="17" cm="1">
        <f t="array" ref="W19">_xlfn.XLOOKUP(W$2,_xlfn.ANCHORARRAY($C$21),$C$24:$G$24)*W8*$C$23</f>
        <v>0</v>
      </c>
      <c r="X19" s="17" cm="1">
        <f t="array" ref="X19">_xlfn.XLOOKUP(X$2,_xlfn.ANCHORARRAY($C$21),$C$24:$G$24)*X8*$C$23</f>
        <v>0</v>
      </c>
      <c r="Y19" s="17" cm="1">
        <f t="array" ref="Y19">_xlfn.XLOOKUP(Y$2,_xlfn.ANCHORARRAY($C$21),$C$24:$G$24)*Y8*$C$23</f>
        <v>0</v>
      </c>
      <c r="Z19" s="17" cm="1">
        <f t="array" ref="Z19">_xlfn.XLOOKUP(Z$2,_xlfn.ANCHORARRAY($C$21),$C$24:$G$24)*Z8*$C$23</f>
        <v>0</v>
      </c>
      <c r="AA19" s="17" cm="1">
        <f t="array" ref="AA19">_xlfn.XLOOKUP(AA$2,_xlfn.ANCHORARRAY($C$21),$C$24:$G$24)*AA8*$C$23</f>
        <v>0</v>
      </c>
      <c r="AB19" s="17" cm="1">
        <f t="array" ref="AB19">_xlfn.XLOOKUP(AB$2,_xlfn.ANCHORARRAY($C$21),$C$24:$G$24)*AB8*$C$23</f>
        <v>0</v>
      </c>
      <c r="AC19" s="17" cm="1">
        <f t="array" ref="AC19">_xlfn.XLOOKUP(AC$2,_xlfn.ANCHORARRAY($C$21),$C$24:$G$24)*AC8*$C$23</f>
        <v>0</v>
      </c>
      <c r="AD19" s="17" cm="1">
        <f t="array" ref="AD19">_xlfn.XLOOKUP(AD$2,_xlfn.ANCHORARRAY($C$21),$C$24:$G$24)*AD8*$C$23</f>
        <v>0</v>
      </c>
      <c r="AE19" s="17" cm="1">
        <f t="array" ref="AE19">_xlfn.XLOOKUP(AE$2,_xlfn.ANCHORARRAY($C$21),$C$24:$G$24)*AE8*$C$23</f>
        <v>0</v>
      </c>
      <c r="AF19" s="17" cm="1">
        <f t="array" ref="AF19">_xlfn.XLOOKUP(AF$2,_xlfn.ANCHORARRAY($C$21),$C$24:$G$24)*AF8*$C$23</f>
        <v>0</v>
      </c>
      <c r="AG19" s="17" cm="1">
        <f t="array" ref="AG19">_xlfn.XLOOKUP(AG$2,_xlfn.ANCHORARRAY($C$21),$C$24:$G$24)*AG8*$C$23</f>
        <v>0</v>
      </c>
      <c r="AH19" s="17" cm="1">
        <f t="array" ref="AH19">_xlfn.XLOOKUP(AH$2,_xlfn.ANCHORARRAY($C$21),$C$24:$G$24)*AH8*$C$23</f>
        <v>0</v>
      </c>
      <c r="AI19" s="17" cm="1">
        <f t="array" ref="AI19">_xlfn.XLOOKUP(AI$2,_xlfn.ANCHORARRAY($C$21),$C$24:$G$24)*AI8*$C$23</f>
        <v>0</v>
      </c>
      <c r="AJ19" s="17" cm="1">
        <f t="array" ref="AJ19">_xlfn.XLOOKUP(AJ$2,_xlfn.ANCHORARRAY($C$21),$C$24:$G$24)*AJ8*$C$23</f>
        <v>0</v>
      </c>
      <c r="AK19" s="17" cm="1">
        <f t="array" ref="AK19">_xlfn.XLOOKUP(AK$2,_xlfn.ANCHORARRAY($C$21),$C$24:$G$24)*AK8*$C$23</f>
        <v>0</v>
      </c>
      <c r="AL19" s="17" cm="1">
        <f t="array" ref="AL19">_xlfn.XLOOKUP(AL$2,_xlfn.ANCHORARRAY($C$21),$C$24:$G$24)*AL8*$C$23</f>
        <v>0</v>
      </c>
      <c r="AM19" s="17" cm="1">
        <f t="array" ref="AM19">_xlfn.XLOOKUP(AM$2,_xlfn.ANCHORARRAY($C$21),$C$24:$G$24)*AM8*$C$23</f>
        <v>0</v>
      </c>
      <c r="AN19" s="17" cm="1">
        <f t="array" ref="AN19">_xlfn.XLOOKUP(AN$2,_xlfn.ANCHORARRAY($C$21),$C$24:$G$24)*AN8*$C$23</f>
        <v>0</v>
      </c>
      <c r="AO19" s="17" cm="1">
        <f t="array" ref="AO19">_xlfn.XLOOKUP(AO$2,_xlfn.ANCHORARRAY($C$21),$C$24:$G$24)*AO8*$C$23</f>
        <v>0</v>
      </c>
      <c r="AP19" s="17" cm="1">
        <f t="array" ref="AP19">_xlfn.XLOOKUP(AP$2,_xlfn.ANCHORARRAY($C$21),$C$24:$G$24)*AP8*$C$23</f>
        <v>0</v>
      </c>
      <c r="AQ19" s="17" cm="1">
        <f t="array" ref="AQ19">_xlfn.XLOOKUP(AQ$2,_xlfn.ANCHORARRAY($C$21),$C$24:$G$24)*AQ8*$C$23</f>
        <v>0</v>
      </c>
      <c r="AR19" s="17" cm="1">
        <f t="array" ref="AR19">_xlfn.XLOOKUP(AR$2,_xlfn.ANCHORARRAY($C$21),$C$24:$G$24)*AR8*$C$23</f>
        <v>0</v>
      </c>
      <c r="AS19" s="17" cm="1">
        <f t="array" ref="AS19">_xlfn.XLOOKUP(AS$2,_xlfn.ANCHORARRAY($C$21),$C$24:$G$24)*AS8*$C$23</f>
        <v>0</v>
      </c>
      <c r="AT19" s="17" cm="1">
        <f t="array" ref="AT19">_xlfn.XLOOKUP(AT$2,_xlfn.ANCHORARRAY($C$21),$C$24:$G$24)*AT8*$C$23</f>
        <v>0</v>
      </c>
      <c r="AU19" s="17" cm="1">
        <f t="array" ref="AU19">_xlfn.XLOOKUP(AU$2,_xlfn.ANCHORARRAY($C$21),$C$24:$G$24)*AU8*$C$23</f>
        <v>0</v>
      </c>
      <c r="AV19" s="17" cm="1">
        <f t="array" ref="AV19">_xlfn.XLOOKUP(AV$2,_xlfn.ANCHORARRAY($C$21),$C$24:$G$24)*AV8*$C$23</f>
        <v>0</v>
      </c>
      <c r="AW19" s="17" cm="1">
        <f t="array" ref="AW19">_xlfn.XLOOKUP(AW$2,_xlfn.ANCHORARRAY($C$21),$C$24:$G$24)*AW8*$C$23</f>
        <v>0</v>
      </c>
      <c r="AX19" s="17" cm="1">
        <f t="array" ref="AX19">_xlfn.XLOOKUP(AX$2,_xlfn.ANCHORARRAY($C$21),$C$24:$G$24)*AX8*$C$23</f>
        <v>0</v>
      </c>
      <c r="AY19" s="17" cm="1">
        <f t="array" ref="AY19">_xlfn.XLOOKUP(AY$2,_xlfn.ANCHORARRAY($C$21),$C$24:$G$24)*AY8*$C$23</f>
        <v>0</v>
      </c>
      <c r="AZ19" s="17" cm="1">
        <f t="array" ref="AZ19">_xlfn.XLOOKUP(AZ$2,_xlfn.ANCHORARRAY($C$21),$C$24:$G$24)*AZ8*$C$23</f>
        <v>0</v>
      </c>
      <c r="BA19" s="17" cm="1">
        <f t="array" ref="BA19">_xlfn.XLOOKUP(BA$2,_xlfn.ANCHORARRAY($C$21),$C$24:$G$24)*BA8*$C$23</f>
        <v>0</v>
      </c>
      <c r="BB19" s="17" cm="1">
        <f t="array" ref="BB19">_xlfn.XLOOKUP(BB$2,_xlfn.ANCHORARRAY($C$21),$C$24:$G$24)*BB8*$C$23</f>
        <v>0</v>
      </c>
      <c r="BC19" s="17" cm="1">
        <f t="array" ref="BC19">_xlfn.XLOOKUP(BC$2,_xlfn.ANCHORARRAY($C$21),$C$24:$G$24)*BC8*$C$23</f>
        <v>0</v>
      </c>
      <c r="BD19" s="17" cm="1">
        <f t="array" ref="BD19">_xlfn.XLOOKUP(BD$2,_xlfn.ANCHORARRAY($C$21),$C$24:$G$24)*BD8*$C$23</f>
        <v>0</v>
      </c>
      <c r="BE19" s="17" cm="1">
        <f t="array" ref="BE19">_xlfn.XLOOKUP(BE$2,_xlfn.ANCHORARRAY($C$21),$C$24:$G$24)*BE8*$C$23</f>
        <v>0</v>
      </c>
      <c r="BF19" s="17" cm="1">
        <f t="array" ref="BF19">_xlfn.XLOOKUP(BF$2,_xlfn.ANCHORARRAY($C$21),$C$24:$G$24)*BF8*$C$23</f>
        <v>0</v>
      </c>
      <c r="BG19" s="17" cm="1">
        <f t="array" ref="BG19">_xlfn.XLOOKUP(BG$2,_xlfn.ANCHORARRAY($C$21),$C$24:$G$24)*BG8*$C$23</f>
        <v>0</v>
      </c>
      <c r="BH19" s="17" cm="1">
        <f t="array" ref="BH19">_xlfn.XLOOKUP(BH$2,_xlfn.ANCHORARRAY($C$21),$C$24:$G$24)*BH8*$C$23</f>
        <v>0</v>
      </c>
      <c r="BI19" s="17" cm="1">
        <f t="array" ref="BI19">_xlfn.XLOOKUP(BI$2,_xlfn.ANCHORARRAY($C$21),$C$24:$G$24)*BI8*$C$23</f>
        <v>506.66666666666674</v>
      </c>
      <c r="BJ19" s="17" cm="1">
        <f t="array" ref="BJ19">_xlfn.XLOOKUP(BJ$2,_xlfn.ANCHORARRAY($C$21),$C$24:$G$24)*BJ8*$C$23</f>
        <v>532.00000000000011</v>
      </c>
      <c r="BK19" s="17" cm="1">
        <f t="array" ref="BK19">_xlfn.XLOOKUP(BK$2,_xlfn.ANCHORARRAY($C$21),$C$24:$G$24)*BK8*$C$23</f>
        <v>558.60000000000014</v>
      </c>
      <c r="BL19" s="17" cm="1">
        <f t="array" ref="BL19">_xlfn.XLOOKUP(BL$2,_xlfn.ANCHORARRAY($C$21),$C$24:$G$24)*BL8*$C$23</f>
        <v>586.53000000000009</v>
      </c>
      <c r="BM19" s="17" cm="1">
        <f t="array" ref="BM19">_xlfn.XLOOKUP(BM$2,_xlfn.ANCHORARRAY($C$21),$C$24:$G$24)*BM8*$C$23</f>
        <v>615.85650000000021</v>
      </c>
      <c r="BN19" s="17" cm="1">
        <f t="array" ref="BN19">_xlfn.XLOOKUP(BN$2,_xlfn.ANCHORARRAY($C$21),$C$24:$G$24)*BN8*$C$23</f>
        <v>646.64932500000032</v>
      </c>
      <c r="BO19" s="17" cm="1">
        <f t="array" ref="BO19">_xlfn.XLOOKUP(BO$2,_xlfn.ANCHORARRAY($C$21),$C$24:$G$24)*BO8*$C$23</f>
        <v>678.98179125000024</v>
      </c>
      <c r="BP19" s="17" cm="1">
        <f t="array" ref="BP19">_xlfn.XLOOKUP(BP$2,_xlfn.ANCHORARRAY($C$21),$C$24:$G$24)*BP8*$C$23</f>
        <v>712.93088081250028</v>
      </c>
      <c r="BQ19" s="17" cm="1">
        <f t="array" ref="BQ19">_xlfn.XLOOKUP(BQ$2,_xlfn.ANCHORARRAY($C$21),$C$24:$G$24)*BQ8*$C$23</f>
        <v>748.57742485312531</v>
      </c>
      <c r="BR19" s="17" cm="1">
        <f t="array" ref="BR19">_xlfn.XLOOKUP(BR$2,_xlfn.ANCHORARRAY($C$21),$C$24:$G$24)*BR8*$C$23</f>
        <v>786.00629609578164</v>
      </c>
      <c r="BS19" s="17" cm="1">
        <f t="array" ref="BS19">_xlfn.XLOOKUP(BS$2,_xlfn.ANCHORARRAY($C$21),$C$24:$G$24)*BS8*$C$23</f>
        <v>825.30661090057083</v>
      </c>
      <c r="BT19" s="17" cm="1">
        <f t="array" ref="BT19">_xlfn.XLOOKUP(BT$2,_xlfn.ANCHORARRAY($C$21),$C$24:$G$24)*BT8*$C$23</f>
        <v>866.57194144559935</v>
      </c>
    </row>
    <row r="20" spans="2:72" x14ac:dyDescent="0.3">
      <c r="B20" t="s">
        <v>185</v>
      </c>
      <c r="C20">
        <f>'Sales &amp; Marketing'!D16</f>
        <v>3</v>
      </c>
      <c r="K20" t="s">
        <v>281</v>
      </c>
      <c r="M20" s="17" cm="1">
        <f t="array" ref="M20">_xlfn.XLOOKUP(M$2,_xlfn.ANCHORARRAY($C$21),$C$24:$G$24)*M9*$C$23</f>
        <v>0</v>
      </c>
      <c r="N20" s="17" cm="1">
        <f t="array" ref="N20">_xlfn.XLOOKUP(N$2,_xlfn.ANCHORARRAY($C$21),$C$24:$G$24)*N9*$C$23</f>
        <v>0</v>
      </c>
      <c r="O20" s="17" cm="1">
        <f t="array" ref="O20">_xlfn.XLOOKUP(O$2,_xlfn.ANCHORARRAY($C$21),$C$24:$G$24)*O9*$C$23</f>
        <v>0</v>
      </c>
      <c r="P20" s="17" cm="1">
        <f t="array" ref="P20">_xlfn.XLOOKUP(P$2,_xlfn.ANCHORARRAY($C$21),$C$24:$G$24)*P9*$C$23</f>
        <v>0</v>
      </c>
      <c r="Q20" s="17" cm="1">
        <f t="array" ref="Q20">_xlfn.XLOOKUP(Q$2,_xlfn.ANCHORARRAY($C$21),$C$24:$G$24)*Q9*$C$23</f>
        <v>0</v>
      </c>
      <c r="R20" s="17" cm="1">
        <f t="array" ref="R20">_xlfn.XLOOKUP(R$2,_xlfn.ANCHORARRAY($C$21),$C$24:$G$24)*R9*$C$23</f>
        <v>0</v>
      </c>
      <c r="S20" s="17" cm="1">
        <f t="array" ref="S20">_xlfn.XLOOKUP(S$2,_xlfn.ANCHORARRAY($C$21),$C$24:$G$24)*S9*$C$23</f>
        <v>0</v>
      </c>
      <c r="T20" s="17" cm="1">
        <f t="array" ref="T20">_xlfn.XLOOKUP(T$2,_xlfn.ANCHORARRAY($C$21),$C$24:$G$24)*T9*$C$23</f>
        <v>0</v>
      </c>
      <c r="U20" s="17" cm="1">
        <f t="array" ref="U20">_xlfn.XLOOKUP(U$2,_xlfn.ANCHORARRAY($C$21),$C$24:$G$24)*U9*$C$23</f>
        <v>0</v>
      </c>
      <c r="V20" s="17" cm="1">
        <f t="array" ref="V20">_xlfn.XLOOKUP(V$2,_xlfn.ANCHORARRAY($C$21),$C$24:$G$24)*V9*$C$23</f>
        <v>0</v>
      </c>
      <c r="W20" s="17" cm="1">
        <f t="array" ref="W20">_xlfn.XLOOKUP(W$2,_xlfn.ANCHORARRAY($C$21),$C$24:$G$24)*W9*$C$23</f>
        <v>0</v>
      </c>
      <c r="X20" s="17" cm="1">
        <f t="array" ref="X20">_xlfn.XLOOKUP(X$2,_xlfn.ANCHORARRAY($C$21),$C$24:$G$24)*X9*$C$23</f>
        <v>0</v>
      </c>
      <c r="Y20" s="17" cm="1">
        <f t="array" ref="Y20">_xlfn.XLOOKUP(Y$2,_xlfn.ANCHORARRAY($C$21),$C$24:$G$24)*Y9*$C$23</f>
        <v>175</v>
      </c>
      <c r="Z20" s="17" cm="1">
        <f t="array" ref="Z20">_xlfn.XLOOKUP(Z$2,_xlfn.ANCHORARRAY($C$21),$C$24:$G$24)*Z9*$C$23</f>
        <v>183.75</v>
      </c>
      <c r="AA20" s="17" cm="1">
        <f t="array" ref="AA20">_xlfn.XLOOKUP(AA$2,_xlfn.ANCHORARRAY($C$21),$C$24:$G$24)*AA9*$C$23</f>
        <v>192.9375</v>
      </c>
      <c r="AB20" s="17" cm="1">
        <f t="array" ref="AB20">_xlfn.XLOOKUP(AB$2,_xlfn.ANCHORARRAY($C$21),$C$24:$G$24)*AB9*$C$23</f>
        <v>202.58437500000002</v>
      </c>
      <c r="AC20" s="17" cm="1">
        <f t="array" ref="AC20">_xlfn.XLOOKUP(AC$2,_xlfn.ANCHORARRAY($C$21),$C$24:$G$24)*AC9*$C$23</f>
        <v>212.71359375000003</v>
      </c>
      <c r="AD20" s="17" cm="1">
        <f t="array" ref="AD20">_xlfn.XLOOKUP(AD$2,_xlfn.ANCHORARRAY($C$21),$C$24:$G$24)*AD9*$C$23</f>
        <v>223.34927343750007</v>
      </c>
      <c r="AE20" s="17" cm="1">
        <f t="array" ref="AE20">_xlfn.XLOOKUP(AE$2,_xlfn.ANCHORARRAY($C$21),$C$24:$G$24)*AE9*$C$23</f>
        <v>234.51673710937507</v>
      </c>
      <c r="AF20" s="17" cm="1">
        <f t="array" ref="AF20">_xlfn.XLOOKUP(AF$2,_xlfn.ANCHORARRAY($C$21),$C$24:$G$24)*AF9*$C$23</f>
        <v>246.24257396484381</v>
      </c>
      <c r="AG20" s="17" cm="1">
        <f t="array" ref="AG20">_xlfn.XLOOKUP(AG$2,_xlfn.ANCHORARRAY($C$21),$C$24:$G$24)*AG9*$C$23</f>
        <v>258.55470266308606</v>
      </c>
      <c r="AH20" s="17" cm="1">
        <f t="array" ref="AH20">_xlfn.XLOOKUP(AH$2,_xlfn.ANCHORARRAY($C$21),$C$24:$G$24)*AH9*$C$23</f>
        <v>271.48243779624039</v>
      </c>
      <c r="AI20" s="17" cm="1">
        <f t="array" ref="AI20">_xlfn.XLOOKUP(AI$2,_xlfn.ANCHORARRAY($C$21),$C$24:$G$24)*AI9*$C$23</f>
        <v>285.05655968605237</v>
      </c>
      <c r="AJ20" s="17" cm="1">
        <f t="array" ref="AJ20">_xlfn.XLOOKUP(AJ$2,_xlfn.ANCHORARRAY($C$21),$C$24:$G$24)*AJ9*$C$23</f>
        <v>299.30938767035502</v>
      </c>
      <c r="AK20" s="17" cm="1">
        <f t="array" ref="AK20">_xlfn.XLOOKUP(AK$2,_xlfn.ANCHORARRAY($C$21),$C$24:$G$24)*AK9*$C$23</f>
        <v>618.12301486654997</v>
      </c>
      <c r="AL20" s="17" cm="1">
        <f t="array" ref="AL20">_xlfn.XLOOKUP(AL$2,_xlfn.ANCHORARRAY($C$21),$C$24:$G$24)*AL9*$C$23</f>
        <v>649.02916560987751</v>
      </c>
      <c r="AM20" s="17" cm="1">
        <f t="array" ref="AM20">_xlfn.XLOOKUP(AM$2,_xlfn.ANCHORARRAY($C$21),$C$24:$G$24)*AM9*$C$23</f>
        <v>681.48062389037148</v>
      </c>
      <c r="AN20" s="17" cm="1">
        <f t="array" ref="AN20">_xlfn.XLOOKUP(AN$2,_xlfn.ANCHORARRAY($C$21),$C$24:$G$24)*AN9*$C$23</f>
        <v>715.5546550848901</v>
      </c>
      <c r="AO20" s="17" cm="1">
        <f t="array" ref="AO20">_xlfn.XLOOKUP(AO$2,_xlfn.ANCHORARRAY($C$21),$C$24:$G$24)*AO9*$C$23</f>
        <v>751.33238783913464</v>
      </c>
      <c r="AP20" s="17" cm="1">
        <f t="array" ref="AP20">_xlfn.XLOOKUP(AP$2,_xlfn.ANCHORARRAY($C$21),$C$24:$G$24)*AP9*$C$23</f>
        <v>788.89900723109133</v>
      </c>
      <c r="AQ20" s="17" cm="1">
        <f t="array" ref="AQ20">_xlfn.XLOOKUP(AQ$2,_xlfn.ANCHORARRAY($C$21),$C$24:$G$24)*AQ9*$C$23</f>
        <v>828.34395759264612</v>
      </c>
      <c r="AR20" s="17" cm="1">
        <f t="array" ref="AR20">_xlfn.XLOOKUP(AR$2,_xlfn.ANCHORARRAY($C$21),$C$24:$G$24)*AR9*$C$23</f>
        <v>869.76115547227846</v>
      </c>
      <c r="AS20" s="17" cm="1">
        <f t="array" ref="AS20">_xlfn.XLOOKUP(AS$2,_xlfn.ANCHORARRAY($C$21),$C$24:$G$24)*AS9*$C$23</f>
        <v>913.24921324589241</v>
      </c>
      <c r="AT20" s="17" cm="1">
        <f t="array" ref="AT20">_xlfn.XLOOKUP(AT$2,_xlfn.ANCHORARRAY($C$21),$C$24:$G$24)*AT9*$C$23</f>
        <v>958.91167390818703</v>
      </c>
      <c r="AU20" s="17" cm="1">
        <f t="array" ref="AU20">_xlfn.XLOOKUP(AU$2,_xlfn.ANCHORARRAY($C$21),$C$24:$G$24)*AU9*$C$23</f>
        <v>1006.8572576035964</v>
      </c>
      <c r="AV20" s="17" cm="1">
        <f t="array" ref="AV20">_xlfn.XLOOKUP(AV$2,_xlfn.ANCHORARRAY($C$21),$C$24:$G$24)*AV9*$C$23</f>
        <v>1057.2001204837763</v>
      </c>
      <c r="AW20" s="17" cm="1">
        <f t="array" ref="AW20">_xlfn.XLOOKUP(AW$2,_xlfn.ANCHORARRAY($C$21),$C$24:$G$24)*AW9*$C$23</f>
        <v>1484.8767544222892</v>
      </c>
      <c r="AX20" s="17" cm="1">
        <f t="array" ref="AX20">_xlfn.XLOOKUP(AX$2,_xlfn.ANCHORARRAY($C$21),$C$24:$G$24)*AX9*$C$23</f>
        <v>1559.1205921434037</v>
      </c>
      <c r="AY20" s="17" cm="1">
        <f t="array" ref="AY20">_xlfn.XLOOKUP(AY$2,_xlfn.ANCHORARRAY($C$21),$C$24:$G$24)*AY9*$C$23</f>
        <v>1637.0766217505738</v>
      </c>
      <c r="AZ20" s="17" cm="1">
        <f t="array" ref="AZ20">_xlfn.XLOOKUP(AZ$2,_xlfn.ANCHORARRAY($C$21),$C$24:$G$24)*AZ9*$C$23</f>
        <v>1718.9304528381028</v>
      </c>
      <c r="BA20" s="17" cm="1">
        <f t="array" ref="BA20">_xlfn.XLOOKUP(BA$2,_xlfn.ANCHORARRAY($C$21),$C$24:$G$24)*BA9*$C$23</f>
        <v>1804.876975480008</v>
      </c>
      <c r="BB20" s="17" cm="1">
        <f t="array" ref="BB20">_xlfn.XLOOKUP(BB$2,_xlfn.ANCHORARRAY($C$21),$C$24:$G$24)*BB9*$C$23</f>
        <v>1895.1208242540085</v>
      </c>
      <c r="BC20" s="17" cm="1">
        <f t="array" ref="BC20">_xlfn.XLOOKUP(BC$2,_xlfn.ANCHORARRAY($C$21),$C$24:$G$24)*BC9*$C$23</f>
        <v>1989.8768654667092</v>
      </c>
      <c r="BD20" s="17" cm="1">
        <f t="array" ref="BD20">_xlfn.XLOOKUP(BD$2,_xlfn.ANCHORARRAY($C$21),$C$24:$G$24)*BD9*$C$23</f>
        <v>2089.3707087400448</v>
      </c>
      <c r="BE20" s="17" cm="1">
        <f t="array" ref="BE20">_xlfn.XLOOKUP(BE$2,_xlfn.ANCHORARRAY($C$21),$C$24:$G$24)*BE9*$C$23</f>
        <v>2193.839244177047</v>
      </c>
      <c r="BF20" s="17" cm="1">
        <f t="array" ref="BF20">_xlfn.XLOOKUP(BF$2,_xlfn.ANCHORARRAY($C$21),$C$24:$G$24)*BF9*$C$23</f>
        <v>2303.5312063858992</v>
      </c>
      <c r="BG20" s="17" cm="1">
        <f t="array" ref="BG20">_xlfn.XLOOKUP(BG$2,_xlfn.ANCHORARRAY($C$21),$C$24:$G$24)*BG9*$C$23</f>
        <v>2418.707766705194</v>
      </c>
      <c r="BH20" s="17" cm="1">
        <f t="array" ref="BH20">_xlfn.XLOOKUP(BH$2,_xlfn.ANCHORARRAY($C$21),$C$24:$G$24)*BH9*$C$23</f>
        <v>2539.6431550404541</v>
      </c>
      <c r="BI20" s="17" cm="1">
        <f t="array" ref="BI20">_xlfn.XLOOKUP(BI$2,_xlfn.ANCHORARRAY($C$21),$C$24:$G$24)*BI9*$C$23</f>
        <v>3286.1225838269829</v>
      </c>
      <c r="BJ20" s="17" cm="1">
        <f t="array" ref="BJ20">_xlfn.XLOOKUP(BJ$2,_xlfn.ANCHORARRAY($C$21),$C$24:$G$24)*BJ9*$C$23</f>
        <v>3450.4287130183316</v>
      </c>
      <c r="BK20" s="17" cm="1">
        <f t="array" ref="BK20">_xlfn.XLOOKUP(BK$2,_xlfn.ANCHORARRAY($C$21),$C$24:$G$24)*BK9*$C$23</f>
        <v>3622.9501486692484</v>
      </c>
      <c r="BL20" s="17" cm="1">
        <f t="array" ref="BL20">_xlfn.XLOOKUP(BL$2,_xlfn.ANCHORARRAY($C$21),$C$24:$G$24)*BL9*$C$23</f>
        <v>3804.097656102711</v>
      </c>
      <c r="BM20" s="17" cm="1">
        <f t="array" ref="BM20">_xlfn.XLOOKUP(BM$2,_xlfn.ANCHORARRAY($C$21),$C$24:$G$24)*BM9*$C$23</f>
        <v>3994.3025389078466</v>
      </c>
      <c r="BN20" s="17" cm="1">
        <f t="array" ref="BN20">_xlfn.XLOOKUP(BN$2,_xlfn.ANCHORARRAY($C$21),$C$24:$G$24)*BN9*$C$23</f>
        <v>4194.0176658532391</v>
      </c>
      <c r="BO20" s="17" cm="1">
        <f t="array" ref="BO20">_xlfn.XLOOKUP(BO$2,_xlfn.ANCHORARRAY($C$21),$C$24:$G$24)*BO9*$C$23</f>
        <v>4403.7185491459013</v>
      </c>
      <c r="BP20" s="17" cm="1">
        <f t="array" ref="BP20">_xlfn.XLOOKUP(BP$2,_xlfn.ANCHORARRAY($C$21),$C$24:$G$24)*BP9*$C$23</f>
        <v>4623.9044766031966</v>
      </c>
      <c r="BQ20" s="17" cm="1">
        <f t="array" ref="BQ20">_xlfn.XLOOKUP(BQ$2,_xlfn.ANCHORARRAY($C$21),$C$24:$G$24)*BQ9*$C$23</f>
        <v>4855.0997004333567</v>
      </c>
      <c r="BR20" s="17" cm="1">
        <f t="array" ref="BR20">_xlfn.XLOOKUP(BR$2,_xlfn.ANCHORARRAY($C$21),$C$24:$G$24)*BR9*$C$23</f>
        <v>5097.8546854550241</v>
      </c>
      <c r="BS20" s="17" cm="1">
        <f t="array" ref="BS20">_xlfn.XLOOKUP(BS$2,_xlfn.ANCHORARRAY($C$21),$C$24:$G$24)*BS9*$C$23</f>
        <v>5352.7474197277752</v>
      </c>
      <c r="BT20" s="17" cm="1">
        <f t="array" ref="BT20">_xlfn.XLOOKUP(BT$2,_xlfn.ANCHORARRAY($C$21),$C$24:$G$24)*BT9*$C$23</f>
        <v>5620.3847907141644</v>
      </c>
    </row>
    <row r="21" spans="2:72" x14ac:dyDescent="0.3">
      <c r="C21" t="str" cm="1">
        <f t="array" ref="C21:G21">C2:G2</f>
        <v>Year 1</v>
      </c>
      <c r="D21" t="str">
        <v>Year 2</v>
      </c>
      <c r="E21" t="str">
        <v>Year 3</v>
      </c>
      <c r="F21" t="str">
        <v>Year 4</v>
      </c>
      <c r="G21" t="str">
        <v>Year 5</v>
      </c>
      <c r="K21" t="s">
        <v>181</v>
      </c>
      <c r="M21" s="17" cm="1">
        <f t="array" ref="M21">_xlfn.XLOOKUP(M$2,_xlfn.ANCHORARRAY($C$21),$C$24:$G$24)*M10*$C$23</f>
        <v>0</v>
      </c>
      <c r="N21" s="17" cm="1">
        <f t="array" ref="N21">_xlfn.XLOOKUP(N$2,_xlfn.ANCHORARRAY($C$21),$C$24:$G$24)*N10*$C$23</f>
        <v>0</v>
      </c>
      <c r="O21" s="17" cm="1">
        <f t="array" ref="O21">_xlfn.XLOOKUP(O$2,_xlfn.ANCHORARRAY($C$21),$C$24:$G$24)*O10*$C$23</f>
        <v>0</v>
      </c>
      <c r="P21" s="17" cm="1">
        <f t="array" ref="P21">_xlfn.XLOOKUP(P$2,_xlfn.ANCHORARRAY($C$21),$C$24:$G$24)*P10*$C$23</f>
        <v>0</v>
      </c>
      <c r="Q21" s="17" cm="1">
        <f t="array" ref="Q21">_xlfn.XLOOKUP(Q$2,_xlfn.ANCHORARRAY($C$21),$C$24:$G$24)*Q10*$C$23</f>
        <v>0</v>
      </c>
      <c r="R21" s="17" cm="1">
        <f t="array" ref="R21">_xlfn.XLOOKUP(R$2,_xlfn.ANCHORARRAY($C$21),$C$24:$G$24)*R10*$C$23</f>
        <v>0</v>
      </c>
      <c r="S21" s="17" cm="1">
        <f t="array" ref="S21">_xlfn.XLOOKUP(S$2,_xlfn.ANCHORARRAY($C$21),$C$24:$G$24)*S10*$C$23</f>
        <v>0</v>
      </c>
      <c r="T21" s="17" cm="1">
        <f t="array" ref="T21">_xlfn.XLOOKUP(T$2,_xlfn.ANCHORARRAY($C$21),$C$24:$G$24)*T10*$C$23</f>
        <v>0</v>
      </c>
      <c r="U21" s="17" cm="1">
        <f t="array" ref="U21">_xlfn.XLOOKUP(U$2,_xlfn.ANCHORARRAY($C$21),$C$24:$G$24)*U10*$C$23</f>
        <v>0</v>
      </c>
      <c r="V21" s="17" cm="1">
        <f t="array" ref="V21">_xlfn.XLOOKUP(V$2,_xlfn.ANCHORARRAY($C$21),$C$24:$G$24)*V10*$C$23</f>
        <v>0</v>
      </c>
      <c r="W21" s="17" cm="1">
        <f t="array" ref="W21">_xlfn.XLOOKUP(W$2,_xlfn.ANCHORARRAY($C$21),$C$24:$G$24)*W10*$C$23</f>
        <v>0</v>
      </c>
      <c r="X21" s="17" cm="1">
        <f t="array" ref="X21">_xlfn.XLOOKUP(X$2,_xlfn.ANCHORARRAY($C$21),$C$24:$G$24)*X10*$C$23</f>
        <v>0</v>
      </c>
      <c r="Y21" s="17" cm="1">
        <f t="array" ref="Y21">_xlfn.XLOOKUP(Y$2,_xlfn.ANCHORARRAY($C$21),$C$24:$G$24)*Y10*$C$23</f>
        <v>175</v>
      </c>
      <c r="Z21" s="17" cm="1">
        <f t="array" ref="Z21">_xlfn.XLOOKUP(Z$2,_xlfn.ANCHORARRAY($C$21),$C$24:$G$24)*Z10*$C$23</f>
        <v>183.75</v>
      </c>
      <c r="AA21" s="17" cm="1">
        <f t="array" ref="AA21">_xlfn.XLOOKUP(AA$2,_xlfn.ANCHORARRAY($C$21),$C$24:$G$24)*AA10*$C$23</f>
        <v>192.9375</v>
      </c>
      <c r="AB21" s="17" cm="1">
        <f t="array" ref="AB21">_xlfn.XLOOKUP(AB$2,_xlfn.ANCHORARRAY($C$21),$C$24:$G$24)*AB10*$C$23</f>
        <v>202.58437500000002</v>
      </c>
      <c r="AC21" s="17" cm="1">
        <f t="array" ref="AC21">_xlfn.XLOOKUP(AC$2,_xlfn.ANCHORARRAY($C$21),$C$24:$G$24)*AC10*$C$23</f>
        <v>212.71359375000003</v>
      </c>
      <c r="AD21" s="17" cm="1">
        <f t="array" ref="AD21">_xlfn.XLOOKUP(AD$2,_xlfn.ANCHORARRAY($C$21),$C$24:$G$24)*AD10*$C$23</f>
        <v>223.34927343750007</v>
      </c>
      <c r="AE21" s="17" cm="1">
        <f t="array" ref="AE21">_xlfn.XLOOKUP(AE$2,_xlfn.ANCHORARRAY($C$21),$C$24:$G$24)*AE10*$C$23</f>
        <v>234.51673710937507</v>
      </c>
      <c r="AF21" s="17" cm="1">
        <f t="array" ref="AF21">_xlfn.XLOOKUP(AF$2,_xlfn.ANCHORARRAY($C$21),$C$24:$G$24)*AF10*$C$23</f>
        <v>246.24257396484381</v>
      </c>
      <c r="AG21" s="17" cm="1">
        <f t="array" ref="AG21">_xlfn.XLOOKUP(AG$2,_xlfn.ANCHORARRAY($C$21),$C$24:$G$24)*AG10*$C$23</f>
        <v>258.55470266308606</v>
      </c>
      <c r="AH21" s="17" cm="1">
        <f t="array" ref="AH21">_xlfn.XLOOKUP(AH$2,_xlfn.ANCHORARRAY($C$21),$C$24:$G$24)*AH10*$C$23</f>
        <v>271.48243779624039</v>
      </c>
      <c r="AI21" s="17" cm="1">
        <f t="array" ref="AI21">_xlfn.XLOOKUP(AI$2,_xlfn.ANCHORARRAY($C$21),$C$24:$G$24)*AI10*$C$23</f>
        <v>285.05655968605237</v>
      </c>
      <c r="AJ21" s="17" cm="1">
        <f t="array" ref="AJ21">_xlfn.XLOOKUP(AJ$2,_xlfn.ANCHORARRAY($C$21),$C$24:$G$24)*AJ10*$C$23</f>
        <v>299.30938767035502</v>
      </c>
      <c r="AK21" s="17" cm="1">
        <f t="array" ref="AK21">_xlfn.XLOOKUP(AK$2,_xlfn.ANCHORARRAY($C$21),$C$24:$G$24)*AK10*$C$23</f>
        <v>577.05634819988325</v>
      </c>
      <c r="AL21" s="17" cm="1">
        <f t="array" ref="AL21">_xlfn.XLOOKUP(AL$2,_xlfn.ANCHORARRAY($C$21),$C$24:$G$24)*AL10*$C$23</f>
        <v>605.9091656098775</v>
      </c>
      <c r="AM21" s="17" cm="1">
        <f t="array" ref="AM21">_xlfn.XLOOKUP(AM$2,_xlfn.ANCHORARRAY($C$21),$C$24:$G$24)*AM10*$C$23</f>
        <v>636.20462389037141</v>
      </c>
      <c r="AN21" s="17" cm="1">
        <f t="array" ref="AN21">_xlfn.XLOOKUP(AN$2,_xlfn.ANCHORARRAY($C$21),$C$24:$G$24)*AN10*$C$23</f>
        <v>668.01485508488997</v>
      </c>
      <c r="AO21" s="17" cm="1">
        <f t="array" ref="AO21">_xlfn.XLOOKUP(AO$2,_xlfn.ANCHORARRAY($C$21),$C$24:$G$24)*AO10*$C$23</f>
        <v>701.41559783913453</v>
      </c>
      <c r="AP21" s="17" cm="1">
        <f t="array" ref="AP21">_xlfn.XLOOKUP(AP$2,_xlfn.ANCHORARRAY($C$21),$C$24:$G$24)*AP10*$C$23</f>
        <v>736.48637773109124</v>
      </c>
      <c r="AQ21" s="17" cm="1">
        <f t="array" ref="AQ21">_xlfn.XLOOKUP(AQ$2,_xlfn.ANCHORARRAY($C$21),$C$24:$G$24)*AQ10*$C$23</f>
        <v>773.31069661764593</v>
      </c>
      <c r="AR21" s="17" cm="1">
        <f t="array" ref="AR21">_xlfn.XLOOKUP(AR$2,_xlfn.ANCHORARRAY($C$21),$C$24:$G$24)*AR10*$C$23</f>
        <v>811.97623144852821</v>
      </c>
      <c r="AS21" s="17" cm="1">
        <f t="array" ref="AS21">_xlfn.XLOOKUP(AS$2,_xlfn.ANCHORARRAY($C$21),$C$24:$G$24)*AS10*$C$23</f>
        <v>852.57504302095458</v>
      </c>
      <c r="AT21" s="17" cm="1">
        <f t="array" ref="AT21">_xlfn.XLOOKUP(AT$2,_xlfn.ANCHORARRAY($C$21),$C$24:$G$24)*AT10*$C$23</f>
        <v>895.2037951720024</v>
      </c>
      <c r="AU21" s="17" cm="1">
        <f t="array" ref="AU21">_xlfn.XLOOKUP(AU$2,_xlfn.ANCHORARRAY($C$21),$C$24:$G$24)*AU10*$C$23</f>
        <v>939.96398493060246</v>
      </c>
      <c r="AV21" s="17" cm="1">
        <f t="array" ref="AV21">_xlfn.XLOOKUP(AV$2,_xlfn.ANCHORARRAY($C$21),$C$24:$G$24)*AV10*$C$23</f>
        <v>986.96218417713271</v>
      </c>
      <c r="AW21" s="17" cm="1">
        <f t="array" ref="AW21">_xlfn.XLOOKUP(AW$2,_xlfn.ANCHORARRAY($C$21),$C$24:$G$24)*AW10*$C$23</f>
        <v>1341.4815964264269</v>
      </c>
      <c r="AX21" s="17" cm="1">
        <f t="array" ref="AX21">_xlfn.XLOOKUP(AX$2,_xlfn.ANCHORARRAY($C$21),$C$24:$G$24)*AX10*$C$23</f>
        <v>1408.5556762477481</v>
      </c>
      <c r="AY21" s="17" cm="1">
        <f t="array" ref="AY21">_xlfn.XLOOKUP(AY$2,_xlfn.ANCHORARRAY($C$21),$C$24:$G$24)*AY10*$C$23</f>
        <v>1478.9834600601355</v>
      </c>
      <c r="AZ21" s="17" cm="1">
        <f t="array" ref="AZ21">_xlfn.XLOOKUP(AZ$2,_xlfn.ANCHORARRAY($C$21),$C$24:$G$24)*AZ10*$C$23</f>
        <v>1552.9326330631425</v>
      </c>
      <c r="BA21" s="17" cm="1">
        <f t="array" ref="BA21">_xlfn.XLOOKUP(BA$2,_xlfn.ANCHORARRAY($C$21),$C$24:$G$24)*BA10*$C$23</f>
        <v>1630.5792647162998</v>
      </c>
      <c r="BB21" s="17" cm="1">
        <f t="array" ref="BB21">_xlfn.XLOOKUP(BB$2,_xlfn.ANCHORARRAY($C$21),$C$24:$G$24)*BB10*$C$23</f>
        <v>1712.1082279521147</v>
      </c>
      <c r="BC21" s="17" cm="1">
        <f t="array" ref="BC21">_xlfn.XLOOKUP(BC$2,_xlfn.ANCHORARRAY($C$21),$C$24:$G$24)*BC10*$C$23</f>
        <v>1797.7136393497208</v>
      </c>
      <c r="BD21" s="17" cm="1">
        <f t="array" ref="BD21">_xlfn.XLOOKUP(BD$2,_xlfn.ANCHORARRAY($C$21),$C$24:$G$24)*BD10*$C$23</f>
        <v>1887.5993213172069</v>
      </c>
      <c r="BE21" s="17" cm="1">
        <f t="array" ref="BE21">_xlfn.XLOOKUP(BE$2,_xlfn.ANCHORARRAY($C$21),$C$24:$G$24)*BE10*$C$23</f>
        <v>1981.979287383067</v>
      </c>
      <c r="BF21" s="17" cm="1">
        <f t="array" ref="BF21">_xlfn.XLOOKUP(BF$2,_xlfn.ANCHORARRAY($C$21),$C$24:$G$24)*BF10*$C$23</f>
        <v>2081.0782517522202</v>
      </c>
      <c r="BG21" s="17" cm="1">
        <f t="array" ref="BG21">_xlfn.XLOOKUP(BG$2,_xlfn.ANCHORARRAY($C$21),$C$24:$G$24)*BG10*$C$23</f>
        <v>2185.132164339831</v>
      </c>
      <c r="BH21" s="17" cm="1">
        <f t="array" ref="BH21">_xlfn.XLOOKUP(BH$2,_xlfn.ANCHORARRAY($C$21),$C$24:$G$24)*BH10*$C$23</f>
        <v>2294.3887725568229</v>
      </c>
      <c r="BI21" s="17" cm="1">
        <f t="array" ref="BI21">_xlfn.XLOOKUP(BI$2,_xlfn.ANCHORARRAY($C$21),$C$24:$G$24)*BI10*$C$23</f>
        <v>2931.9235828007745</v>
      </c>
      <c r="BJ21" s="17" cm="1">
        <f t="array" ref="BJ21">_xlfn.XLOOKUP(BJ$2,_xlfn.ANCHORARRAY($C$21),$C$24:$G$24)*BJ10*$C$23</f>
        <v>3078.5197619408136</v>
      </c>
      <c r="BK21" s="17" cm="1">
        <f t="array" ref="BK21">_xlfn.XLOOKUP(BK$2,_xlfn.ANCHORARRAY($C$21),$C$24:$G$24)*BK10*$C$23</f>
        <v>3232.4457500378539</v>
      </c>
      <c r="BL21" s="17" cm="1">
        <f t="array" ref="BL21">_xlfn.XLOOKUP(BL$2,_xlfn.ANCHORARRAY($C$21),$C$24:$G$24)*BL10*$C$23</f>
        <v>3394.0680375397469</v>
      </c>
      <c r="BM21" s="17" cm="1">
        <f t="array" ref="BM21">_xlfn.XLOOKUP(BM$2,_xlfn.ANCHORARRAY($C$21),$C$24:$G$24)*BM10*$C$23</f>
        <v>3563.7714394167342</v>
      </c>
      <c r="BN21" s="17" cm="1">
        <f t="array" ref="BN21">_xlfn.XLOOKUP(BN$2,_xlfn.ANCHORARRAY($C$21),$C$24:$G$24)*BN10*$C$23</f>
        <v>3741.9600113875713</v>
      </c>
      <c r="BO21" s="17" cm="1">
        <f t="array" ref="BO21">_xlfn.XLOOKUP(BO$2,_xlfn.ANCHORARRAY($C$21),$C$24:$G$24)*BO10*$C$23</f>
        <v>3929.0580119569495</v>
      </c>
      <c r="BP21" s="17" cm="1">
        <f t="array" ref="BP21">_xlfn.XLOOKUP(BP$2,_xlfn.ANCHORARRAY($C$21),$C$24:$G$24)*BP10*$C$23</f>
        <v>4125.5109125547979</v>
      </c>
      <c r="BQ21" s="17" cm="1">
        <f t="array" ref="BQ21">_xlfn.XLOOKUP(BQ$2,_xlfn.ANCHORARRAY($C$21),$C$24:$G$24)*BQ10*$C$23</f>
        <v>4331.7864581825379</v>
      </c>
      <c r="BR21" s="17" cm="1">
        <f t="array" ref="BR21">_xlfn.XLOOKUP(BR$2,_xlfn.ANCHORARRAY($C$21),$C$24:$G$24)*BR10*$C$23</f>
        <v>4548.3757810916641</v>
      </c>
      <c r="BS21" s="17" cm="1">
        <f t="array" ref="BS21">_xlfn.XLOOKUP(BS$2,_xlfn.ANCHORARRAY($C$21),$C$24:$G$24)*BS10*$C$23</f>
        <v>4775.7945701462477</v>
      </c>
      <c r="BT21" s="17" cm="1">
        <f t="array" ref="BT21">_xlfn.XLOOKUP(BT$2,_xlfn.ANCHORARRAY($C$21),$C$24:$G$24)*BT10*$C$23</f>
        <v>5014.5842986535608</v>
      </c>
    </row>
    <row r="22" spans="2:72" x14ac:dyDescent="0.3">
      <c r="B22" t="s">
        <v>301</v>
      </c>
      <c r="K22" t="s">
        <v>185</v>
      </c>
      <c r="M22" s="17" cm="1">
        <f t="array" ref="M22">_xlfn.XLOOKUP(M$2,_xlfn.ANCHORARRAY($C$21),$C$24:$G$24)*M11*$C$23</f>
        <v>0</v>
      </c>
      <c r="N22" s="17" cm="1">
        <f t="array" ref="N22">_xlfn.XLOOKUP(N$2,_xlfn.ANCHORARRAY($C$21),$C$24:$G$24)*N11*$C$23</f>
        <v>0</v>
      </c>
      <c r="O22" s="17" cm="1">
        <f t="array" ref="O22">_xlfn.XLOOKUP(O$2,_xlfn.ANCHORARRAY($C$21),$C$24:$G$24)*O11*$C$23</f>
        <v>0</v>
      </c>
      <c r="P22" s="17" cm="1">
        <f t="array" ref="P22">_xlfn.XLOOKUP(P$2,_xlfn.ANCHORARRAY($C$21),$C$24:$G$24)*P11*$C$23</f>
        <v>0</v>
      </c>
      <c r="Q22" s="17" cm="1">
        <f t="array" ref="Q22">_xlfn.XLOOKUP(Q$2,_xlfn.ANCHORARRAY($C$21),$C$24:$G$24)*Q11*$C$23</f>
        <v>0</v>
      </c>
      <c r="R22" s="17" cm="1">
        <f t="array" ref="R22">_xlfn.XLOOKUP(R$2,_xlfn.ANCHORARRAY($C$21),$C$24:$G$24)*R11*$C$23</f>
        <v>0</v>
      </c>
      <c r="S22" s="17" cm="1">
        <f t="array" ref="S22">_xlfn.XLOOKUP(S$2,_xlfn.ANCHORARRAY($C$21),$C$24:$G$24)*S11*$C$23</f>
        <v>0</v>
      </c>
      <c r="T22" s="17" cm="1">
        <f t="array" ref="T22">_xlfn.XLOOKUP(T$2,_xlfn.ANCHORARRAY($C$21),$C$24:$G$24)*T11*$C$23</f>
        <v>0</v>
      </c>
      <c r="U22" s="17" cm="1">
        <f t="array" ref="U22">_xlfn.XLOOKUP(U$2,_xlfn.ANCHORARRAY($C$21),$C$24:$G$24)*U11*$C$23</f>
        <v>0</v>
      </c>
      <c r="V22" s="17" cm="1">
        <f t="array" ref="V22">_xlfn.XLOOKUP(V$2,_xlfn.ANCHORARRAY($C$21),$C$24:$G$24)*V11*$C$23</f>
        <v>0</v>
      </c>
      <c r="W22" s="17" cm="1">
        <f t="array" ref="W22">_xlfn.XLOOKUP(W$2,_xlfn.ANCHORARRAY($C$21),$C$24:$G$24)*W11*$C$23</f>
        <v>0</v>
      </c>
      <c r="X22" s="17" cm="1">
        <f t="array" ref="X22">_xlfn.XLOOKUP(X$2,_xlfn.ANCHORARRAY($C$21),$C$24:$G$24)*X11*$C$23</f>
        <v>0</v>
      </c>
      <c r="Y22" s="17" cm="1">
        <f t="array" ref="Y22">_xlfn.XLOOKUP(Y$2,_xlfn.ANCHORARRAY($C$21),$C$24:$G$24)*Y11*$C$23</f>
        <v>0</v>
      </c>
      <c r="Z22" s="17" cm="1">
        <f t="array" ref="Z22">_xlfn.XLOOKUP(Z$2,_xlfn.ANCHORARRAY($C$21),$C$24:$G$24)*Z11*$C$23</f>
        <v>0</v>
      </c>
      <c r="AA22" s="17" cm="1">
        <f t="array" ref="AA22">_xlfn.XLOOKUP(AA$2,_xlfn.ANCHORARRAY($C$21),$C$24:$G$24)*AA11*$C$23</f>
        <v>0</v>
      </c>
      <c r="AB22" s="17" cm="1">
        <f t="array" ref="AB22">_xlfn.XLOOKUP(AB$2,_xlfn.ANCHORARRAY($C$21),$C$24:$G$24)*AB11*$C$23</f>
        <v>0</v>
      </c>
      <c r="AC22" s="17" cm="1">
        <f t="array" ref="AC22">_xlfn.XLOOKUP(AC$2,_xlfn.ANCHORARRAY($C$21),$C$24:$G$24)*AC11*$C$23</f>
        <v>0</v>
      </c>
      <c r="AD22" s="17" cm="1">
        <f t="array" ref="AD22">_xlfn.XLOOKUP(AD$2,_xlfn.ANCHORARRAY($C$21),$C$24:$G$24)*AD11*$C$23</f>
        <v>0</v>
      </c>
      <c r="AE22" s="17" cm="1">
        <f t="array" ref="AE22">_xlfn.XLOOKUP(AE$2,_xlfn.ANCHORARRAY($C$21),$C$24:$G$24)*AE11*$C$23</f>
        <v>0</v>
      </c>
      <c r="AF22" s="17" cm="1">
        <f t="array" ref="AF22">_xlfn.XLOOKUP(AF$2,_xlfn.ANCHORARRAY($C$21),$C$24:$G$24)*AF11*$C$23</f>
        <v>0</v>
      </c>
      <c r="AG22" s="17" cm="1">
        <f t="array" ref="AG22">_xlfn.XLOOKUP(AG$2,_xlfn.ANCHORARRAY($C$21),$C$24:$G$24)*AG11*$C$23</f>
        <v>0</v>
      </c>
      <c r="AH22" s="17" cm="1">
        <f t="array" ref="AH22">_xlfn.XLOOKUP(AH$2,_xlfn.ANCHORARRAY($C$21),$C$24:$G$24)*AH11*$C$23</f>
        <v>0</v>
      </c>
      <c r="AI22" s="17" cm="1">
        <f t="array" ref="AI22">_xlfn.XLOOKUP(AI$2,_xlfn.ANCHORARRAY($C$21),$C$24:$G$24)*AI11*$C$23</f>
        <v>0</v>
      </c>
      <c r="AJ22" s="17" cm="1">
        <f t="array" ref="AJ22">_xlfn.XLOOKUP(AJ$2,_xlfn.ANCHORARRAY($C$21),$C$24:$G$24)*AJ11*$C$23</f>
        <v>0</v>
      </c>
      <c r="AK22" s="17" cm="1">
        <f t="array" ref="AK22">_xlfn.XLOOKUP(AK$2,_xlfn.ANCHORARRAY($C$21),$C$24:$G$24)*AK11*$C$23</f>
        <v>0</v>
      </c>
      <c r="AL22" s="17" cm="1">
        <f t="array" ref="AL22">_xlfn.XLOOKUP(AL$2,_xlfn.ANCHORARRAY($C$21),$C$24:$G$24)*AL11*$C$23</f>
        <v>0</v>
      </c>
      <c r="AM22" s="17" cm="1">
        <f t="array" ref="AM22">_xlfn.XLOOKUP(AM$2,_xlfn.ANCHORARRAY($C$21),$C$24:$G$24)*AM11*$C$23</f>
        <v>0</v>
      </c>
      <c r="AN22" s="17" cm="1">
        <f t="array" ref="AN22">_xlfn.XLOOKUP(AN$2,_xlfn.ANCHORARRAY($C$21),$C$24:$G$24)*AN11*$C$23</f>
        <v>0</v>
      </c>
      <c r="AO22" s="17" cm="1">
        <f t="array" ref="AO22">_xlfn.XLOOKUP(AO$2,_xlfn.ANCHORARRAY($C$21),$C$24:$G$24)*AO11*$C$23</f>
        <v>0</v>
      </c>
      <c r="AP22" s="17" cm="1">
        <f t="array" ref="AP22">_xlfn.XLOOKUP(AP$2,_xlfn.ANCHORARRAY($C$21),$C$24:$G$24)*AP11*$C$23</f>
        <v>0</v>
      </c>
      <c r="AQ22" s="17" cm="1">
        <f t="array" ref="AQ22">_xlfn.XLOOKUP(AQ$2,_xlfn.ANCHORARRAY($C$21),$C$24:$G$24)*AQ11*$C$23</f>
        <v>0</v>
      </c>
      <c r="AR22" s="17" cm="1">
        <f t="array" ref="AR22">_xlfn.XLOOKUP(AR$2,_xlfn.ANCHORARRAY($C$21),$C$24:$G$24)*AR11*$C$23</f>
        <v>0</v>
      </c>
      <c r="AS22" s="17" cm="1">
        <f t="array" ref="AS22">_xlfn.XLOOKUP(AS$2,_xlfn.ANCHORARRAY($C$21),$C$24:$G$24)*AS11*$C$23</f>
        <v>0</v>
      </c>
      <c r="AT22" s="17" cm="1">
        <f t="array" ref="AT22">_xlfn.XLOOKUP(AT$2,_xlfn.ANCHORARRAY($C$21),$C$24:$G$24)*AT11*$C$23</f>
        <v>0</v>
      </c>
      <c r="AU22" s="17" cm="1">
        <f t="array" ref="AU22">_xlfn.XLOOKUP(AU$2,_xlfn.ANCHORARRAY($C$21),$C$24:$G$24)*AU11*$C$23</f>
        <v>0</v>
      </c>
      <c r="AV22" s="17" cm="1">
        <f t="array" ref="AV22">_xlfn.XLOOKUP(AV$2,_xlfn.ANCHORARRAY($C$21),$C$24:$G$24)*AV11*$C$23</f>
        <v>0</v>
      </c>
      <c r="AW22" s="17" cm="1">
        <f t="array" ref="AW22">_xlfn.XLOOKUP(AW$2,_xlfn.ANCHORARRAY($C$21),$C$24:$G$24)*AW11*$C$23</f>
        <v>446.66666666666674</v>
      </c>
      <c r="AX22" s="17" cm="1">
        <f t="array" ref="AX22">_xlfn.XLOOKUP(AX$2,_xlfn.ANCHORARRAY($C$21),$C$24:$G$24)*AX11*$C$23</f>
        <v>469.00000000000011</v>
      </c>
      <c r="AY22" s="17" cm="1">
        <f t="array" ref="AY22">_xlfn.XLOOKUP(AY$2,_xlfn.ANCHORARRAY($C$21),$C$24:$G$24)*AY11*$C$23</f>
        <v>492.4500000000001</v>
      </c>
      <c r="AZ22" s="17" cm="1">
        <f t="array" ref="AZ22">_xlfn.XLOOKUP(AZ$2,_xlfn.ANCHORARRAY($C$21),$C$24:$G$24)*AZ11*$C$23</f>
        <v>517.0725000000001</v>
      </c>
      <c r="BA22" s="17" cm="1">
        <f t="array" ref="BA22">_xlfn.XLOOKUP(BA$2,_xlfn.ANCHORARRAY($C$21),$C$24:$G$24)*BA11*$C$23</f>
        <v>542.92612500000018</v>
      </c>
      <c r="BB22" s="17" cm="1">
        <f t="array" ref="BB22">_xlfn.XLOOKUP(BB$2,_xlfn.ANCHORARRAY($C$21),$C$24:$G$24)*BB11*$C$23</f>
        <v>570.07243125000025</v>
      </c>
      <c r="BC22" s="17" cm="1">
        <f t="array" ref="BC22">_xlfn.XLOOKUP(BC$2,_xlfn.ANCHORARRAY($C$21),$C$24:$G$24)*BC11*$C$23</f>
        <v>598.57605281250028</v>
      </c>
      <c r="BD22" s="17" cm="1">
        <f t="array" ref="BD22">_xlfn.XLOOKUP(BD$2,_xlfn.ANCHORARRAY($C$21),$C$24:$G$24)*BD11*$C$23</f>
        <v>628.50485545312529</v>
      </c>
      <c r="BE22" s="17" cm="1">
        <f t="array" ref="BE22">_xlfn.XLOOKUP(BE$2,_xlfn.ANCHORARRAY($C$21),$C$24:$G$24)*BE11*$C$23</f>
        <v>659.93009822578153</v>
      </c>
      <c r="BF22" s="17" cm="1">
        <f t="array" ref="BF22">_xlfn.XLOOKUP(BF$2,_xlfn.ANCHORARRAY($C$21),$C$24:$G$24)*BF11*$C$23</f>
        <v>692.92660313707074</v>
      </c>
      <c r="BG22" s="17" cm="1">
        <f t="array" ref="BG22">_xlfn.XLOOKUP(BG$2,_xlfn.ANCHORARRAY($C$21),$C$24:$G$24)*BG11*$C$23</f>
        <v>727.57293329392417</v>
      </c>
      <c r="BH22" s="17" cm="1">
        <f t="array" ref="BH22">_xlfn.XLOOKUP(BH$2,_xlfn.ANCHORARRAY($C$21),$C$24:$G$24)*BH11*$C$23</f>
        <v>763.95157995862041</v>
      </c>
      <c r="BI22" s="17" cm="1">
        <f t="array" ref="BI22">_xlfn.XLOOKUP(BI$2,_xlfn.ANCHORARRAY($C$21),$C$24:$G$24)*BI11*$C$23</f>
        <v>1436.5719414455994</v>
      </c>
      <c r="BJ22" s="17" cm="1">
        <f t="array" ref="BJ22">_xlfn.XLOOKUP(BJ$2,_xlfn.ANCHORARRAY($C$21),$C$24:$G$24)*BJ11*$C$23</f>
        <v>1508.4005385178796</v>
      </c>
      <c r="BK22" s="17" cm="1">
        <f t="array" ref="BK22">_xlfn.XLOOKUP(BK$2,_xlfn.ANCHORARRAY($C$21),$C$24:$G$24)*BK11*$C$23</f>
        <v>1583.8205654437736</v>
      </c>
      <c r="BL22" s="17" cm="1">
        <f t="array" ref="BL22">_xlfn.XLOOKUP(BL$2,_xlfn.ANCHORARRAY($C$21),$C$24:$G$24)*BL11*$C$23</f>
        <v>1663.0115937159624</v>
      </c>
      <c r="BM22" s="17" cm="1">
        <f t="array" ref="BM22">_xlfn.XLOOKUP(BM$2,_xlfn.ANCHORARRAY($C$21),$C$24:$G$24)*BM11*$C$23</f>
        <v>1746.1621734017606</v>
      </c>
      <c r="BN22" s="17" cm="1">
        <f t="array" ref="BN22">_xlfn.XLOOKUP(BN$2,_xlfn.ANCHORARRAY($C$21),$C$24:$G$24)*BN11*$C$23</f>
        <v>1833.4702820718485</v>
      </c>
      <c r="BO22" s="17" cm="1">
        <f t="array" ref="BO22">_xlfn.XLOOKUP(BO$2,_xlfn.ANCHORARRAY($C$21),$C$24:$G$24)*BO11*$C$23</f>
        <v>1925.1437961754411</v>
      </c>
      <c r="BP22" s="17" cm="1">
        <f t="array" ref="BP22">_xlfn.XLOOKUP(BP$2,_xlfn.ANCHORARRAY($C$21),$C$24:$G$24)*BP11*$C$23</f>
        <v>2021.4009859842133</v>
      </c>
      <c r="BQ22" s="17" cm="1">
        <f t="array" ref="BQ22">_xlfn.XLOOKUP(BQ$2,_xlfn.ANCHORARRAY($C$21),$C$24:$G$24)*BQ11*$C$23</f>
        <v>2122.471035283424</v>
      </c>
      <c r="BR22" s="17" cm="1">
        <f t="array" ref="BR22">_xlfn.XLOOKUP(BR$2,_xlfn.ANCHORARRAY($C$21),$C$24:$G$24)*BR11*$C$23</f>
        <v>2228.5945870475953</v>
      </c>
      <c r="BS22" s="17" cm="1">
        <f t="array" ref="BS22">_xlfn.XLOOKUP(BS$2,_xlfn.ANCHORARRAY($C$21),$C$24:$G$24)*BS11*$C$23</f>
        <v>2340.0243163999753</v>
      </c>
      <c r="BT22" s="17" cm="1">
        <f t="array" ref="BT22">_xlfn.XLOOKUP(BT$2,_xlfn.ANCHORARRAY($C$21),$C$24:$G$24)*BT11*$C$23</f>
        <v>2457.0255322199741</v>
      </c>
    </row>
    <row r="23" spans="2:72" x14ac:dyDescent="0.3">
      <c r="B23" t="s">
        <v>303</v>
      </c>
      <c r="C23" s="10">
        <v>0.2</v>
      </c>
    </row>
    <row r="24" spans="2:72" x14ac:dyDescent="0.3">
      <c r="B24" t="s">
        <v>302</v>
      </c>
      <c r="C24" s="19">
        <f>AVERAGE(Rev!D11:D17)</f>
        <v>391.5</v>
      </c>
      <c r="D24" s="19">
        <f>AVERAGE(Rev!E11:E17)</f>
        <v>437.5</v>
      </c>
      <c r="E24" s="19">
        <f>AVERAGE(Rev!F11:F17)</f>
        <v>513.33333333333337</v>
      </c>
      <c r="F24" s="19">
        <f>AVERAGE(Rev!G11:G17)</f>
        <v>558.33333333333337</v>
      </c>
      <c r="G24" s="19">
        <f>AVERAGE(Rev!H11:H17)</f>
        <v>633.33333333333337</v>
      </c>
    </row>
  </sheetData>
  <phoneticPr fontId="2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0B44A-6A3D-4A81-A719-E23004DA7B05}">
  <sheetPr>
    <tabColor rgb="FF0070C0"/>
  </sheetPr>
  <dimension ref="B1:X108"/>
  <sheetViews>
    <sheetView topLeftCell="A86" workbookViewId="0">
      <selection activeCell="D22" sqref="D22"/>
    </sheetView>
  </sheetViews>
  <sheetFormatPr defaultColWidth="8.6640625" defaultRowHeight="14.4" x14ac:dyDescent="0.3"/>
  <cols>
    <col min="1" max="1" width="3.6640625" customWidth="1"/>
    <col min="2" max="2" width="21.6640625" bestFit="1" customWidth="1"/>
    <col min="3" max="3" width="27.109375" bestFit="1" customWidth="1"/>
    <col min="4" max="4" width="20.6640625" bestFit="1" customWidth="1"/>
    <col min="5" max="5" width="11.33203125" bestFit="1" customWidth="1"/>
    <col min="6" max="8" width="12" bestFit="1" customWidth="1"/>
    <col min="9" max="9" width="12.33203125" bestFit="1" customWidth="1"/>
    <col min="10" max="12" width="11.33203125" bestFit="1" customWidth="1"/>
    <col min="13" max="24" width="12" bestFit="1" customWidth="1"/>
  </cols>
  <sheetData>
    <row r="1" spans="2:24" x14ac:dyDescent="0.3">
      <c r="D1" t="s">
        <v>250</v>
      </c>
      <c r="E1" t="str">
        <f>E3&amp;" "&amp;E4</f>
        <v>Year 1 Q1</v>
      </c>
      <c r="F1" t="str">
        <f t="shared" ref="F1:X1" si="0">F3&amp;" "&amp;F4</f>
        <v>Year 1 Q2</v>
      </c>
      <c r="G1" t="str">
        <f t="shared" si="0"/>
        <v>Year 1 Q3</v>
      </c>
      <c r="H1" t="str">
        <f t="shared" si="0"/>
        <v>Year 1 Q4</v>
      </c>
      <c r="I1" t="str">
        <f t="shared" si="0"/>
        <v>Year 2 Q1</v>
      </c>
      <c r="J1" t="str">
        <f t="shared" si="0"/>
        <v>Year 2 Q2</v>
      </c>
      <c r="K1" t="str">
        <f t="shared" si="0"/>
        <v>Year 2 Q3</v>
      </c>
      <c r="L1" t="str">
        <f t="shared" si="0"/>
        <v>Year 2 Q4</v>
      </c>
      <c r="M1" t="str">
        <f t="shared" si="0"/>
        <v>Year 3 Q1</v>
      </c>
      <c r="N1" t="str">
        <f t="shared" si="0"/>
        <v>Year 3 Q2</v>
      </c>
      <c r="O1" t="str">
        <f t="shared" si="0"/>
        <v>Year 3 Q3</v>
      </c>
      <c r="P1" t="str">
        <f t="shared" si="0"/>
        <v>Year 3 Q4</v>
      </c>
      <c r="Q1" t="str">
        <f t="shared" si="0"/>
        <v>Year 4 Q1</v>
      </c>
      <c r="R1" t="str">
        <f t="shared" si="0"/>
        <v>Year 4 Q2</v>
      </c>
      <c r="S1" t="str">
        <f t="shared" si="0"/>
        <v>Year 4 Q3</v>
      </c>
      <c r="T1" t="str">
        <f t="shared" si="0"/>
        <v>Year 4 Q4</v>
      </c>
      <c r="U1" t="str">
        <f t="shared" si="0"/>
        <v>Year 5 Q1</v>
      </c>
      <c r="V1" t="str">
        <f t="shared" si="0"/>
        <v>Year 5 Q2</v>
      </c>
      <c r="W1" t="str">
        <f t="shared" si="0"/>
        <v>Year 5 Q3</v>
      </c>
      <c r="X1" t="str">
        <f t="shared" si="0"/>
        <v>Year 5 Q4</v>
      </c>
    </row>
    <row r="2" spans="2:24" x14ac:dyDescent="0.3">
      <c r="B2" s="16" t="s">
        <v>246</v>
      </c>
    </row>
    <row r="3" spans="2:24" x14ac:dyDescent="0.3">
      <c r="E3" s="102" t="s">
        <v>8</v>
      </c>
      <c r="F3" s="102" t="s">
        <v>8</v>
      </c>
      <c r="G3" s="102" t="s">
        <v>8</v>
      </c>
      <c r="H3" s="102" t="s">
        <v>8</v>
      </c>
      <c r="I3" s="102" t="s">
        <v>9</v>
      </c>
      <c r="J3" s="102" t="s">
        <v>9</v>
      </c>
      <c r="K3" s="102" t="s">
        <v>9</v>
      </c>
      <c r="L3" s="102" t="s">
        <v>9</v>
      </c>
      <c r="M3" s="102" t="s">
        <v>10</v>
      </c>
      <c r="N3" s="102" t="s">
        <v>10</v>
      </c>
      <c r="O3" s="102" t="s">
        <v>10</v>
      </c>
      <c r="P3" s="102" t="s">
        <v>10</v>
      </c>
      <c r="Q3" s="102" t="s">
        <v>11</v>
      </c>
      <c r="R3" s="102" t="s">
        <v>11</v>
      </c>
      <c r="S3" s="102" t="s">
        <v>11</v>
      </c>
      <c r="T3" s="102" t="s">
        <v>11</v>
      </c>
      <c r="U3" s="102" t="s">
        <v>12</v>
      </c>
      <c r="V3" s="102" t="s">
        <v>12</v>
      </c>
      <c r="W3" s="102" t="s">
        <v>12</v>
      </c>
      <c r="X3" s="102" t="s">
        <v>12</v>
      </c>
    </row>
    <row r="4" spans="2:24" x14ac:dyDescent="0.3">
      <c r="E4" s="102" t="s">
        <v>68</v>
      </c>
      <c r="F4" s="102" t="s">
        <v>69</v>
      </c>
      <c r="G4" s="102" t="s">
        <v>70</v>
      </c>
      <c r="H4" s="102" t="s">
        <v>71</v>
      </c>
      <c r="I4" s="102" t="s">
        <v>68</v>
      </c>
      <c r="J4" s="102" t="s">
        <v>69</v>
      </c>
      <c r="K4" s="102" t="s">
        <v>70</v>
      </c>
      <c r="L4" s="102" t="s">
        <v>71</v>
      </c>
      <c r="M4" s="102" t="s">
        <v>68</v>
      </c>
      <c r="N4" s="102" t="s">
        <v>69</v>
      </c>
      <c r="O4" s="102" t="s">
        <v>70</v>
      </c>
      <c r="P4" s="102" t="s">
        <v>71</v>
      </c>
      <c r="Q4" s="102" t="s">
        <v>68</v>
      </c>
      <c r="R4" s="102" t="s">
        <v>69</v>
      </c>
      <c r="S4" s="102" t="s">
        <v>70</v>
      </c>
      <c r="T4" s="102" t="s">
        <v>71</v>
      </c>
      <c r="U4" s="102" t="s">
        <v>68</v>
      </c>
      <c r="V4" s="102" t="s">
        <v>69</v>
      </c>
      <c r="W4" s="102" t="s">
        <v>70</v>
      </c>
      <c r="X4" s="102" t="s">
        <v>71</v>
      </c>
    </row>
    <row r="5" spans="2:24" x14ac:dyDescent="0.3">
      <c r="D5" s="28" t="s">
        <v>60</v>
      </c>
      <c r="E5" s="97">
        <f>SUM('P&amp;L'!M9:O9)</f>
        <v>0</v>
      </c>
      <c r="F5" s="97">
        <f>SUM('P&amp;L'!P9:R9)</f>
        <v>0</v>
      </c>
      <c r="G5" s="17">
        <f>SUM('P&amp;L'!S9:U9)</f>
        <v>14300</v>
      </c>
      <c r="H5" s="17">
        <f>SUM('P&amp;L'!V9:X9)</f>
        <v>22550</v>
      </c>
      <c r="I5" s="97">
        <f>SUM('P&amp;L'!Y9:AA9)</f>
        <v>163380</v>
      </c>
      <c r="J5" s="97">
        <f>SUM('P&amp;L'!AB9:AD9)</f>
        <v>212990</v>
      </c>
      <c r="K5" s="97">
        <f>SUM('P&amp;L'!AE9:AG9)</f>
        <v>270155</v>
      </c>
      <c r="L5" s="97">
        <f>SUM('P&amp;L'!AH9:AJ9)</f>
        <v>333605</v>
      </c>
      <c r="M5" s="17">
        <f>SUM('P&amp;L'!AK9:AM9)</f>
        <v>662850</v>
      </c>
      <c r="N5" s="17">
        <f>SUM('P&amp;L'!AN9:AP9)</f>
        <v>844000</v>
      </c>
      <c r="O5" s="17">
        <f>SUM('P&amp;L'!AQ9:AS9)</f>
        <v>1041390</v>
      </c>
      <c r="P5" s="17">
        <f>SUM('P&amp;L'!AT9:AV9)</f>
        <v>1289470</v>
      </c>
      <c r="Q5" s="17">
        <f>SUM('P&amp;L'!AW9:AY9)</f>
        <v>2069980</v>
      </c>
      <c r="R5" s="17">
        <f>SUM('P&amp;L'!AZ9:BB9)</f>
        <v>2561320</v>
      </c>
      <c r="S5" s="17">
        <f>SUM('P&amp;L'!BC9:BE9)</f>
        <v>3210020</v>
      </c>
      <c r="T5" s="17">
        <f>SUM('P&amp;L'!BF9:BH9)</f>
        <v>3897340</v>
      </c>
      <c r="U5" s="17">
        <f>SUM('P&amp;L'!BI9:BK9)</f>
        <v>5692730</v>
      </c>
      <c r="V5" s="17">
        <f>SUM('P&amp;L'!BL9:BN9)</f>
        <v>6997420</v>
      </c>
      <c r="W5" s="17">
        <f>SUM('P&amp;L'!BO9:BQ9)</f>
        <v>8491070</v>
      </c>
      <c r="X5" s="17">
        <f>SUM('P&amp;L'!BR9:BT9)</f>
        <v>10243280</v>
      </c>
    </row>
    <row r="6" spans="2:24" x14ac:dyDescent="0.3">
      <c r="D6" s="28" t="s">
        <v>72</v>
      </c>
      <c r="E6" s="97">
        <f>SUM('P&amp;L'!M23:O23)</f>
        <v>0</v>
      </c>
      <c r="F6" s="97">
        <f>SUM('P&amp;L'!P23:R23)</f>
        <v>1000</v>
      </c>
      <c r="G6" s="17">
        <f>SUM('P&amp;L'!S23:U23)</f>
        <v>3246.5</v>
      </c>
      <c r="H6" s="17">
        <f>SUM('P&amp;L'!V23:X23)</f>
        <v>3589</v>
      </c>
      <c r="I6" s="97">
        <f>SUM('P&amp;L'!Y23:AA23)</f>
        <v>9092.5</v>
      </c>
      <c r="J6" s="97">
        <f>SUM('P&amp;L'!AB23:AD23)</f>
        <v>10427.5</v>
      </c>
      <c r="K6" s="97">
        <f>SUM('P&amp;L'!AE23:AG23)</f>
        <v>11880</v>
      </c>
      <c r="L6" s="97">
        <f>SUM('P&amp;L'!AH23:AJ23)</f>
        <v>13611.25</v>
      </c>
      <c r="M6" s="17">
        <f>SUM('P&amp;L'!AK23:AM23)</f>
        <v>27027.5</v>
      </c>
      <c r="N6" s="17">
        <f>SUM('P&amp;L'!AN23:AP23)</f>
        <v>32567.25</v>
      </c>
      <c r="O6" s="17">
        <f>SUM('P&amp;L'!AQ23:AS23)</f>
        <v>38924</v>
      </c>
      <c r="P6" s="17">
        <f>SUM('P&amp;L'!AT23:AV23)</f>
        <v>46425</v>
      </c>
      <c r="Q6" s="17">
        <f>SUM('P&amp;L'!AW23:AY23)</f>
        <v>82431.875</v>
      </c>
      <c r="R6" s="17">
        <f>SUM('P&amp;L'!AZ23:BB23)</f>
        <v>104172.5</v>
      </c>
      <c r="S6" s="17">
        <f>SUM('P&amp;L'!BC23:BE23)</f>
        <v>129909.375</v>
      </c>
      <c r="T6" s="17">
        <f>SUM('P&amp;L'!BF23:BH23)</f>
        <v>159240.625</v>
      </c>
      <c r="U6" s="17">
        <f>SUM('P&amp;L'!BI23:BK23)</f>
        <v>257402.5</v>
      </c>
      <c r="V6" s="17">
        <f>SUM('P&amp;L'!BL23:BN23)</f>
        <v>319466.25</v>
      </c>
      <c r="W6" s="17">
        <f>SUM('P&amp;L'!BO23:BQ23)</f>
        <v>391228.75</v>
      </c>
      <c r="X6" s="17">
        <f>SUM('P&amp;L'!BR23:BT23)</f>
        <v>474646.25</v>
      </c>
    </row>
    <row r="7" spans="2:24" x14ac:dyDescent="0.3">
      <c r="C7" s="28" t="s">
        <v>73</v>
      </c>
      <c r="E7" s="98">
        <f>E5-E6</f>
        <v>0</v>
      </c>
      <c r="F7" s="98">
        <f>SUM('P&amp;L'!P25:R25)</f>
        <v>-1000</v>
      </c>
      <c r="G7" s="98">
        <f>SUM('P&amp;L'!S25:U25)</f>
        <v>11053.5</v>
      </c>
      <c r="H7" s="98">
        <f>SUM('P&amp;L'!V25:X25)</f>
        <v>18961</v>
      </c>
      <c r="I7" s="98">
        <f>SUM('P&amp;L'!Y25:AA25)</f>
        <v>154287.5</v>
      </c>
      <c r="J7" s="98">
        <f>SUM('P&amp;L'!AB25:AD25)</f>
        <v>202562.5</v>
      </c>
      <c r="K7" s="98">
        <f>SUM('P&amp;L'!AE25:AG25)</f>
        <v>258275</v>
      </c>
      <c r="L7" s="98">
        <f>SUM('P&amp;L'!AH25:AJ25)</f>
        <v>319993.75</v>
      </c>
      <c r="M7" s="98">
        <f>SUM('P&amp;L'!AK25:AM25)</f>
        <v>635822.5</v>
      </c>
      <c r="N7" s="98">
        <f>SUM('P&amp;L'!AN25:AP25)</f>
        <v>811432.75</v>
      </c>
      <c r="O7" s="98">
        <f>SUM('P&amp;L'!AQ25:AS25)</f>
        <v>1002466</v>
      </c>
      <c r="P7" s="98">
        <f>SUM('P&amp;L'!AT25:AV25)</f>
        <v>1243045</v>
      </c>
      <c r="Q7" s="98">
        <f>SUM('P&amp;L'!AW25:AY25)</f>
        <v>1987548.125</v>
      </c>
      <c r="R7" s="98">
        <f>SUM('P&amp;L'!AZ25:BB25)</f>
        <v>2457147.5</v>
      </c>
      <c r="S7" s="98">
        <f>SUM('P&amp;L'!BC25:BE25)</f>
        <v>3080110.625</v>
      </c>
      <c r="T7" s="98">
        <f>SUM('P&amp;L'!BF25:BH25)</f>
        <v>3738099.375</v>
      </c>
      <c r="U7" s="98">
        <f>SUM('P&amp;L'!BI25:BK25)</f>
        <v>5435327.5</v>
      </c>
      <c r="V7" s="98">
        <f>SUM('P&amp;L'!BL25:BN25)</f>
        <v>6677953.75</v>
      </c>
      <c r="W7" s="98">
        <f>SUM('P&amp;L'!BO25:BQ25)</f>
        <v>8099841.25</v>
      </c>
      <c r="X7" s="98">
        <f>SUM('P&amp;L'!BR25:BT25)</f>
        <v>9768633.75</v>
      </c>
    </row>
    <row r="8" spans="2:24" x14ac:dyDescent="0.3">
      <c r="C8" s="28" t="s">
        <v>74</v>
      </c>
      <c r="E8" s="97"/>
      <c r="F8" s="97"/>
      <c r="G8" s="17"/>
      <c r="H8" s="17"/>
      <c r="I8" s="17"/>
      <c r="J8" s="17"/>
      <c r="K8" s="17"/>
      <c r="L8" s="17"/>
      <c r="M8" s="17"/>
      <c r="N8" s="17"/>
      <c r="O8" s="17"/>
      <c r="P8" s="17"/>
      <c r="Q8" s="17"/>
      <c r="R8" s="17"/>
      <c r="S8" s="17"/>
      <c r="T8" s="17"/>
      <c r="U8" s="17"/>
      <c r="V8" s="17"/>
      <c r="W8" s="17"/>
      <c r="X8" s="17"/>
    </row>
    <row r="9" spans="2:24" x14ac:dyDescent="0.3">
      <c r="D9" s="28" t="s">
        <v>75</v>
      </c>
      <c r="E9" s="97">
        <f>SUM('P&amp;L'!M28:O28)</f>
        <v>49550</v>
      </c>
      <c r="F9" s="97">
        <f>SUM('P&amp;L'!P28:R28)</f>
        <v>107616.66666666667</v>
      </c>
      <c r="G9" s="17">
        <f>SUM('P&amp;L'!S28:U28)</f>
        <v>136650</v>
      </c>
      <c r="H9" s="17">
        <f>SUM('P&amp;L'!V28:X28)</f>
        <v>136650</v>
      </c>
      <c r="I9" s="97">
        <f>SUM('P&amp;L'!Y28:AA28)</f>
        <v>202189.16666666669</v>
      </c>
      <c r="J9" s="97">
        <f>SUM('P&amp;L'!AB28:AD28)</f>
        <v>291119.16666666674</v>
      </c>
      <c r="K9" s="97">
        <f>SUM('P&amp;L'!AE28:AG28)</f>
        <v>359062.50000000006</v>
      </c>
      <c r="L9" s="97">
        <f>SUM('P&amp;L'!AH28:AJ28)</f>
        <v>359062.50000000006</v>
      </c>
      <c r="M9" s="17">
        <f>SUM('P&amp;L'!AK28:AM28)</f>
        <v>410377.29166666669</v>
      </c>
      <c r="N9" s="17">
        <f>SUM('P&amp;L'!AN28:AP28)</f>
        <v>499670.62500000006</v>
      </c>
      <c r="O9" s="17">
        <f>SUM('P&amp;L'!AQ28:AS28)</f>
        <v>587358.95833333349</v>
      </c>
      <c r="P9" s="17">
        <f>SUM('P&amp;L'!AT28:AV28)</f>
        <v>650835.62500000012</v>
      </c>
      <c r="Q9" s="17">
        <f>SUM('P&amp;L'!AW28:AY28)</f>
        <v>773157.40625</v>
      </c>
      <c r="R9" s="17">
        <f>SUM('P&amp;L'!AZ28:BB28)</f>
        <v>802190.73958333337</v>
      </c>
      <c r="S9" s="17">
        <f>SUM('P&amp;L'!BC28:BE28)</f>
        <v>910720.73958333326</v>
      </c>
      <c r="T9" s="17">
        <f>SUM('P&amp;L'!BF28:BH28)</f>
        <v>984930.73958333349</v>
      </c>
      <c r="U9" s="17">
        <f>SUM('P&amp;L'!BI28:BK28)</f>
        <v>1044634.7765624999</v>
      </c>
      <c r="V9" s="17">
        <f>SUM('P&amp;L'!BL28:BN28)</f>
        <v>1044634.7765624999</v>
      </c>
      <c r="W9" s="17">
        <f>SUM('P&amp;L'!BO28:BQ28)</f>
        <v>1044634.7765624999</v>
      </c>
      <c r="X9" s="17">
        <f>SUM('P&amp;L'!BR28:BT28)</f>
        <v>1044634.7765624999</v>
      </c>
    </row>
    <row r="10" spans="2:24" x14ac:dyDescent="0.3">
      <c r="D10" s="28" t="s">
        <v>290</v>
      </c>
      <c r="E10" s="97">
        <f>SUM('P&amp;L'!M29:O29)</f>
        <v>38250</v>
      </c>
      <c r="F10" s="97">
        <f>SUM('P&amp;L'!P29:R29)</f>
        <v>38250</v>
      </c>
      <c r="G10" s="17">
        <f>SUM('P&amp;L'!S29:U29)</f>
        <v>38250</v>
      </c>
      <c r="H10" s="17">
        <f>SUM('P&amp;L'!V29:X29)</f>
        <v>38250</v>
      </c>
      <c r="I10" s="97">
        <f>SUM('P&amp;L'!Y29:AA29)</f>
        <v>67575</v>
      </c>
      <c r="J10" s="97">
        <f>SUM('P&amp;L'!AB29:AD29)</f>
        <v>67575</v>
      </c>
      <c r="K10" s="97">
        <f>SUM('P&amp;L'!AE29:AG29)</f>
        <v>67575</v>
      </c>
      <c r="L10" s="97">
        <f>SUM('P&amp;L'!AH29:AJ29)</f>
        <v>67575</v>
      </c>
      <c r="M10" s="17">
        <f>SUM('P&amp;L'!AK29:AM29)</f>
        <v>85450</v>
      </c>
      <c r="N10" s="17">
        <f>SUM('P&amp;L'!AN29:AP29)</f>
        <v>85450</v>
      </c>
      <c r="O10" s="17">
        <f>SUM('P&amp;L'!AQ29:AS29)</f>
        <v>85450</v>
      </c>
      <c r="P10" s="17">
        <f>SUM('P&amp;L'!AT29:AV29)</f>
        <v>85450</v>
      </c>
      <c r="Q10" s="17">
        <f>SUM('P&amp;L'!AW29:AY29)</f>
        <v>101325</v>
      </c>
      <c r="R10" s="17">
        <f>SUM('P&amp;L'!AZ29:BB29)</f>
        <v>101325</v>
      </c>
      <c r="S10" s="17">
        <f>SUM('P&amp;L'!BC29:BE29)</f>
        <v>101325</v>
      </c>
      <c r="T10" s="17">
        <f>SUM('P&amp;L'!BF29:BH29)</f>
        <v>101325</v>
      </c>
      <c r="U10" s="17">
        <f>SUM('P&amp;L'!BI29:BK29)</f>
        <v>115950</v>
      </c>
      <c r="V10" s="17">
        <f>SUM('P&amp;L'!BL29:BN29)</f>
        <v>115950</v>
      </c>
      <c r="W10" s="17">
        <f>SUM('P&amp;L'!BO29:BQ29)</f>
        <v>115950</v>
      </c>
      <c r="X10" s="17">
        <f>SUM('P&amp;L'!BR29:BT29)</f>
        <v>115950</v>
      </c>
    </row>
    <row r="11" spans="2:24" x14ac:dyDescent="0.3">
      <c r="D11" s="28" t="s">
        <v>77</v>
      </c>
      <c r="E11" s="97">
        <f ca="1">SUM('P&amp;L'!M30:O30)</f>
        <v>296225</v>
      </c>
      <c r="F11" s="97">
        <f ca="1">SUM('P&amp;L'!P30:R30)</f>
        <v>296225</v>
      </c>
      <c r="G11" s="17">
        <f ca="1">SUM('P&amp;L'!S30:U30)</f>
        <v>300698.33333333331</v>
      </c>
      <c r="H11" s="17">
        <f ca="1">SUM('P&amp;L'!V30:X30)</f>
        <v>313228.33333333331</v>
      </c>
      <c r="I11" s="97">
        <f ca="1">SUM('P&amp;L'!Y30:AA30)</f>
        <v>400973.33333333337</v>
      </c>
      <c r="J11" s="97">
        <f ca="1">SUM('P&amp;L'!AB30:AD30)</f>
        <v>493014.99999999994</v>
      </c>
      <c r="K11" s="97">
        <f ca="1">SUM('P&amp;L'!AE30:AG30)</f>
        <v>495265</v>
      </c>
      <c r="L11" s="97">
        <f ca="1">SUM('P&amp;L'!AH30:AJ30)</f>
        <v>508764.99999999994</v>
      </c>
      <c r="M11" s="17">
        <f ca="1">SUM('P&amp;L'!AK30:AM30)</f>
        <v>566160</v>
      </c>
      <c r="N11" s="17">
        <f ca="1">SUM('P&amp;L'!AN30:AP30)</f>
        <v>576160</v>
      </c>
      <c r="O11" s="17">
        <f ca="1">SUM('P&amp;L'!AQ30:AS30)</f>
        <v>581160</v>
      </c>
      <c r="P11" s="17">
        <f ca="1">SUM('P&amp;L'!AT30:AV30)</f>
        <v>581160</v>
      </c>
      <c r="Q11" s="17">
        <f ca="1">SUM('P&amp;L'!AW30:AY30)</f>
        <v>751635</v>
      </c>
      <c r="R11" s="17">
        <f ca="1">SUM('P&amp;L'!AZ30:BB30)</f>
        <v>710635</v>
      </c>
      <c r="S11" s="17">
        <f ca="1">SUM('P&amp;L'!BC30:BE30)</f>
        <v>682635</v>
      </c>
      <c r="T11" s="17">
        <f ca="1">SUM('P&amp;L'!BF30:BH30)</f>
        <v>682635</v>
      </c>
      <c r="U11" s="17">
        <f ca="1">SUM('P&amp;L'!BI30:BK30)</f>
        <v>682635</v>
      </c>
      <c r="V11" s="17">
        <f ca="1">SUM('P&amp;L'!BL30:BN30)</f>
        <v>682635</v>
      </c>
      <c r="W11" s="17">
        <f ca="1">SUM('P&amp;L'!BO30:BQ30)</f>
        <v>682635</v>
      </c>
      <c r="X11" s="17">
        <f ca="1">SUM('P&amp;L'!BR30:BT30)</f>
        <v>682635</v>
      </c>
    </row>
    <row r="12" spans="2:24" x14ac:dyDescent="0.3">
      <c r="D12" s="28" t="s">
        <v>289</v>
      </c>
      <c r="E12" s="97">
        <f>SUM('P&amp;L'!M31:O31)</f>
        <v>1500</v>
      </c>
      <c r="F12" s="97">
        <f>SUM('P&amp;L'!P31:R31)</f>
        <v>1500</v>
      </c>
      <c r="G12" s="17">
        <f>SUM('P&amp;L'!S31:U31)</f>
        <v>1500</v>
      </c>
      <c r="H12" s="17">
        <f>SUM('P&amp;L'!V31:X31)</f>
        <v>1500</v>
      </c>
      <c r="I12" s="97">
        <f>SUM('P&amp;L'!Y31:AA31)</f>
        <v>68013.75</v>
      </c>
      <c r="J12" s="97">
        <f>SUM('P&amp;L'!AB31:AD31)</f>
        <v>68762.206406249985</v>
      </c>
      <c r="K12" s="97">
        <f>SUM('P&amp;L'!AE31:AG31)</f>
        <v>69049.825753535144</v>
      </c>
      <c r="L12" s="97">
        <f>SUM('P&amp;L'!AH31:AJ31)</f>
        <v>69382.781100436128</v>
      </c>
      <c r="M12" s="17">
        <f>SUM('P&amp;L'!AK31:AM31)</f>
        <v>99162.073037773676</v>
      </c>
      <c r="N12" s="17">
        <f>SUM('P&amp;L'!AN31:AP31)</f>
        <v>100849.24541044318</v>
      </c>
      <c r="O12" s="17">
        <f>SUM('P&amp;L'!AQ31:AS31)</f>
        <v>101842.65654638929</v>
      </c>
      <c r="P12" s="17">
        <f>SUM('P&amp;L'!AT31:AV31)</f>
        <v>102992.65411263891</v>
      </c>
      <c r="Q12" s="17">
        <f>SUM('P&amp;L'!AW31:AY31)</f>
        <v>159654.01105761691</v>
      </c>
      <c r="R12" s="17">
        <f>SUM('P&amp;L'!AZ31:BB31)</f>
        <v>164004.28313922696</v>
      </c>
      <c r="S12" s="17">
        <f>SUM('P&amp;L'!BC31:BE31)</f>
        <v>166867.82233154759</v>
      </c>
      <c r="T12" s="17">
        <f>SUM('P&amp;L'!BF31:BH31)</f>
        <v>170182.72688905778</v>
      </c>
      <c r="U12" s="17">
        <f>SUM('P&amp;L'!BI31:BK31)</f>
        <v>207139.56534391025</v>
      </c>
      <c r="V12" s="17">
        <f>SUM('P&amp;L'!BL31:BN31)</f>
        <v>216665.47963048003</v>
      </c>
      <c r="W12" s="17">
        <f>SUM('P&amp;L'!BO31:BQ31)</f>
        <v>223761.53718535946</v>
      </c>
      <c r="X12" s="17">
        <f>SUM('P&amp;L'!BR31:BT31)</f>
        <v>231976.11081232675</v>
      </c>
    </row>
    <row r="13" spans="2:24" x14ac:dyDescent="0.3">
      <c r="D13" t="s">
        <v>78</v>
      </c>
      <c r="E13" s="98">
        <f ca="1">SUM(E9:E11)</f>
        <v>384025</v>
      </c>
      <c r="F13" s="98">
        <f ca="1">SUM('P&amp;L'!P33:R33)</f>
        <v>443591.66666666663</v>
      </c>
      <c r="G13" s="98">
        <f ca="1">SUM('P&amp;L'!S33:U33)</f>
        <v>477098.33333333331</v>
      </c>
      <c r="H13" s="98">
        <f ca="1">SUM('P&amp;L'!V33:X33)</f>
        <v>489628.33333333331</v>
      </c>
      <c r="I13" s="98">
        <f ca="1">SUM('P&amp;L'!Y33:AA33)</f>
        <v>738751.25</v>
      </c>
      <c r="J13" s="98">
        <f ca="1">SUM('P&amp;L'!AB33:AD33)</f>
        <v>920471.37307291664</v>
      </c>
      <c r="K13" s="98">
        <f ca="1">SUM('P&amp;L'!AE33:AG33)</f>
        <v>990952.32575353514</v>
      </c>
      <c r="L13" s="98">
        <f ca="1">SUM('P&amp;L'!AH33:AJ33)</f>
        <v>1004785.2811004361</v>
      </c>
      <c r="M13" s="98">
        <f ca="1">SUM('P&amp;L'!AK33:AM33)</f>
        <v>1161149.3647044403</v>
      </c>
      <c r="N13" s="98">
        <f ca="1">SUM('P&amp;L'!AN33:AP33)</f>
        <v>1262129.8704104433</v>
      </c>
      <c r="O13" s="98">
        <f ca="1">SUM('P&amp;L'!AQ33:AS33)</f>
        <v>1355811.6148797227</v>
      </c>
      <c r="P13" s="98">
        <f ca="1">SUM('P&amp;L'!AT33:AV33)</f>
        <v>1420438.2791126391</v>
      </c>
      <c r="Q13" s="98">
        <f ca="1">SUM('P&amp;L'!AW33:AY33)</f>
        <v>1785771.4173076171</v>
      </c>
      <c r="R13" s="98">
        <f ca="1">SUM('P&amp;L'!AZ33:BB33)</f>
        <v>1778155.0227225604</v>
      </c>
      <c r="S13" s="98">
        <f ca="1">SUM('P&amp;L'!BC33:BE33)</f>
        <v>1861548.561914881</v>
      </c>
      <c r="T13" s="98">
        <f ca="1">SUM('P&amp;L'!BF33:BH33)</f>
        <v>1939073.466472391</v>
      </c>
      <c r="U13" s="98">
        <f ca="1">SUM('P&amp;L'!BI33:BK33)</f>
        <v>2050359.3419064102</v>
      </c>
      <c r="V13" s="98">
        <f ca="1">SUM('P&amp;L'!BL33:BN33)</f>
        <v>2059885.2561929799</v>
      </c>
      <c r="W13" s="98">
        <f ca="1">SUM('P&amp;L'!BO33:BQ33)</f>
        <v>2066981.3137478591</v>
      </c>
      <c r="X13" s="98">
        <f ca="1">SUM('P&amp;L'!BR33:BT33)</f>
        <v>2075195.8873748267</v>
      </c>
    </row>
    <row r="14" spans="2:24" ht="15" thickBot="1" x14ac:dyDescent="0.35">
      <c r="C14" t="s">
        <v>79</v>
      </c>
      <c r="E14" s="99">
        <f ca="1">E7-E13</f>
        <v>-384025</v>
      </c>
      <c r="F14" s="99">
        <f ca="1">SUM('P&amp;L'!P36:R36)</f>
        <v>-444591.66666666663</v>
      </c>
      <c r="G14" s="99">
        <f ca="1">SUM('P&amp;L'!S36:U36)</f>
        <v>-466044.83333333331</v>
      </c>
      <c r="H14" s="99">
        <f ca="1">SUM('P&amp;L'!V36:X36)</f>
        <v>-470667.33333333331</v>
      </c>
      <c r="I14" s="99">
        <f ca="1">SUM('P&amp;L'!Y36:AA36)</f>
        <v>-584463.75</v>
      </c>
      <c r="J14" s="99">
        <f ca="1">SUM('P&amp;L'!AB36:AD36)</f>
        <v>-717908.87307291664</v>
      </c>
      <c r="K14" s="99">
        <f ca="1">SUM('P&amp;L'!AE36:AG36)</f>
        <v>-732677.32575353514</v>
      </c>
      <c r="L14" s="99">
        <f ca="1">SUM('P&amp;L'!AH36:AJ36)</f>
        <v>-684791.53110043611</v>
      </c>
      <c r="M14" s="99">
        <f ca="1">SUM('P&amp;L'!AK36:AM36)</f>
        <v>-525326.86470444035</v>
      </c>
      <c r="N14" s="99">
        <f ca="1">SUM('P&amp;L'!AN36:AP36)</f>
        <v>-450697.12041044317</v>
      </c>
      <c r="O14" s="99">
        <f ca="1">SUM('P&amp;L'!AQ36:AS36)</f>
        <v>-353345.61487972277</v>
      </c>
      <c r="P14" s="99">
        <f ca="1">SUM('P&amp;L'!AT36:AV36)</f>
        <v>-177393.2791126392</v>
      </c>
      <c r="Q14" s="99">
        <f ca="1">SUM('P&amp;L'!AW36:AY36)</f>
        <v>201776.70769238297</v>
      </c>
      <c r="R14" s="99">
        <f ca="1">SUM('P&amp;L'!AZ36:BB36)</f>
        <v>678992.47727743955</v>
      </c>
      <c r="S14" s="99">
        <f ca="1">SUM('P&amp;L'!BC36:BE36)</f>
        <v>1218562.0630851192</v>
      </c>
      <c r="T14" s="99">
        <f ca="1">SUM('P&amp;L'!BF36:BH36)</f>
        <v>1799025.908527609</v>
      </c>
      <c r="U14" s="99">
        <f ca="1">SUM('P&amp;L'!BI36:BK36)</f>
        <v>3384968.1580935898</v>
      </c>
      <c r="V14" s="99">
        <f ca="1">SUM('P&amp;L'!BL36:BN36)</f>
        <v>4618068.4938070197</v>
      </c>
      <c r="W14" s="99">
        <f ca="1">SUM('P&amp;L'!BO36:BQ36)</f>
        <v>6032859.9362521414</v>
      </c>
      <c r="X14" s="99">
        <f ca="1">SUM('P&amp;L'!BR36:BT36)</f>
        <v>7693437.8626251733</v>
      </c>
    </row>
    <row r="15" spans="2:24" x14ac:dyDescent="0.3">
      <c r="E15" s="97"/>
      <c r="F15" s="97"/>
      <c r="G15" s="17"/>
      <c r="H15" s="17"/>
      <c r="I15" s="97"/>
      <c r="J15" s="97"/>
      <c r="K15" s="97"/>
      <c r="L15" s="97"/>
      <c r="M15" s="17"/>
      <c r="N15" s="17"/>
      <c r="O15" s="17"/>
      <c r="P15" s="17"/>
      <c r="Q15" s="17"/>
      <c r="R15" s="17"/>
      <c r="S15" s="17"/>
      <c r="T15" s="17"/>
      <c r="U15" s="17"/>
      <c r="V15" s="17"/>
      <c r="W15" s="17"/>
      <c r="X15" s="17"/>
    </row>
    <row r="16" spans="2:24" x14ac:dyDescent="0.3">
      <c r="C16" t="s">
        <v>80</v>
      </c>
      <c r="E16" s="97">
        <f>SUM('P&amp;L'!M38:O38)</f>
        <v>1400</v>
      </c>
      <c r="F16" s="97">
        <f>SUM('P&amp;L'!P38:R38)</f>
        <v>1400</v>
      </c>
      <c r="G16" s="17">
        <f>SUM('P&amp;L'!S38:U38)</f>
        <v>1400</v>
      </c>
      <c r="H16" s="17">
        <f>SUM('P&amp;L'!V38:X38)</f>
        <v>1400</v>
      </c>
      <c r="I16" s="97">
        <f ca="1">SUM('P&amp;L'!Y38:AA38)</f>
        <v>2149.9999999999995</v>
      </c>
      <c r="J16" s="97">
        <f ca="1">SUM('P&amp;L'!AB38:AD38)</f>
        <v>2149.9999999999995</v>
      </c>
      <c r="K16" s="97">
        <f ca="1">SUM('P&amp;L'!AE38:AG38)</f>
        <v>2149.9999999999995</v>
      </c>
      <c r="L16" s="97">
        <f ca="1">SUM('P&amp;L'!AH38:AJ38)</f>
        <v>2149.9999999999995</v>
      </c>
      <c r="M16" s="17">
        <f ca="1">SUM('P&amp;L'!AK38:AM38)</f>
        <v>3349.9999999999995</v>
      </c>
      <c r="N16" s="17">
        <f ca="1">SUM('P&amp;L'!AN38:AP38)</f>
        <v>3349.9999999999995</v>
      </c>
      <c r="O16" s="17">
        <f ca="1">SUM('P&amp;L'!AQ38:AS38)</f>
        <v>3349.9999999999995</v>
      </c>
      <c r="P16" s="17">
        <f ca="1">SUM('P&amp;L'!AT38:AV38)</f>
        <v>3349.9999999999995</v>
      </c>
      <c r="Q16" s="17">
        <f ca="1">SUM('P&amp;L'!AW38:AY38)</f>
        <v>4400</v>
      </c>
      <c r="R16" s="17">
        <f ca="1">SUM('P&amp;L'!AZ38:BB38)</f>
        <v>4400</v>
      </c>
      <c r="S16" s="17">
        <f ca="1">SUM('P&amp;L'!BC38:BE38)</f>
        <v>4400</v>
      </c>
      <c r="T16" s="17">
        <f ca="1">SUM('P&amp;L'!BF38:BH38)</f>
        <v>4400</v>
      </c>
      <c r="U16" s="17">
        <f ca="1">SUM('P&amp;L'!BI38:BK38)</f>
        <v>4400</v>
      </c>
      <c r="V16" s="17">
        <f ca="1">SUM('P&amp;L'!BL38:BN38)</f>
        <v>4400</v>
      </c>
      <c r="W16" s="17">
        <f ca="1">SUM('P&amp;L'!BO38:BQ38)</f>
        <v>4400</v>
      </c>
      <c r="X16" s="17">
        <f ca="1">SUM('P&amp;L'!BR38:BT38)</f>
        <v>4400</v>
      </c>
    </row>
    <row r="17" spans="2:24" x14ac:dyDescent="0.3">
      <c r="C17" t="s">
        <v>81</v>
      </c>
      <c r="E17" s="97">
        <f>SUM('P&amp;L'!M39:O39)</f>
        <v>4931.8001426954679</v>
      </c>
      <c r="F17" s="97">
        <f>SUM('P&amp;L'!P39:R39)</f>
        <v>4724.9171205554085</v>
      </c>
      <c r="G17" s="17">
        <f>SUM('P&amp;L'!S39:U39)</f>
        <v>4513.8687922709232</v>
      </c>
      <c r="H17" s="17">
        <f>SUM('P&amp;L'!V39:X39)</f>
        <v>4298.5712951108053</v>
      </c>
      <c r="I17" s="97">
        <f>SUM('P&amp;L'!Y39:AA39)</f>
        <v>4078.9390778826801</v>
      </c>
      <c r="J17" s="97">
        <f>SUM('P&amp;L'!AB39:AD39)</f>
        <v>3854.8848669381487</v>
      </c>
      <c r="K17" s="97">
        <f>SUM('P&amp;L'!AE39:AG39)</f>
        <v>3626.3196314935021</v>
      </c>
      <c r="L17" s="97">
        <f>SUM('P&amp;L'!AH39:AJ39)</f>
        <v>3393.1525482522029</v>
      </c>
      <c r="M17" s="17">
        <f>SUM('P&amp;L'!AK39:AM39)</f>
        <v>3155.2909653151019</v>
      </c>
      <c r="N17" s="17">
        <f>SUM('P&amp;L'!AN39:AP39)</f>
        <v>2912.6403653640291</v>
      </c>
      <c r="O17" s="17">
        <f>SUM('P&amp;L'!AQ39:AS39)</f>
        <v>2665.1043281041339</v>
      </c>
      <c r="P17" s="17">
        <f>SUM('P&amp;L'!AT39:AV39)</f>
        <v>2412.5844919500614</v>
      </c>
      <c r="Q17" s="17">
        <f>SUM('P&amp;L'!AW39:AY39)</f>
        <v>2154.9805149407284</v>
      </c>
      <c r="R17" s="17">
        <f>SUM('P&amp;L'!AZ39:BB39)</f>
        <v>1892.1900348671693</v>
      </c>
      <c r="S17" s="17">
        <f>SUM('P&amp;L'!BC39:BE39)</f>
        <v>1624.1086285976166</v>
      </c>
      <c r="T17" s="17">
        <f>SUM('P&amp;L'!BF39:BH39)</f>
        <v>1350.6297705836423</v>
      </c>
      <c r="U17" s="17">
        <f>SUM('P&amp;L'!BI39:BK39)</f>
        <v>1071.644790530881</v>
      </c>
      <c r="V17" s="17">
        <f>SUM('P&amp;L'!BL39:BN39)</f>
        <v>787.04283021750769</v>
      </c>
      <c r="W17" s="17">
        <f>SUM('P&amp;L'!BO39:BQ39)</f>
        <v>496.71079944331836</v>
      </c>
      <c r="X17" s="17">
        <f>SUM('P&amp;L'!BR39:BT39)</f>
        <v>200.53333109190334</v>
      </c>
    </row>
    <row r="18" spans="2:24" x14ac:dyDescent="0.3">
      <c r="C18" t="s">
        <v>82</v>
      </c>
      <c r="E18" s="97">
        <f ca="1">SUM('P&amp;L'!M41:O41)</f>
        <v>-391856.80014269549</v>
      </c>
      <c r="F18" s="97">
        <f ca="1">SUM('P&amp;L'!P41:R41)</f>
        <v>-450716.58378722204</v>
      </c>
      <c r="G18" s="17">
        <f ca="1">SUM('P&amp;L'!S41:U41)</f>
        <v>-471958.70212560415</v>
      </c>
      <c r="H18" s="17">
        <f ca="1">SUM('P&amp;L'!V41:X41)</f>
        <v>-476365.90462844411</v>
      </c>
      <c r="I18" s="97">
        <f ca="1">SUM('P&amp;L'!Y41:AA41)</f>
        <v>-590692.68907788268</v>
      </c>
      <c r="J18" s="97">
        <f ca="1">SUM('P&amp;L'!AB41:AD41)</f>
        <v>-723913.75793985475</v>
      </c>
      <c r="K18" s="97">
        <f ca="1">SUM('P&amp;L'!AE41:AG41)</f>
        <v>-738453.64538502856</v>
      </c>
      <c r="L18" s="97">
        <f ca="1">SUM('P&amp;L'!AH41:AJ41)</f>
        <v>-690334.68364868825</v>
      </c>
      <c r="M18" s="17">
        <f ca="1">SUM('P&amp;L'!AK41:AM41)</f>
        <v>-531832.15566975542</v>
      </c>
      <c r="N18" s="17">
        <f ca="1">SUM('P&amp;L'!AN41:AP41)</f>
        <v>-456959.7607758072</v>
      </c>
      <c r="O18" s="17">
        <f ca="1">SUM('P&amp;L'!AQ41:AS41)</f>
        <v>-359360.71920782694</v>
      </c>
      <c r="P18" s="17">
        <f ca="1">SUM('P&amp;L'!AT41:AV41)</f>
        <v>-183155.86360458928</v>
      </c>
      <c r="Q18" s="17">
        <f ca="1">SUM('P&amp;L'!AW41:AY41)</f>
        <v>195221.72717744223</v>
      </c>
      <c r="R18" s="17">
        <f ca="1">SUM('P&amp;L'!AZ41:BB41)</f>
        <v>672700.28724257241</v>
      </c>
      <c r="S18" s="17">
        <f ca="1">SUM('P&amp;L'!BC41:BE41)</f>
        <v>1212537.9544565214</v>
      </c>
      <c r="T18" s="17">
        <f ca="1">SUM('P&amp;L'!BF41:BH41)</f>
        <v>1793275.278757025</v>
      </c>
      <c r="U18" s="17">
        <f ca="1">SUM('P&amp;L'!BI41:BK41)</f>
        <v>3379496.5133030582</v>
      </c>
      <c r="V18" s="17">
        <f ca="1">SUM('P&amp;L'!BL41:BN41)</f>
        <v>4612881.450976802</v>
      </c>
      <c r="W18" s="17">
        <f ca="1">SUM('P&amp;L'!BO41:BQ41)</f>
        <v>6027963.2254526969</v>
      </c>
      <c r="X18" s="17">
        <f ca="1">SUM('P&amp;L'!BR41:BT41)</f>
        <v>7688837.3292940818</v>
      </c>
    </row>
    <row r="19" spans="2:24" x14ac:dyDescent="0.3">
      <c r="C19" t="s">
        <v>83</v>
      </c>
      <c r="E19" s="97">
        <f ca="1">SUM('P&amp;L'!M42:O42)</f>
        <v>0</v>
      </c>
      <c r="F19" s="97">
        <f ca="1">SUM('P&amp;L'!P42:R42)</f>
        <v>0</v>
      </c>
      <c r="G19" s="17">
        <f ca="1">SUM('P&amp;L'!S42:U42)</f>
        <v>0</v>
      </c>
      <c r="H19" s="17">
        <f ca="1">SUM('P&amp;L'!V42:X42)</f>
        <v>0</v>
      </c>
      <c r="I19" s="97">
        <f ca="1">SUM('P&amp;L'!Y42:AA42)</f>
        <v>0</v>
      </c>
      <c r="J19" s="97">
        <f ca="1">SUM('P&amp;L'!AB42:AD42)</f>
        <v>0</v>
      </c>
      <c r="K19" s="97">
        <f ca="1">SUM('P&amp;L'!AE42:AG42)</f>
        <v>0</v>
      </c>
      <c r="L19" s="97">
        <f ca="1">SUM('P&amp;L'!AH42:AJ42)</f>
        <v>0</v>
      </c>
      <c r="M19" s="17">
        <f ca="1">SUM('P&amp;L'!AK42:AM42)</f>
        <v>0</v>
      </c>
      <c r="N19" s="17">
        <f ca="1">SUM('P&amp;L'!AN42:AP42)</f>
        <v>0</v>
      </c>
      <c r="O19" s="17">
        <f ca="1">SUM('P&amp;L'!AQ42:AS42)</f>
        <v>0</v>
      </c>
      <c r="P19" s="17">
        <f ca="1">SUM('P&amp;L'!AT42:AV42)</f>
        <v>0</v>
      </c>
      <c r="Q19" s="17">
        <f ca="1">SUM('P&amp;L'!AW42:AY42)</f>
        <v>39044.345435488452</v>
      </c>
      <c r="R19" s="17">
        <f ca="1">SUM('P&amp;L'!AZ42:BB42)</f>
        <v>134540.05744851448</v>
      </c>
      <c r="S19" s="17">
        <f ca="1">SUM('P&amp;L'!BC42:BE42)</f>
        <v>242507.59089130431</v>
      </c>
      <c r="T19" s="17">
        <f ca="1">SUM('P&amp;L'!BF42:BH42)</f>
        <v>358655.05575140507</v>
      </c>
      <c r="U19" s="17">
        <f ca="1">SUM('P&amp;L'!BI42:BK42)</f>
        <v>675899.30266061169</v>
      </c>
      <c r="V19" s="17">
        <f ca="1">SUM('P&amp;L'!BL42:BN42)</f>
        <v>922576.29019536055</v>
      </c>
      <c r="W19" s="17">
        <f ca="1">SUM('P&amp;L'!BO42:BQ42)</f>
        <v>1205592.6450905395</v>
      </c>
      <c r="X19" s="17">
        <f ca="1">SUM('P&amp;L'!BR42:BT42)</f>
        <v>1537767.4658588166</v>
      </c>
    </row>
    <row r="20" spans="2:24" ht="15" thickBot="1" x14ac:dyDescent="0.35">
      <c r="C20" t="s">
        <v>84</v>
      </c>
      <c r="D20" s="29"/>
      <c r="E20" s="98">
        <f ca="1">SUM('P&amp;L'!M44:O44)</f>
        <v>-391856.80014269549</v>
      </c>
      <c r="F20" s="99">
        <f ca="1">SUM('P&amp;L'!P44:R44)</f>
        <v>-450716.58378722204</v>
      </c>
      <c r="G20" s="99">
        <f ca="1">SUM('P&amp;L'!S44:U44)</f>
        <v>-471958.70212560415</v>
      </c>
      <c r="H20" s="99">
        <f ca="1">SUM('P&amp;L'!V44:X44)</f>
        <v>-476365.90462844411</v>
      </c>
      <c r="I20" s="99">
        <f ca="1">SUM('P&amp;L'!Y44:AA44)</f>
        <v>-590692.68907788268</v>
      </c>
      <c r="J20" s="99">
        <f ca="1">SUM('P&amp;L'!AB44:AD44)</f>
        <v>-723913.75793985475</v>
      </c>
      <c r="K20" s="99">
        <f ca="1">SUM('P&amp;L'!AE44:AG44)</f>
        <v>-738453.64538502856</v>
      </c>
      <c r="L20" s="99">
        <f ca="1">SUM('P&amp;L'!AH44:AJ44)</f>
        <v>-690334.68364868825</v>
      </c>
      <c r="M20" s="99">
        <f ca="1">SUM('P&amp;L'!AK44:AM44)</f>
        <v>-531832.15566975542</v>
      </c>
      <c r="N20" s="99">
        <f ca="1">SUM('P&amp;L'!AN44:AP44)</f>
        <v>-456959.7607758072</v>
      </c>
      <c r="O20" s="99">
        <f ca="1">SUM('P&amp;L'!AQ44:AS44)</f>
        <v>-359360.71920782694</v>
      </c>
      <c r="P20" s="99">
        <f ca="1">SUM('P&amp;L'!AT44:AV44)</f>
        <v>-183155.86360458928</v>
      </c>
      <c r="Q20" s="99">
        <f ca="1">SUM('P&amp;L'!AW44:AY44)</f>
        <v>156177.38174195378</v>
      </c>
      <c r="R20" s="99">
        <f ca="1">SUM('P&amp;L'!AZ44:BB44)</f>
        <v>538160.2297940579</v>
      </c>
      <c r="S20" s="99">
        <f ca="1">SUM('P&amp;L'!BC44:BE44)</f>
        <v>970030.36356521712</v>
      </c>
      <c r="T20" s="99">
        <f ca="1">SUM('P&amp;L'!BF44:BH44)</f>
        <v>1434620.2230056203</v>
      </c>
      <c r="U20" s="99">
        <f ca="1">SUM('P&amp;L'!BI44:BK44)</f>
        <v>2703597.2106424468</v>
      </c>
      <c r="V20" s="99">
        <f ca="1">SUM('P&amp;L'!BL44:BN44)</f>
        <v>3690305.1607814422</v>
      </c>
      <c r="W20" s="99">
        <f ca="1">SUM('P&amp;L'!BO44:BQ44)</f>
        <v>4822370.5803621579</v>
      </c>
      <c r="X20" s="99">
        <f ca="1">SUM('P&amp;L'!BR44:BT44)</f>
        <v>6151069.8634352647</v>
      </c>
    </row>
    <row r="21" spans="2:24" x14ac:dyDescent="0.3">
      <c r="C21" s="28" t="s">
        <v>85</v>
      </c>
      <c r="E21" s="100">
        <f ca="1">D21+E20</f>
        <v>-391856.80014269549</v>
      </c>
      <c r="F21" s="100">
        <f t="shared" ref="F21:X21" ca="1" si="1">E21+F20</f>
        <v>-842573.38392991759</v>
      </c>
      <c r="G21" s="100">
        <f t="shared" ca="1" si="1"/>
        <v>-1314532.0860555219</v>
      </c>
      <c r="H21" s="100">
        <f t="shared" ca="1" si="1"/>
        <v>-1790897.9906839659</v>
      </c>
      <c r="I21" s="100">
        <f t="shared" ca="1" si="1"/>
        <v>-2381590.6797618484</v>
      </c>
      <c r="J21" s="100">
        <f t="shared" ca="1" si="1"/>
        <v>-3105504.437701703</v>
      </c>
      <c r="K21" s="100">
        <f t="shared" ca="1" si="1"/>
        <v>-3843958.0830867318</v>
      </c>
      <c r="L21" s="100">
        <f t="shared" ca="1" si="1"/>
        <v>-4534292.7667354196</v>
      </c>
      <c r="M21" s="100">
        <f t="shared" ca="1" si="1"/>
        <v>-5066124.9224051749</v>
      </c>
      <c r="N21" s="100">
        <f t="shared" ca="1" si="1"/>
        <v>-5523084.6831809822</v>
      </c>
      <c r="O21" s="100">
        <f t="shared" ca="1" si="1"/>
        <v>-5882445.4023888092</v>
      </c>
      <c r="P21" s="100">
        <f t="shared" ca="1" si="1"/>
        <v>-6065601.2659933986</v>
      </c>
      <c r="Q21" s="100">
        <f t="shared" ca="1" si="1"/>
        <v>-5909423.8842514446</v>
      </c>
      <c r="R21" s="100">
        <f t="shared" ca="1" si="1"/>
        <v>-5371263.6544573866</v>
      </c>
      <c r="S21" s="100">
        <f t="shared" ca="1" si="1"/>
        <v>-4401233.2908921698</v>
      </c>
      <c r="T21" s="100">
        <f t="shared" ca="1" si="1"/>
        <v>-2966613.0678865495</v>
      </c>
      <c r="U21" s="100">
        <f t="shared" ca="1" si="1"/>
        <v>-263015.85724410275</v>
      </c>
      <c r="V21" s="100">
        <f t="shared" ca="1" si="1"/>
        <v>3427289.3035373394</v>
      </c>
      <c r="W21" s="100">
        <f t="shared" ca="1" si="1"/>
        <v>8249659.8838994969</v>
      </c>
      <c r="X21" s="100">
        <f t="shared" ca="1" si="1"/>
        <v>14400729.747334762</v>
      </c>
    </row>
    <row r="22" spans="2:24" x14ac:dyDescent="0.3">
      <c r="M22" s="97"/>
      <c r="N22" s="97"/>
      <c r="O22" s="97"/>
      <c r="P22" s="97"/>
      <c r="Q22" s="97"/>
      <c r="R22" s="97"/>
      <c r="S22" s="97"/>
      <c r="U22" s="97"/>
      <c r="V22" s="97"/>
      <c r="W22" s="97"/>
    </row>
    <row r="23" spans="2:24" x14ac:dyDescent="0.3">
      <c r="B23" s="16" t="s">
        <v>247</v>
      </c>
      <c r="M23" s="97"/>
      <c r="N23" s="97"/>
      <c r="O23" s="97"/>
      <c r="P23" s="97"/>
      <c r="Q23" s="97"/>
      <c r="R23" s="97"/>
      <c r="S23" s="97"/>
      <c r="T23" s="97"/>
      <c r="U23" s="97"/>
      <c r="V23" s="97"/>
      <c r="W23" s="97"/>
      <c r="X23" s="97"/>
    </row>
    <row r="24" spans="2:24" x14ac:dyDescent="0.3">
      <c r="M24" s="97"/>
      <c r="N24" s="97"/>
      <c r="O24" s="97"/>
      <c r="P24" s="97"/>
      <c r="Q24" s="97"/>
      <c r="R24" s="97"/>
      <c r="S24" s="97"/>
      <c r="T24" s="97"/>
      <c r="U24" s="97"/>
      <c r="V24" s="97"/>
      <c r="W24" s="97"/>
      <c r="X24" s="97"/>
    </row>
    <row r="25" spans="2:24" x14ac:dyDescent="0.3">
      <c r="B25" t="s">
        <v>87</v>
      </c>
      <c r="G25" s="101"/>
      <c r="H25" s="101"/>
      <c r="I25" s="101"/>
      <c r="J25" s="101"/>
      <c r="K25" s="101"/>
      <c r="L25" s="101"/>
      <c r="M25" s="101"/>
      <c r="N25" s="101"/>
      <c r="O25" s="101"/>
      <c r="P25" s="101"/>
      <c r="Q25" s="101"/>
      <c r="R25" s="101"/>
      <c r="S25" s="101"/>
      <c r="T25" s="101"/>
      <c r="U25" s="101"/>
      <c r="V25" s="101"/>
      <c r="W25" s="101"/>
      <c r="X25" s="101"/>
    </row>
    <row r="26" spans="2:24" x14ac:dyDescent="0.3">
      <c r="C26" t="s">
        <v>88</v>
      </c>
      <c r="E26" s="105">
        <v>0</v>
      </c>
      <c r="F26" s="105">
        <f t="shared" ref="F26:X26" ca="1" si="2">E36</f>
        <v>407517.70428368973</v>
      </c>
      <c r="G26" s="105">
        <f t="shared" ca="1" si="2"/>
        <v>33968.741900712834</v>
      </c>
      <c r="H26" s="105">
        <f t="shared" ca="1" si="2"/>
        <v>-361361.38714893063</v>
      </c>
      <c r="I26" s="105">
        <f t="shared" ca="1" si="2"/>
        <v>1738832.9838014259</v>
      </c>
      <c r="J26" s="105">
        <f t="shared" ca="1" si="2"/>
        <v>1207295.3380851157</v>
      </c>
      <c r="K26" s="105">
        <f t="shared" ca="1" si="2"/>
        <v>559631.56929588877</v>
      </c>
      <c r="L26" s="105">
        <f t="shared" ca="1" si="2"/>
        <v>-132139.90217395654</v>
      </c>
      <c r="M26" s="105">
        <f t="shared" ca="1" si="2"/>
        <v>8166599.5710092969</v>
      </c>
      <c r="N26" s="105">
        <f t="shared" ca="1" si="2"/>
        <v>7595158.1605885467</v>
      </c>
      <c r="O26" s="105">
        <f t="shared" ca="1" si="2"/>
        <v>7125230.6444617938</v>
      </c>
      <c r="P26" s="105">
        <f t="shared" ca="1" si="2"/>
        <v>6752650.7338657603</v>
      </c>
      <c r="Q26" s="105">
        <f t="shared" ca="1" si="2"/>
        <v>6554663.3590368107</v>
      </c>
      <c r="R26" s="105">
        <f t="shared" ca="1" si="2"/>
        <v>6664225.4255773947</v>
      </c>
      <c r="S26" s="105">
        <f t="shared" ca="1" si="2"/>
        <v>7183643.3496900098</v>
      </c>
      <c r="T26" s="105">
        <f t="shared" ca="1" si="2"/>
        <v>8131156.2261675149</v>
      </c>
      <c r="U26" s="105">
        <f t="shared" ca="1" si="2"/>
        <v>9541652.6832274087</v>
      </c>
      <c r="V26" s="105">
        <f t="shared" ca="1" si="2"/>
        <v>12197102.542944076</v>
      </c>
      <c r="W26" s="105">
        <f t="shared" ca="1" si="2"/>
        <v>15850429.650839424</v>
      </c>
      <c r="X26" s="105">
        <f t="shared" ca="1" si="2"/>
        <v>20631423.046284713</v>
      </c>
    </row>
    <row r="27" spans="2:24" x14ac:dyDescent="0.3">
      <c r="C27" t="s">
        <v>84</v>
      </c>
      <c r="E27" s="105">
        <f ca="1">SUM('P&amp;L'!M52:O52)</f>
        <v>-391856.80014269549</v>
      </c>
      <c r="F27" s="105">
        <f ca="1">SUM('P&amp;L'!P52:R52)</f>
        <v>-450716.58378722204</v>
      </c>
      <c r="G27" s="105">
        <f ca="1">SUM('P&amp;L'!S52:U52)</f>
        <v>-471958.70212560415</v>
      </c>
      <c r="H27" s="105">
        <f ca="1">SUM('P&amp;L'!V52:X52)</f>
        <v>-476365.90462844411</v>
      </c>
      <c r="I27" s="105">
        <f ca="1">SUM('P&amp;L'!Y52:AA52)</f>
        <v>-590692.68907788268</v>
      </c>
      <c r="J27" s="105">
        <f ca="1">SUM('P&amp;L'!AB52:AD52)</f>
        <v>-723913.75793985475</v>
      </c>
      <c r="K27" s="105">
        <f ca="1">SUM('P&amp;L'!AE52:AG52)</f>
        <v>-738453.64538502856</v>
      </c>
      <c r="L27" s="105">
        <f ca="1">SUM('P&amp;L'!AH52:AJ52)</f>
        <v>-690334.68364868825</v>
      </c>
      <c r="M27" s="105">
        <f ca="1">SUM('P&amp;L'!AK52:AM52)</f>
        <v>-531832.15566975542</v>
      </c>
      <c r="N27" s="105">
        <f ca="1">SUM('P&amp;L'!AN52:AP52)</f>
        <v>-456959.7607758072</v>
      </c>
      <c r="O27" s="105">
        <f ca="1">SUM('P&amp;L'!AQ52:AS52)</f>
        <v>-359360.71920782694</v>
      </c>
      <c r="P27" s="105">
        <f ca="1">SUM('P&amp;L'!AT52:AV52)</f>
        <v>-183155.86360458928</v>
      </c>
      <c r="Q27" s="105">
        <f ca="1">SUM('P&amp;L'!AW52:AY52)</f>
        <v>156177.38174195378</v>
      </c>
      <c r="R27" s="105">
        <f ca="1">SUM('P&amp;L'!AZ52:BB52)</f>
        <v>538160.2297940579</v>
      </c>
      <c r="S27" s="105">
        <f ca="1">SUM('P&amp;L'!BC52:BE52)</f>
        <v>970030.36356521712</v>
      </c>
      <c r="T27" s="105">
        <f ca="1">SUM('P&amp;L'!BF52:BH52)</f>
        <v>1434620.2230056203</v>
      </c>
      <c r="U27" s="105">
        <f ca="1">SUM('P&amp;L'!BI52:BK52)</f>
        <v>2703597.2106424468</v>
      </c>
      <c r="V27" s="105">
        <f ca="1">SUM('P&amp;L'!BL52:BN52)</f>
        <v>3690305.1607814422</v>
      </c>
      <c r="W27" s="105">
        <f ca="1">SUM('P&amp;L'!BO52:BQ52)</f>
        <v>4822370.5803621579</v>
      </c>
      <c r="X27" s="105">
        <f ca="1">SUM('P&amp;L'!BR52:BT52)</f>
        <v>6151069.8634352647</v>
      </c>
    </row>
    <row r="28" spans="2:24" x14ac:dyDescent="0.3">
      <c r="C28" t="s">
        <v>89</v>
      </c>
      <c r="E28" s="105">
        <f>SUM('P&amp;L'!M53:O53)</f>
        <v>500000</v>
      </c>
      <c r="F28" s="105">
        <f>SUM('P&amp;L'!P53:R53)</f>
        <v>0</v>
      </c>
      <c r="G28" s="105">
        <f>SUM('P&amp;L'!S53:U53)</f>
        <v>0</v>
      </c>
      <c r="H28" s="105">
        <f>SUM('P&amp;L'!V53:X53)</f>
        <v>2500000</v>
      </c>
      <c r="I28" s="105">
        <f>SUM('P&amp;L'!Y53:AA53)</f>
        <v>0</v>
      </c>
      <c r="J28" s="105">
        <f>SUM('P&amp;L'!AB53:AD53)</f>
        <v>0</v>
      </c>
      <c r="K28" s="105">
        <f>SUM('P&amp;L'!AE53:AG53)</f>
        <v>0</v>
      </c>
      <c r="L28" s="105">
        <f>SUM('P&amp;L'!AH53:AJ53)</f>
        <v>9000000</v>
      </c>
      <c r="M28" s="105">
        <f>SUM('P&amp;L'!AK53:AM53)</f>
        <v>0</v>
      </c>
      <c r="N28" s="105">
        <f>SUM('P&amp;L'!AN53:AP53)</f>
        <v>0</v>
      </c>
      <c r="O28" s="105">
        <f>SUM('P&amp;L'!AQ53:AS53)</f>
        <v>0</v>
      </c>
      <c r="P28" s="105">
        <f>SUM('P&amp;L'!AT53:AV53)</f>
        <v>0</v>
      </c>
      <c r="Q28" s="105">
        <f>SUM('P&amp;L'!AW53:AY53)</f>
        <v>0</v>
      </c>
      <c r="R28" s="105">
        <f>SUM('P&amp;L'!AZ53:BB53)</f>
        <v>0</v>
      </c>
      <c r="S28" s="105">
        <f>SUM('P&amp;L'!BC53:BE53)</f>
        <v>0</v>
      </c>
      <c r="T28" s="105">
        <f>SUM('P&amp;L'!BF53:BH53)</f>
        <v>0</v>
      </c>
      <c r="U28" s="105">
        <f>SUM('P&amp;L'!BI53:BK53)</f>
        <v>0</v>
      </c>
      <c r="V28" s="105">
        <f>SUM('P&amp;L'!BL53:BN53)</f>
        <v>0</v>
      </c>
      <c r="W28" s="105">
        <f>SUM('P&amp;L'!BO53:BQ53)</f>
        <v>0</v>
      </c>
      <c r="X28" s="105">
        <f>SUM('P&amp;L'!BR53:BT53)</f>
        <v>0</v>
      </c>
    </row>
    <row r="29" spans="2:24" x14ac:dyDescent="0.3">
      <c r="C29" t="s">
        <v>90</v>
      </c>
      <c r="E29" s="105">
        <f>SUM('P&amp;L'!M54:O54)</f>
        <v>0</v>
      </c>
      <c r="F29" s="105">
        <f>SUM('P&amp;L'!P54:R54)</f>
        <v>0</v>
      </c>
      <c r="G29" s="105">
        <f>SUM('P&amp;L'!S54:U54)</f>
        <v>-328</v>
      </c>
      <c r="H29" s="105">
        <f>SUM('P&amp;L'!V54:X54)</f>
        <v>-181</v>
      </c>
      <c r="I29" s="105">
        <f>SUM('P&amp;L'!Y54:AA54)</f>
        <v>-3116.6000000000058</v>
      </c>
      <c r="J29" s="105">
        <f>SUM('P&amp;L'!AB54:AD54)</f>
        <v>-797.59999999994761</v>
      </c>
      <c r="K29" s="105">
        <f>SUM('P&amp;L'!AE54:AG54)</f>
        <v>-1386.8499999999767</v>
      </c>
      <c r="L29" s="105">
        <f>SUM('P&amp;L'!AH54:AJ54)</f>
        <v>-1261.7000000000698</v>
      </c>
      <c r="M29" s="105">
        <f>SUM('P&amp;L'!AK54:AM54)</f>
        <v>-6907.25</v>
      </c>
      <c r="N29" s="105">
        <f>SUM('P&amp;L'!AN54:AP54)</f>
        <v>-4023.1000000000931</v>
      </c>
      <c r="O29" s="105">
        <f>SUM('P&amp;L'!AQ54:AS54)</f>
        <v>-4027</v>
      </c>
      <c r="P29" s="105">
        <f>SUM('P&amp;L'!AT54:AV54)</f>
        <v>-5386.8000000002794</v>
      </c>
      <c r="Q29" s="105">
        <f>SUM('P&amp;L'!AW54:AY54)</f>
        <v>-16963.000000000931</v>
      </c>
      <c r="R29" s="105">
        <f>SUM('P&amp;L'!AZ54:BB54)</f>
        <v>-9827.2000000001863</v>
      </c>
      <c r="S29" s="105">
        <f>SUM('P&amp;L'!BC54:BE54)</f>
        <v>-13334.299999998882</v>
      </c>
      <c r="T29" s="105">
        <f>SUM('P&amp;L'!BF54:BH54)</f>
        <v>-14667.099999999627</v>
      </c>
      <c r="U29" s="105">
        <f>SUM('P&amp;L'!BI54:BK54)</f>
        <v>-38411.699999999255</v>
      </c>
      <c r="V29" s="105">
        <f>SUM('P&amp;L'!BL54:BN54)</f>
        <v>-26957.800000000745</v>
      </c>
      <c r="W29" s="105">
        <f>SUM('P&amp;L'!BO54:BQ54)</f>
        <v>-31066.60000000149</v>
      </c>
      <c r="X29" s="105">
        <f>SUM('P&amp;L'!BR54:BT54)</f>
        <v>-36696.10000000149</v>
      </c>
    </row>
    <row r="30" spans="2:24" x14ac:dyDescent="0.3">
      <c r="C30" t="s">
        <v>91</v>
      </c>
      <c r="E30" s="105">
        <f>SUM('P&amp;L'!M55:O55)</f>
        <v>-28000</v>
      </c>
      <c r="F30" s="105">
        <f>SUM('P&amp;L'!P55:R55)</f>
        <v>0</v>
      </c>
      <c r="G30" s="105">
        <f>SUM('P&amp;L'!S55:U55)</f>
        <v>0</v>
      </c>
      <c r="H30" s="105">
        <f>SUM('P&amp;L'!V55:X55)</f>
        <v>0</v>
      </c>
      <c r="I30" s="105">
        <f>SUM('P&amp;L'!Y55:AA55)</f>
        <v>-15000</v>
      </c>
      <c r="J30" s="105">
        <f>SUM('P&amp;L'!AB55:AD55)</f>
        <v>0</v>
      </c>
      <c r="K30" s="105">
        <f>SUM('P&amp;L'!AE55:AG55)</f>
        <v>0</v>
      </c>
      <c r="L30" s="105">
        <f>SUM('P&amp;L'!AH55:AJ55)</f>
        <v>0</v>
      </c>
      <c r="M30" s="105">
        <f>SUM('P&amp;L'!AK55:AM55)</f>
        <v>-24000</v>
      </c>
      <c r="N30" s="105">
        <f>SUM('P&amp;L'!AN55:AP55)</f>
        <v>0</v>
      </c>
      <c r="O30" s="105">
        <f>SUM('P&amp;L'!AQ55:AS55)</f>
        <v>0</v>
      </c>
      <c r="P30" s="105">
        <f>SUM('P&amp;L'!AT55:AV55)</f>
        <v>0</v>
      </c>
      <c r="Q30" s="105">
        <f>SUM('P&amp;L'!AW55:AY55)</f>
        <v>-21000</v>
      </c>
      <c r="R30" s="105">
        <f>SUM('P&amp;L'!AZ55:BB55)</f>
        <v>0</v>
      </c>
      <c r="S30" s="105">
        <f>SUM('P&amp;L'!BC55:BE55)</f>
        <v>0</v>
      </c>
      <c r="T30" s="105">
        <f>SUM('P&amp;L'!BF55:BH55)</f>
        <v>0</v>
      </c>
      <c r="U30" s="105">
        <f>SUM('P&amp;L'!BI55:BK55)</f>
        <v>0</v>
      </c>
      <c r="V30" s="105">
        <f>SUM('P&amp;L'!BL55:BN55)</f>
        <v>0</v>
      </c>
      <c r="W30" s="105">
        <f>SUM('P&amp;L'!BO55:BQ55)</f>
        <v>0</v>
      </c>
      <c r="X30" s="105">
        <f>SUM('P&amp;L'!BR55:BT55)</f>
        <v>0</v>
      </c>
    </row>
    <row r="31" spans="2:24" x14ac:dyDescent="0.3">
      <c r="C31" t="s">
        <v>92</v>
      </c>
      <c r="E31" s="105">
        <f>SUM('P&amp;L'!M56:O56)</f>
        <v>250000</v>
      </c>
      <c r="F31" s="105">
        <f>SUM('P&amp;L'!P56:R56)</f>
        <v>0</v>
      </c>
      <c r="G31" s="105">
        <f>SUM('P&amp;L'!S56:U56)</f>
        <v>0</v>
      </c>
      <c r="H31" s="105">
        <f>SUM('P&amp;L'!V56:X56)</f>
        <v>0</v>
      </c>
      <c r="I31" s="105">
        <f>SUM('P&amp;L'!Y56:AA56)</f>
        <v>0</v>
      </c>
      <c r="J31" s="105">
        <f>SUM('P&amp;L'!AB56:AD56)</f>
        <v>0</v>
      </c>
      <c r="K31" s="105">
        <f>SUM('P&amp;L'!AE56:AG56)</f>
        <v>0</v>
      </c>
      <c r="L31" s="105">
        <f>SUM('P&amp;L'!AH56:AJ56)</f>
        <v>0</v>
      </c>
      <c r="M31" s="105">
        <f>SUM('P&amp;L'!AK56:AM56)</f>
        <v>0</v>
      </c>
      <c r="N31" s="105">
        <f>SUM('P&amp;L'!AN56:AP56)</f>
        <v>0</v>
      </c>
      <c r="O31" s="105">
        <f>SUM('P&amp;L'!AQ56:AS56)</f>
        <v>0</v>
      </c>
      <c r="P31" s="105">
        <f>SUM('P&amp;L'!AT56:AV56)</f>
        <v>0</v>
      </c>
      <c r="Q31" s="105">
        <f>SUM('P&amp;L'!AW56:AY56)</f>
        <v>0</v>
      </c>
      <c r="R31" s="105">
        <f>SUM('P&amp;L'!AZ56:BB56)</f>
        <v>0</v>
      </c>
      <c r="S31" s="105">
        <f>SUM('P&amp;L'!BC56:BE56)</f>
        <v>0</v>
      </c>
      <c r="T31" s="105">
        <f>SUM('P&amp;L'!BF56:BH56)</f>
        <v>0</v>
      </c>
      <c r="U31" s="105">
        <f>SUM('P&amp;L'!BI56:BK56)</f>
        <v>0</v>
      </c>
      <c r="V31" s="105">
        <f>SUM('P&amp;L'!BL56:BN56)</f>
        <v>0</v>
      </c>
      <c r="W31" s="105">
        <f>SUM('P&amp;L'!BO56:BQ56)</f>
        <v>0</v>
      </c>
      <c r="X31" s="105">
        <f>SUM('P&amp;L'!BR56:BT56)</f>
        <v>0</v>
      </c>
    </row>
    <row r="32" spans="2:24" x14ac:dyDescent="0.3">
      <c r="C32" t="s">
        <v>93</v>
      </c>
      <c r="E32" s="106">
        <f>SUM('P&amp;L'!M57:O57)</f>
        <v>0</v>
      </c>
      <c r="F32" s="106">
        <f>SUM('P&amp;L'!P57:R57)</f>
        <v>0</v>
      </c>
      <c r="G32" s="106">
        <f>SUM('P&amp;L'!S57:U57)</f>
        <v>0</v>
      </c>
      <c r="H32" s="106">
        <f>SUM('P&amp;L'!V57:X57)</f>
        <v>0</v>
      </c>
      <c r="I32" s="106">
        <f>SUM('P&amp;L'!Y57:AA57)</f>
        <v>0</v>
      </c>
      <c r="J32" s="106">
        <f>SUM('P&amp;L'!AB57:AD57)</f>
        <v>0</v>
      </c>
      <c r="K32" s="106">
        <f>SUM('P&amp;L'!AE57:AG57)</f>
        <v>0</v>
      </c>
      <c r="L32" s="106">
        <f>SUM('P&amp;L'!AH57:AJ57)</f>
        <v>0</v>
      </c>
      <c r="M32" s="106">
        <f>SUM('P&amp;L'!AK57:AM57)</f>
        <v>0</v>
      </c>
      <c r="N32" s="106">
        <f>SUM('P&amp;L'!AN57:AP57)</f>
        <v>0</v>
      </c>
      <c r="O32" s="106">
        <f>SUM('P&amp;L'!AQ57:AS57)</f>
        <v>0</v>
      </c>
      <c r="P32" s="106">
        <f>SUM('P&amp;L'!AT57:AV57)</f>
        <v>0</v>
      </c>
      <c r="Q32" s="106">
        <f>SUM('P&amp;L'!AW57:AY57)</f>
        <v>0</v>
      </c>
      <c r="R32" s="106">
        <f>SUM('P&amp;L'!AZ57:BB57)</f>
        <v>0</v>
      </c>
      <c r="S32" s="106">
        <f>SUM('P&amp;L'!BC57:BE57)</f>
        <v>0</v>
      </c>
      <c r="T32" s="106">
        <f>SUM('P&amp;L'!BF57:BH57)</f>
        <v>0</v>
      </c>
      <c r="U32" s="106">
        <f>SUM('P&amp;L'!BI57:BK57)</f>
        <v>0</v>
      </c>
      <c r="V32" s="106">
        <f>SUM('P&amp;L'!BL57:BN57)</f>
        <v>0</v>
      </c>
      <c r="W32" s="106">
        <f>SUM('P&amp;L'!BO57:BQ57)</f>
        <v>0</v>
      </c>
      <c r="X32" s="106">
        <f>SUM('P&amp;L'!BR57:BT57)</f>
        <v>0</v>
      </c>
    </row>
    <row r="33" spans="2:24" x14ac:dyDescent="0.3">
      <c r="C33" t="s">
        <v>94</v>
      </c>
      <c r="E33" s="105">
        <f>SUM('P&amp;L'!M58:O58)</f>
        <v>1400</v>
      </c>
      <c r="F33" s="105">
        <f>SUM('P&amp;L'!P58:R58)</f>
        <v>1400</v>
      </c>
      <c r="G33" s="105">
        <f>SUM('P&amp;L'!S58:U58)</f>
        <v>1400</v>
      </c>
      <c r="H33" s="105">
        <f>SUM('P&amp;L'!V58:X58)</f>
        <v>1400</v>
      </c>
      <c r="I33" s="105">
        <f ca="1">SUM('P&amp;L'!Y58:AA58)</f>
        <v>2149.9999999999995</v>
      </c>
      <c r="J33" s="105">
        <f ca="1">SUM('P&amp;L'!AB58:AD58)</f>
        <v>2149.9999999999995</v>
      </c>
      <c r="K33" s="105">
        <f ca="1">SUM('P&amp;L'!AE58:AG58)</f>
        <v>2149.9999999999995</v>
      </c>
      <c r="L33" s="105">
        <f ca="1">SUM('P&amp;L'!AH58:AJ58)</f>
        <v>2149.9999999999995</v>
      </c>
      <c r="M33" s="105">
        <f ca="1">SUM('P&amp;L'!AK58:AM58)</f>
        <v>3349.9999999999995</v>
      </c>
      <c r="N33" s="105">
        <f ca="1">SUM('P&amp;L'!AN58:AP58)</f>
        <v>3349.9999999999995</v>
      </c>
      <c r="O33" s="105">
        <f ca="1">SUM('P&amp;L'!AQ58:AS58)</f>
        <v>3349.9999999999995</v>
      </c>
      <c r="P33" s="105">
        <f ca="1">SUM('P&amp;L'!AT58:AV58)</f>
        <v>3349.9999999999995</v>
      </c>
      <c r="Q33" s="105">
        <f ca="1">SUM('P&amp;L'!AW58:AY58)</f>
        <v>4400</v>
      </c>
      <c r="R33" s="105">
        <f ca="1">SUM('P&amp;L'!AZ58:BB58)</f>
        <v>4400</v>
      </c>
      <c r="S33" s="105">
        <f ca="1">SUM('P&amp;L'!BC58:BE58)</f>
        <v>4400</v>
      </c>
      <c r="T33" s="105">
        <f ca="1">SUM('P&amp;L'!BF58:BH58)</f>
        <v>4400</v>
      </c>
      <c r="U33" s="105">
        <f ca="1">SUM('P&amp;L'!BI58:BK58)</f>
        <v>4400</v>
      </c>
      <c r="V33" s="105">
        <f ca="1">SUM('P&amp;L'!BL58:BN58)</f>
        <v>4400</v>
      </c>
      <c r="W33" s="105">
        <f ca="1">SUM('P&amp;L'!BO58:BQ58)</f>
        <v>4400</v>
      </c>
      <c r="X33" s="105">
        <f ca="1">SUM('P&amp;L'!BR58:BT58)</f>
        <v>4400</v>
      </c>
    </row>
    <row r="34" spans="2:24" x14ac:dyDescent="0.3">
      <c r="C34" t="s">
        <v>95</v>
      </c>
      <c r="E34" s="105">
        <f>SUM('P&amp;L'!M59:O59)</f>
        <v>-10275.495573614793</v>
      </c>
      <c r="F34" s="105">
        <f>SUM('P&amp;L'!P59:R59)</f>
        <v>-10482.378595754852</v>
      </c>
      <c r="G34" s="105">
        <f>SUM('P&amp;L'!S59:U59)</f>
        <v>-10693.426924039337</v>
      </c>
      <c r="H34" s="105">
        <f>SUM('P&amp;L'!V59:X59)</f>
        <v>-10908.724421199457</v>
      </c>
      <c r="I34" s="105">
        <f>SUM('P&amp;L'!Y59:AA59)</f>
        <v>-11128.35663842758</v>
      </c>
      <c r="J34" s="105">
        <f>SUM('P&amp;L'!AB59:AD59)</f>
        <v>-11352.410849372112</v>
      </c>
      <c r="K34" s="105">
        <f>SUM('P&amp;L'!AE59:AG59)</f>
        <v>-11580.976084816759</v>
      </c>
      <c r="L34" s="105">
        <f>SUM('P&amp;L'!AH59:AJ59)</f>
        <v>-11814.143168058057</v>
      </c>
      <c r="M34" s="105">
        <f>SUM('P&amp;L'!AK59:AM59)</f>
        <v>-12052.004750995158</v>
      </c>
      <c r="N34" s="105">
        <f>SUM('P&amp;L'!AN59:AP59)</f>
        <v>-12294.655350946232</v>
      </c>
      <c r="O34" s="105">
        <f>SUM('P&amp;L'!AQ59:AS59)</f>
        <v>-12542.191388206127</v>
      </c>
      <c r="P34" s="105">
        <f>SUM('P&amp;L'!AT59:AV59)</f>
        <v>-12794.711224360199</v>
      </c>
      <c r="Q34" s="105">
        <f>SUM('P&amp;L'!AW59:AY59)</f>
        <v>-13052.315201369533</v>
      </c>
      <c r="R34" s="105">
        <f>SUM('P&amp;L'!AZ59:BB59)</f>
        <v>-13315.105681443092</v>
      </c>
      <c r="S34" s="105">
        <f>SUM('P&amp;L'!BC59:BE59)</f>
        <v>-13583.187087712644</v>
      </c>
      <c r="T34" s="105">
        <f>SUM('P&amp;L'!BF59:BH59)</f>
        <v>-13856.665945726618</v>
      </c>
      <c r="U34" s="105">
        <f>SUM('P&amp;L'!BI59:BK59)</f>
        <v>-14135.650925779379</v>
      </c>
      <c r="V34" s="105">
        <f>SUM('P&amp;L'!BL59:BN59)</f>
        <v>-14420.252886092752</v>
      </c>
      <c r="W34" s="105">
        <f>SUM('P&amp;L'!BO59:BQ59)</f>
        <v>-14710.584916866943</v>
      </c>
      <c r="X34" s="105">
        <f>SUM('P&amp;L'!BR59:BT59)</f>
        <v>-15006.762385218357</v>
      </c>
    </row>
    <row r="35" spans="2:24" x14ac:dyDescent="0.3">
      <c r="C35" t="s">
        <v>96</v>
      </c>
      <c r="E35" s="105">
        <f>SUM('P&amp;L'!M60:O60)</f>
        <v>86250</v>
      </c>
      <c r="F35" s="105">
        <f>SUM('P&amp;L'!P60:R60)</f>
        <v>86250</v>
      </c>
      <c r="G35" s="105">
        <f>SUM('P&amp;L'!S60:U60)</f>
        <v>86250</v>
      </c>
      <c r="H35" s="105">
        <f>SUM('P&amp;L'!V60:X60)</f>
        <v>86250</v>
      </c>
      <c r="I35" s="105">
        <f>SUM('P&amp;L'!Y60:AA60)</f>
        <v>86250</v>
      </c>
      <c r="J35" s="105">
        <f>SUM('P&amp;L'!AB60:AD60)</f>
        <v>86250</v>
      </c>
      <c r="K35" s="105">
        <f>SUM('P&amp;L'!AE60:AG60)</f>
        <v>57500</v>
      </c>
      <c r="L35" s="105">
        <f>SUM('P&amp;L'!AH60:AJ60)</f>
        <v>0</v>
      </c>
      <c r="M35" s="105">
        <f>SUM('P&amp;L'!AK60:AM60)</f>
        <v>0</v>
      </c>
      <c r="N35" s="105">
        <f>SUM('P&amp;L'!AN60:AP60)</f>
        <v>0</v>
      </c>
      <c r="O35" s="105">
        <f>SUM('P&amp;L'!AQ60:AS60)</f>
        <v>0</v>
      </c>
      <c r="P35" s="105">
        <f>SUM('P&amp;L'!AT60:AV60)</f>
        <v>0</v>
      </c>
      <c r="Q35" s="105">
        <f>SUM('P&amp;L'!AW60:AY60)</f>
        <v>0</v>
      </c>
      <c r="R35" s="105">
        <f>SUM('P&amp;L'!AZ60:BB60)</f>
        <v>0</v>
      </c>
      <c r="S35" s="105">
        <f>SUM('P&amp;L'!BC60:BE60)</f>
        <v>0</v>
      </c>
      <c r="T35" s="105">
        <f>SUM('P&amp;L'!BF60:BH60)</f>
        <v>0</v>
      </c>
      <c r="U35" s="105">
        <f>SUM('P&amp;L'!BI60:BK60)</f>
        <v>0</v>
      </c>
      <c r="V35" s="105">
        <f>SUM('P&amp;L'!BL60:BN60)</f>
        <v>0</v>
      </c>
      <c r="W35" s="105">
        <f>SUM('P&amp;L'!BO60:BQ60)</f>
        <v>0</v>
      </c>
      <c r="X35" s="105">
        <f>SUM('P&amp;L'!BR60:BT60)</f>
        <v>0</v>
      </c>
    </row>
    <row r="36" spans="2:24" ht="15" thickBot="1" x14ac:dyDescent="0.35">
      <c r="C36" t="s">
        <v>97</v>
      </c>
      <c r="E36" s="32">
        <f t="shared" ref="E36:X36" ca="1" si="3">SUM(E26:E35)</f>
        <v>407517.70428368973</v>
      </c>
      <c r="F36" s="32">
        <f t="shared" ca="1" si="3"/>
        <v>33968.741900712834</v>
      </c>
      <c r="G36" s="32">
        <f t="shared" ca="1" si="3"/>
        <v>-361361.38714893063</v>
      </c>
      <c r="H36" s="32">
        <f t="shared" ca="1" si="3"/>
        <v>1738832.9838014259</v>
      </c>
      <c r="I36" s="32">
        <f t="shared" ca="1" si="3"/>
        <v>1207295.3380851157</v>
      </c>
      <c r="J36" s="32">
        <f t="shared" ca="1" si="3"/>
        <v>559631.56929588877</v>
      </c>
      <c r="K36" s="32">
        <f t="shared" ca="1" si="3"/>
        <v>-132139.90217395654</v>
      </c>
      <c r="L36" s="32">
        <f t="shared" ca="1" si="3"/>
        <v>8166599.5710092969</v>
      </c>
      <c r="M36" s="32">
        <f t="shared" ca="1" si="3"/>
        <v>7595158.1605885467</v>
      </c>
      <c r="N36" s="32">
        <f t="shared" ca="1" si="3"/>
        <v>7125230.6444617938</v>
      </c>
      <c r="O36" s="32">
        <f t="shared" ca="1" si="3"/>
        <v>6752650.7338657603</v>
      </c>
      <c r="P36" s="32">
        <f t="shared" ca="1" si="3"/>
        <v>6554663.3590368107</v>
      </c>
      <c r="Q36" s="32">
        <f t="shared" ca="1" si="3"/>
        <v>6664225.4255773947</v>
      </c>
      <c r="R36" s="32">
        <f t="shared" ca="1" si="3"/>
        <v>7183643.3496900098</v>
      </c>
      <c r="S36" s="32">
        <f t="shared" ca="1" si="3"/>
        <v>8131156.2261675149</v>
      </c>
      <c r="T36" s="32">
        <f t="shared" ca="1" si="3"/>
        <v>9541652.6832274087</v>
      </c>
      <c r="U36" s="32">
        <f t="shared" ca="1" si="3"/>
        <v>12197102.542944076</v>
      </c>
      <c r="V36" s="32">
        <f t="shared" ca="1" si="3"/>
        <v>15850429.650839424</v>
      </c>
      <c r="W36" s="32">
        <f t="shared" ca="1" si="3"/>
        <v>20631423.046284713</v>
      </c>
      <c r="X36" s="32">
        <f t="shared" ca="1" si="3"/>
        <v>26735190.047334757</v>
      </c>
    </row>
    <row r="37" spans="2:24" ht="15" thickTop="1" x14ac:dyDescent="0.3">
      <c r="E37" s="19"/>
      <c r="F37" s="19"/>
      <c r="G37" s="19"/>
      <c r="H37" s="19"/>
      <c r="I37" s="19"/>
      <c r="J37" s="19"/>
      <c r="K37" s="19"/>
      <c r="L37" s="19"/>
      <c r="M37" s="19"/>
      <c r="N37" s="19"/>
      <c r="O37" s="19"/>
      <c r="P37" s="19"/>
      <c r="Q37" s="19"/>
      <c r="R37" s="19"/>
      <c r="S37" s="19"/>
      <c r="T37" s="19"/>
      <c r="U37" s="19"/>
      <c r="V37" s="19"/>
      <c r="W37" s="19"/>
      <c r="X37" s="19"/>
    </row>
    <row r="38" spans="2:24" x14ac:dyDescent="0.3">
      <c r="F38" s="19"/>
      <c r="G38" s="19"/>
      <c r="H38" s="19"/>
      <c r="I38" s="19"/>
      <c r="J38" s="19"/>
      <c r="K38" s="19"/>
      <c r="L38" s="19"/>
      <c r="M38" s="19"/>
      <c r="N38" s="19"/>
      <c r="O38" s="19"/>
      <c r="P38" s="19"/>
      <c r="Q38" s="19"/>
      <c r="R38" s="19"/>
      <c r="S38" s="19"/>
      <c r="T38" s="19"/>
      <c r="U38" s="19"/>
      <c r="V38" s="19"/>
      <c r="W38" s="19"/>
      <c r="X38" s="19"/>
    </row>
    <row r="39" spans="2:24" x14ac:dyDescent="0.3">
      <c r="B39" t="s">
        <v>98</v>
      </c>
      <c r="E39" s="19"/>
      <c r="F39" s="19"/>
      <c r="G39" s="19"/>
      <c r="H39" s="19"/>
      <c r="I39" s="19"/>
      <c r="J39" s="19"/>
      <c r="K39" s="19"/>
      <c r="L39" s="19"/>
      <c r="M39" s="19"/>
      <c r="N39" s="19"/>
      <c r="O39" s="19"/>
      <c r="P39" s="19"/>
      <c r="Q39" s="19"/>
      <c r="R39" s="19"/>
      <c r="S39" s="19"/>
      <c r="T39" s="19"/>
      <c r="U39" s="19"/>
      <c r="V39" s="19"/>
      <c r="W39" s="19"/>
      <c r="X39" s="19"/>
    </row>
    <row r="40" spans="2:24" x14ac:dyDescent="0.3">
      <c r="C40" t="s">
        <v>88</v>
      </c>
      <c r="E40" s="105">
        <v>0</v>
      </c>
      <c r="F40" s="105">
        <f t="shared" ref="F40:X40" ca="1" si="4">E50</f>
        <v>407517.70428368973</v>
      </c>
      <c r="G40" s="105">
        <f t="shared" ca="1" si="4"/>
        <v>33968.741900712841</v>
      </c>
      <c r="H40" s="105">
        <f t="shared" ca="1" si="4"/>
        <v>-361361.38714893075</v>
      </c>
      <c r="I40" s="105">
        <f t="shared" ca="1" si="4"/>
        <v>1738832.9838014259</v>
      </c>
      <c r="J40" s="105">
        <f t="shared" ca="1" si="4"/>
        <v>1207295.3380851157</v>
      </c>
      <c r="K40" s="105">
        <f t="shared" ca="1" si="4"/>
        <v>559631.56929588888</v>
      </c>
      <c r="L40" s="105">
        <f t="shared" ca="1" si="4"/>
        <v>-132139.90217395651</v>
      </c>
      <c r="M40" s="105">
        <f t="shared" ca="1" si="4"/>
        <v>8166599.5710092979</v>
      </c>
      <c r="N40" s="105">
        <f t="shared" ca="1" si="4"/>
        <v>7595158.1605885467</v>
      </c>
      <c r="O40" s="105">
        <f t="shared" ca="1" si="4"/>
        <v>7125230.6444617929</v>
      </c>
      <c r="P40" s="105">
        <f t="shared" ca="1" si="4"/>
        <v>6752650.7338657603</v>
      </c>
      <c r="Q40" s="105">
        <f t="shared" ca="1" si="4"/>
        <v>6554663.3590368116</v>
      </c>
      <c r="R40" s="105">
        <f t="shared" ca="1" si="4"/>
        <v>6664225.4255773956</v>
      </c>
      <c r="S40" s="105">
        <f t="shared" ca="1" si="4"/>
        <v>7183643.3496900098</v>
      </c>
      <c r="T40" s="105">
        <f t="shared" ca="1" si="4"/>
        <v>8131156.226167514</v>
      </c>
      <c r="U40" s="105">
        <f t="shared" ca="1" si="4"/>
        <v>9541652.6832274068</v>
      </c>
      <c r="V40" s="105">
        <f t="shared" ca="1" si="4"/>
        <v>12197102.542944074</v>
      </c>
      <c r="W40" s="105">
        <f t="shared" ca="1" si="4"/>
        <v>15850429.650839424</v>
      </c>
      <c r="X40" s="105">
        <f t="shared" ca="1" si="4"/>
        <v>20631423.046284713</v>
      </c>
    </row>
    <row r="41" spans="2:24" x14ac:dyDescent="0.3">
      <c r="C41" t="s">
        <v>41</v>
      </c>
      <c r="E41" s="105">
        <f>SUM('P&amp;L'!M66:O66)</f>
        <v>0</v>
      </c>
      <c r="F41" s="105">
        <f>SUM('P&amp;L'!P66:R66)</f>
        <v>0</v>
      </c>
      <c r="G41" s="105">
        <f>SUM('P&amp;L'!S66:U66)</f>
        <v>13972</v>
      </c>
      <c r="H41" s="105">
        <f>SUM('P&amp;L'!V66:X66)</f>
        <v>22369</v>
      </c>
      <c r="I41" s="105">
        <f>SUM('P&amp;L'!Y66:AA66)</f>
        <v>160263.4</v>
      </c>
      <c r="J41" s="105">
        <f>SUM('P&amp;L'!AB66:AD66)</f>
        <v>212192.40000000002</v>
      </c>
      <c r="K41" s="105">
        <f>SUM('P&amp;L'!AE66:AG66)</f>
        <v>268768.14999999997</v>
      </c>
      <c r="L41" s="105">
        <f>SUM('P&amp;L'!AH66:AJ66)</f>
        <v>332343.3</v>
      </c>
      <c r="M41" s="105">
        <f>SUM('P&amp;L'!AK66:AM66)</f>
        <v>655942.75</v>
      </c>
      <c r="N41" s="105">
        <f>SUM('P&amp;L'!AN66:AP66)</f>
        <v>839976.90000000014</v>
      </c>
      <c r="O41" s="105">
        <f>SUM('P&amp;L'!AQ66:AS66)</f>
        <v>1037363</v>
      </c>
      <c r="P41" s="105">
        <f>SUM('P&amp;L'!AT66:AV66)</f>
        <v>1284083.2</v>
      </c>
      <c r="Q41" s="105">
        <f>SUM('P&amp;L'!AW66:AY66)</f>
        <v>2053017</v>
      </c>
      <c r="R41" s="105">
        <f>SUM('P&amp;L'!AZ66:BB66)</f>
        <v>2551492.8000000003</v>
      </c>
      <c r="S41" s="105">
        <f>SUM('P&amp;L'!BC66:BE66)</f>
        <v>3196685.7</v>
      </c>
      <c r="T41" s="105">
        <f>SUM('P&amp;L'!BF66:BH66)</f>
        <v>3882672.8999999994</v>
      </c>
      <c r="U41" s="105">
        <f>SUM('P&amp;L'!BI66:BK66)</f>
        <v>5654318.2999999998</v>
      </c>
      <c r="V41" s="105">
        <f>SUM('P&amp;L'!BL66:BN66)</f>
        <v>6970462.2000000002</v>
      </c>
      <c r="W41" s="105">
        <f>SUM('P&amp;L'!BO66:BQ66)</f>
        <v>8460003.3999999985</v>
      </c>
      <c r="X41" s="105">
        <f>SUM('P&amp;L'!BR66:BT66)</f>
        <v>10206583.9</v>
      </c>
    </row>
    <row r="42" spans="2:24" x14ac:dyDescent="0.3">
      <c r="C42" t="s">
        <v>91</v>
      </c>
      <c r="E42" s="105">
        <f>SUM('P&amp;L'!M67:O67)</f>
        <v>-28000</v>
      </c>
      <c r="F42" s="105">
        <f>SUM('P&amp;L'!P67:R67)</f>
        <v>0</v>
      </c>
      <c r="G42" s="105">
        <f>SUM('P&amp;L'!S67:U67)</f>
        <v>0</v>
      </c>
      <c r="H42" s="105">
        <f>SUM('P&amp;L'!V67:X67)</f>
        <v>0</v>
      </c>
      <c r="I42" s="105">
        <f>SUM('P&amp;L'!Y67:AA67)</f>
        <v>-15000</v>
      </c>
      <c r="J42" s="105">
        <f>SUM('P&amp;L'!AB67:AD67)</f>
        <v>0</v>
      </c>
      <c r="K42" s="105">
        <f>SUM('P&amp;L'!AE67:AG67)</f>
        <v>0</v>
      </c>
      <c r="L42" s="105">
        <f>SUM('P&amp;L'!AH67:AJ67)</f>
        <v>0</v>
      </c>
      <c r="M42" s="105">
        <f>SUM('P&amp;L'!AK67:AM67)</f>
        <v>-24000</v>
      </c>
      <c r="N42" s="105">
        <f>SUM('P&amp;L'!AN67:AP67)</f>
        <v>0</v>
      </c>
      <c r="O42" s="105">
        <f>SUM('P&amp;L'!AQ67:AS67)</f>
        <v>0</v>
      </c>
      <c r="P42" s="105">
        <f>SUM('P&amp;L'!AT67:AV67)</f>
        <v>0</v>
      </c>
      <c r="Q42" s="105">
        <f>SUM('P&amp;L'!AW67:AY67)</f>
        <v>-21000</v>
      </c>
      <c r="R42" s="105">
        <f>SUM('P&amp;L'!AZ67:BB67)</f>
        <v>0</v>
      </c>
      <c r="S42" s="105">
        <f>SUM('P&amp;L'!BC67:BE67)</f>
        <v>0</v>
      </c>
      <c r="T42" s="105">
        <f>SUM('P&amp;L'!BF67:BH67)</f>
        <v>0</v>
      </c>
      <c r="U42" s="105">
        <f>SUM('P&amp;L'!BI67:BK67)</f>
        <v>0</v>
      </c>
      <c r="V42" s="105">
        <f>SUM('P&amp;L'!BL67:BN67)</f>
        <v>0</v>
      </c>
      <c r="W42" s="105">
        <f>SUM('P&amp;L'!BO67:BQ67)</f>
        <v>0</v>
      </c>
      <c r="X42" s="105">
        <f>SUM('P&amp;L'!BR67:BT67)</f>
        <v>0</v>
      </c>
    </row>
    <row r="43" spans="2:24" x14ac:dyDescent="0.3">
      <c r="C43" t="s">
        <v>99</v>
      </c>
      <c r="E43" s="105">
        <f>SUM('P&amp;L'!M68:O68)</f>
        <v>500000</v>
      </c>
      <c r="F43" s="105">
        <f>SUM('P&amp;L'!P68:R68)</f>
        <v>0</v>
      </c>
      <c r="G43" s="105">
        <f>SUM('P&amp;L'!S68:U68)</f>
        <v>0</v>
      </c>
      <c r="H43" s="105">
        <f>SUM('P&amp;L'!V68:X68)</f>
        <v>2500000</v>
      </c>
      <c r="I43" s="105">
        <f>SUM('P&amp;L'!Y68:AA68)</f>
        <v>0</v>
      </c>
      <c r="J43" s="105">
        <f>SUM('P&amp;L'!AB68:AD68)</f>
        <v>0</v>
      </c>
      <c r="K43" s="105">
        <f>SUM('P&amp;L'!AE68:AG68)</f>
        <v>0</v>
      </c>
      <c r="L43" s="105">
        <f>SUM('P&amp;L'!AH68:AJ68)</f>
        <v>9000000</v>
      </c>
      <c r="M43" s="105">
        <f>SUM('P&amp;L'!AK68:AM68)</f>
        <v>0</v>
      </c>
      <c r="N43" s="105">
        <f>SUM('P&amp;L'!AN68:AP68)</f>
        <v>0</v>
      </c>
      <c r="O43" s="105">
        <f>SUM('P&amp;L'!AQ68:AS68)</f>
        <v>0</v>
      </c>
      <c r="P43" s="105">
        <f>SUM('P&amp;L'!AT68:AV68)</f>
        <v>0</v>
      </c>
      <c r="Q43" s="105">
        <f>SUM('P&amp;L'!AW68:AY68)</f>
        <v>0</v>
      </c>
      <c r="R43" s="105">
        <f>SUM('P&amp;L'!AZ68:BB68)</f>
        <v>0</v>
      </c>
      <c r="S43" s="105">
        <f>SUM('P&amp;L'!BC68:BE68)</f>
        <v>0</v>
      </c>
      <c r="T43" s="105">
        <f>SUM('P&amp;L'!BF68:BH68)</f>
        <v>0</v>
      </c>
      <c r="U43" s="105">
        <f>SUM('P&amp;L'!BI68:BK68)</f>
        <v>0</v>
      </c>
      <c r="V43" s="105">
        <f>SUM('P&amp;L'!BL68:BN68)</f>
        <v>0</v>
      </c>
      <c r="W43" s="105">
        <f>SUM('P&amp;L'!BO68:BQ68)</f>
        <v>0</v>
      </c>
      <c r="X43" s="105">
        <f>SUM('P&amp;L'!BR68:BT68)</f>
        <v>0</v>
      </c>
    </row>
    <row r="44" spans="2:24" x14ac:dyDescent="0.3">
      <c r="C44" t="s">
        <v>92</v>
      </c>
      <c r="E44" s="105">
        <f>SUM('P&amp;L'!M69:O69)</f>
        <v>250000</v>
      </c>
      <c r="F44" s="105">
        <f>SUM('P&amp;L'!P69:R69)</f>
        <v>0</v>
      </c>
      <c r="G44" s="105">
        <f>SUM('P&amp;L'!S69:U69)</f>
        <v>0</v>
      </c>
      <c r="H44" s="105">
        <f>SUM('P&amp;L'!V69:X69)</f>
        <v>0</v>
      </c>
      <c r="I44" s="105">
        <f>SUM('P&amp;L'!Y69:AA69)</f>
        <v>0</v>
      </c>
      <c r="J44" s="105">
        <f>SUM('P&amp;L'!AB69:AD69)</f>
        <v>0</v>
      </c>
      <c r="K44" s="105">
        <f>SUM('P&amp;L'!AE69:AG69)</f>
        <v>0</v>
      </c>
      <c r="L44" s="105">
        <f>SUM('P&amp;L'!AH69:AJ69)</f>
        <v>0</v>
      </c>
      <c r="M44" s="105">
        <f>SUM('P&amp;L'!AK69:AM69)</f>
        <v>0</v>
      </c>
      <c r="N44" s="105">
        <f>SUM('P&amp;L'!AN69:AP69)</f>
        <v>0</v>
      </c>
      <c r="O44" s="105">
        <f>SUM('P&amp;L'!AQ69:AS69)</f>
        <v>0</v>
      </c>
      <c r="P44" s="105">
        <f>SUM('P&amp;L'!AT69:AV69)</f>
        <v>0</v>
      </c>
      <c r="Q44" s="105">
        <f>SUM('P&amp;L'!AW69:AY69)</f>
        <v>0</v>
      </c>
      <c r="R44" s="105">
        <f>SUM('P&amp;L'!AZ69:BB69)</f>
        <v>0</v>
      </c>
      <c r="S44" s="105">
        <f>SUM('P&amp;L'!BC69:BE69)</f>
        <v>0</v>
      </c>
      <c r="T44" s="105">
        <f>SUM('P&amp;L'!BF69:BH69)</f>
        <v>0</v>
      </c>
      <c r="U44" s="105">
        <f>SUM('P&amp;L'!BI69:BK69)</f>
        <v>0</v>
      </c>
      <c r="V44" s="105">
        <f>SUM('P&amp;L'!BL69:BN69)</f>
        <v>0</v>
      </c>
      <c r="W44" s="105">
        <f>SUM('P&amp;L'!BO69:BQ69)</f>
        <v>0</v>
      </c>
      <c r="X44" s="105">
        <f>SUM('P&amp;L'!BR69:BT69)</f>
        <v>0</v>
      </c>
    </row>
    <row r="45" spans="2:24" x14ac:dyDescent="0.3">
      <c r="C45" t="s">
        <v>100</v>
      </c>
      <c r="E45" s="105">
        <f ca="1">SUM('P&amp;L'!M70:O70)</f>
        <v>-385525</v>
      </c>
      <c r="F45" s="105">
        <f ca="1">SUM('P&amp;L'!P70:R70)</f>
        <v>-443591.66666666663</v>
      </c>
      <c r="G45" s="105">
        <f ca="1">SUM('P&amp;L'!S70:U70)</f>
        <v>-477098.33333333331</v>
      </c>
      <c r="H45" s="105">
        <f ca="1">SUM('P&amp;L'!V70:X70)</f>
        <v>-489628.33333333331</v>
      </c>
      <c r="I45" s="105">
        <f ca="1">SUM('P&amp;L'!Y70:AA70)</f>
        <v>-738751.25</v>
      </c>
      <c r="J45" s="105">
        <f ca="1">SUM('P&amp;L'!AB70:AD70)</f>
        <v>-920471.37307291664</v>
      </c>
      <c r="K45" s="105">
        <f ca="1">SUM('P&amp;L'!AE70:AG70)</f>
        <v>-990952.32575353514</v>
      </c>
      <c r="L45" s="105">
        <f ca="1">SUM('P&amp;L'!AH70:AJ70)</f>
        <v>-1004785.2811004361</v>
      </c>
      <c r="M45" s="105">
        <f ca="1">SUM('P&amp;L'!AK70:AM70)</f>
        <v>-1161149.3647044403</v>
      </c>
      <c r="N45" s="105">
        <f ca="1">SUM('P&amp;L'!AN70:AP70)</f>
        <v>-1262129.8704104433</v>
      </c>
      <c r="O45" s="105">
        <f ca="1">SUM('P&amp;L'!AQ70:AS70)</f>
        <v>-1355811.6148797227</v>
      </c>
      <c r="P45" s="105">
        <f ca="1">SUM('P&amp;L'!AT70:AV70)</f>
        <v>-1420438.2791126391</v>
      </c>
      <c r="Q45" s="105">
        <f ca="1">SUM('P&amp;L'!AW70:AY70)</f>
        <v>-1785771.4173076171</v>
      </c>
      <c r="R45" s="105">
        <f ca="1">SUM('P&amp;L'!AZ70:BB70)</f>
        <v>-1778155.0227225604</v>
      </c>
      <c r="S45" s="105">
        <f ca="1">SUM('P&amp;L'!BC70:BE70)</f>
        <v>-1861548.561914881</v>
      </c>
      <c r="T45" s="105">
        <f ca="1">SUM('P&amp;L'!BF70:BH70)</f>
        <v>-1939073.466472391</v>
      </c>
      <c r="U45" s="105">
        <f ca="1">SUM('P&amp;L'!BI70:BK70)</f>
        <v>-2050359.3419064102</v>
      </c>
      <c r="V45" s="105">
        <f ca="1">SUM('P&amp;L'!BL70:BN70)</f>
        <v>-2059885.2561929799</v>
      </c>
      <c r="W45" s="105">
        <f ca="1">SUM('P&amp;L'!BO70:BQ70)</f>
        <v>-2066981.3137478591</v>
      </c>
      <c r="X45" s="105">
        <f ca="1">SUM('P&amp;L'!BR70:BT70)</f>
        <v>-2075195.8873748267</v>
      </c>
    </row>
    <row r="46" spans="2:24" x14ac:dyDescent="0.3">
      <c r="C46" t="s">
        <v>101</v>
      </c>
      <c r="E46" s="105">
        <f>SUM('P&amp;L'!M71:O71)</f>
        <v>0</v>
      </c>
      <c r="F46" s="105">
        <f>SUM('P&amp;L'!P71:R71)</f>
        <v>-1000</v>
      </c>
      <c r="G46" s="105">
        <f>SUM('P&amp;L'!S71:U71)</f>
        <v>-3246.5</v>
      </c>
      <c r="H46" s="105">
        <f>SUM('P&amp;L'!V71:X71)</f>
        <v>-3589</v>
      </c>
      <c r="I46" s="105">
        <f>SUM('P&amp;L'!Y71:AA71)</f>
        <v>-9092.5</v>
      </c>
      <c r="J46" s="105">
        <f>SUM('P&amp;L'!AB71:AD71)</f>
        <v>-10427.5</v>
      </c>
      <c r="K46" s="105">
        <f>SUM('P&amp;L'!AE71:AG71)</f>
        <v>-11880</v>
      </c>
      <c r="L46" s="105">
        <f>SUM('P&amp;L'!AH71:AJ71)</f>
        <v>-13611.25</v>
      </c>
      <c r="M46" s="105">
        <f>SUM('P&amp;L'!AK71:AM71)</f>
        <v>-27027.5</v>
      </c>
      <c r="N46" s="105">
        <f>SUM('P&amp;L'!AN71:AP71)</f>
        <v>-32567.25</v>
      </c>
      <c r="O46" s="105">
        <f>SUM('P&amp;L'!AQ71:AS71)</f>
        <v>-38924</v>
      </c>
      <c r="P46" s="105">
        <f>SUM('P&amp;L'!AT71:AV71)</f>
        <v>-46425</v>
      </c>
      <c r="Q46" s="105">
        <f>SUM('P&amp;L'!AW71:AY71)</f>
        <v>-82431.875</v>
      </c>
      <c r="R46" s="105">
        <f>SUM('P&amp;L'!AZ71:BB71)</f>
        <v>-104172.5</v>
      </c>
      <c r="S46" s="105">
        <f>SUM('P&amp;L'!BC71:BE71)</f>
        <v>-129909.375</v>
      </c>
      <c r="T46" s="105">
        <f>SUM('P&amp;L'!BF71:BH71)</f>
        <v>-159240.625</v>
      </c>
      <c r="U46" s="105">
        <f>SUM('P&amp;L'!BI71:BK71)</f>
        <v>-257402.5</v>
      </c>
      <c r="V46" s="105">
        <f>SUM('P&amp;L'!BL71:BN71)</f>
        <v>-319466.25</v>
      </c>
      <c r="W46" s="105">
        <f>SUM('P&amp;L'!BO71:BQ71)</f>
        <v>-391228.75</v>
      </c>
      <c r="X46" s="105">
        <f>SUM('P&amp;L'!BR71:BT71)</f>
        <v>-474646.25</v>
      </c>
    </row>
    <row r="47" spans="2:24" x14ac:dyDescent="0.3">
      <c r="C47" t="s">
        <v>102</v>
      </c>
      <c r="E47" s="105">
        <f>SUM('P&amp;L'!M72:O72)</f>
        <v>-15207.295716310262</v>
      </c>
      <c r="F47" s="105">
        <f>SUM('P&amp;L'!P72:R72)</f>
        <v>-15207.295716310262</v>
      </c>
      <c r="G47" s="105">
        <f>SUM('P&amp;L'!S72:U72)</f>
        <v>-15207.295716310262</v>
      </c>
      <c r="H47" s="105">
        <f>SUM('P&amp;L'!V72:X72)</f>
        <v>-15207.295716310262</v>
      </c>
      <c r="I47" s="105">
        <f>SUM('P&amp;L'!Y72:AA72)</f>
        <v>-15207.295716310262</v>
      </c>
      <c r="J47" s="105">
        <f>SUM('P&amp;L'!AB72:AD72)</f>
        <v>-15207.295716310262</v>
      </c>
      <c r="K47" s="105">
        <f>SUM('P&amp;L'!AE72:AG72)</f>
        <v>-15207.295716310262</v>
      </c>
      <c r="L47" s="105">
        <f>SUM('P&amp;L'!AH72:AJ72)</f>
        <v>-15207.295716310262</v>
      </c>
      <c r="M47" s="105">
        <f>SUM('P&amp;L'!AK72:AM72)</f>
        <v>-15207.295716310262</v>
      </c>
      <c r="N47" s="105">
        <f>SUM('P&amp;L'!AN72:AP72)</f>
        <v>-15207.295716310262</v>
      </c>
      <c r="O47" s="105">
        <f>SUM('P&amp;L'!AQ72:AS72)</f>
        <v>-15207.295716310262</v>
      </c>
      <c r="P47" s="105">
        <f>SUM('P&amp;L'!AT72:AV72)</f>
        <v>-15207.295716310262</v>
      </c>
      <c r="Q47" s="105">
        <f>SUM('P&amp;L'!AW72:AY72)</f>
        <v>-15207.295716310262</v>
      </c>
      <c r="R47" s="105">
        <f>SUM('P&amp;L'!AZ72:BB72)</f>
        <v>-15207.295716310262</v>
      </c>
      <c r="S47" s="105">
        <f>SUM('P&amp;L'!BC72:BE72)</f>
        <v>-15207.295716310262</v>
      </c>
      <c r="T47" s="105">
        <f>SUM('P&amp;L'!BF72:BH72)</f>
        <v>-15207.295716310262</v>
      </c>
      <c r="U47" s="105">
        <f>SUM('P&amp;L'!BI72:BK72)</f>
        <v>-15207.295716310262</v>
      </c>
      <c r="V47" s="105">
        <f>SUM('P&amp;L'!BL72:BN72)</f>
        <v>-15207.295716310262</v>
      </c>
      <c r="W47" s="105">
        <f>SUM('P&amp;L'!BO72:BQ72)</f>
        <v>-15207.295716310262</v>
      </c>
      <c r="X47" s="105">
        <f>SUM('P&amp;L'!BR72:BT72)</f>
        <v>-15207.295716310262</v>
      </c>
    </row>
    <row r="48" spans="2:24" x14ac:dyDescent="0.3">
      <c r="C48" t="s">
        <v>103</v>
      </c>
      <c r="E48" s="105">
        <f ca="1">SUM('P&amp;L'!M73:O73)</f>
        <v>0</v>
      </c>
      <c r="F48" s="105">
        <f ca="1">SUM('P&amp;L'!P73:R73)</f>
        <v>0</v>
      </c>
      <c r="G48" s="105">
        <f ca="1">SUM('P&amp;L'!S73:U73)</f>
        <v>0</v>
      </c>
      <c r="H48" s="105">
        <f ca="1">SUM('P&amp;L'!V73:X73)</f>
        <v>0</v>
      </c>
      <c r="I48" s="105">
        <f ca="1">SUM('P&amp;L'!Y73:AA73)</f>
        <v>0</v>
      </c>
      <c r="J48" s="105">
        <f ca="1">SUM('P&amp;L'!AB73:AD73)</f>
        <v>0</v>
      </c>
      <c r="K48" s="105">
        <f ca="1">SUM('P&amp;L'!AE73:AG73)</f>
        <v>0</v>
      </c>
      <c r="L48" s="105">
        <f ca="1">SUM('P&amp;L'!AH73:AJ73)</f>
        <v>0</v>
      </c>
      <c r="M48" s="105">
        <f ca="1">SUM('P&amp;L'!AK73:AM73)</f>
        <v>0</v>
      </c>
      <c r="N48" s="105">
        <f ca="1">SUM('P&amp;L'!AN73:AP73)</f>
        <v>0</v>
      </c>
      <c r="O48" s="105">
        <f ca="1">SUM('P&amp;L'!AQ73:AS73)</f>
        <v>0</v>
      </c>
      <c r="P48" s="105">
        <f ca="1">SUM('P&amp;L'!AT73:AV73)</f>
        <v>0</v>
      </c>
      <c r="Q48" s="105">
        <f ca="1">SUM('P&amp;L'!AW73:AY73)</f>
        <v>-39044.345435488452</v>
      </c>
      <c r="R48" s="105">
        <f ca="1">SUM('P&amp;L'!AZ73:BB73)</f>
        <v>-134540.05744851448</v>
      </c>
      <c r="S48" s="105">
        <f ca="1">SUM('P&amp;L'!BC73:BE73)</f>
        <v>-242507.59089130431</v>
      </c>
      <c r="T48" s="105">
        <f ca="1">SUM('P&amp;L'!BF73:BH73)</f>
        <v>-358655.05575140507</v>
      </c>
      <c r="U48" s="105">
        <f ca="1">SUM('P&amp;L'!BI73:BK73)</f>
        <v>-675899.30266061169</v>
      </c>
      <c r="V48" s="105">
        <f ca="1">SUM('P&amp;L'!BL73:BN73)</f>
        <v>-922576.29019536055</v>
      </c>
      <c r="W48" s="105">
        <f ca="1">SUM('P&amp;L'!BO73:BQ73)</f>
        <v>-1205592.6450905395</v>
      </c>
      <c r="X48" s="105">
        <f ca="1">SUM('P&amp;L'!BR73:BT73)</f>
        <v>-1537767.4658588166</v>
      </c>
    </row>
    <row r="49" spans="2:24" x14ac:dyDescent="0.3">
      <c r="C49" t="s">
        <v>96</v>
      </c>
      <c r="E49" s="105">
        <f>SUM('P&amp;L'!M74:O74)</f>
        <v>86250</v>
      </c>
      <c r="F49" s="105">
        <f>SUM('P&amp;L'!P74:R74)</f>
        <v>86250</v>
      </c>
      <c r="G49" s="105">
        <f>SUM('P&amp;L'!S74:U74)</f>
        <v>86250</v>
      </c>
      <c r="H49" s="105">
        <f>SUM('P&amp;L'!V74:X74)</f>
        <v>86250</v>
      </c>
      <c r="I49" s="105">
        <f>SUM('P&amp;L'!Y74:AA74)</f>
        <v>86250</v>
      </c>
      <c r="J49" s="105">
        <f>SUM('P&amp;L'!AB74:AD74)</f>
        <v>86250</v>
      </c>
      <c r="K49" s="105">
        <f>SUM('P&amp;L'!AE74:AG74)</f>
        <v>57500</v>
      </c>
      <c r="L49" s="105">
        <f>SUM('P&amp;L'!AH74:AJ74)</f>
        <v>0</v>
      </c>
      <c r="M49" s="105">
        <f>SUM('P&amp;L'!AK74:AM74)</f>
        <v>0</v>
      </c>
      <c r="N49" s="105">
        <f>SUM('P&amp;L'!AN74:AP74)</f>
        <v>0</v>
      </c>
      <c r="O49" s="105">
        <f>SUM('P&amp;L'!AQ74:AS74)</f>
        <v>0</v>
      </c>
      <c r="P49" s="105">
        <f>SUM('P&amp;L'!AT74:AV74)</f>
        <v>0</v>
      </c>
      <c r="Q49" s="105">
        <f>SUM('P&amp;L'!AW74:AY74)</f>
        <v>0</v>
      </c>
      <c r="R49" s="105">
        <f>SUM('P&amp;L'!AZ74:BB74)</f>
        <v>0</v>
      </c>
      <c r="S49" s="105">
        <f>SUM('P&amp;L'!BC74:BE74)</f>
        <v>0</v>
      </c>
      <c r="T49" s="105">
        <f>SUM('P&amp;L'!BF74:BH74)</f>
        <v>0</v>
      </c>
      <c r="U49" s="105">
        <f>SUM('P&amp;L'!BI74:BK74)</f>
        <v>0</v>
      </c>
      <c r="V49" s="105">
        <f>SUM('P&amp;L'!BL74:BN74)</f>
        <v>0</v>
      </c>
      <c r="W49" s="105">
        <f>SUM('P&amp;L'!BO74:BQ74)</f>
        <v>0</v>
      </c>
      <c r="X49" s="105">
        <f>SUM('P&amp;L'!BR74:BT74)</f>
        <v>0</v>
      </c>
    </row>
    <row r="50" spans="2:24" ht="15" thickBot="1" x14ac:dyDescent="0.35">
      <c r="C50" t="s">
        <v>97</v>
      </c>
      <c r="E50" s="32">
        <f t="shared" ref="E50:X50" ca="1" si="5">SUM(E40:E49)</f>
        <v>407517.70428368973</v>
      </c>
      <c r="F50" s="32">
        <f t="shared" ca="1" si="5"/>
        <v>33968.741900712841</v>
      </c>
      <c r="G50" s="32">
        <f t="shared" ca="1" si="5"/>
        <v>-361361.38714893075</v>
      </c>
      <c r="H50" s="32">
        <f t="shared" ca="1" si="5"/>
        <v>1738832.9838014259</v>
      </c>
      <c r="I50" s="32">
        <f t="shared" ca="1" si="5"/>
        <v>1207295.3380851157</v>
      </c>
      <c r="J50" s="32">
        <f t="shared" ca="1" si="5"/>
        <v>559631.56929588888</v>
      </c>
      <c r="K50" s="32">
        <f t="shared" ca="1" si="5"/>
        <v>-132139.90217395651</v>
      </c>
      <c r="L50" s="32">
        <f t="shared" ca="1" si="5"/>
        <v>8166599.5710092979</v>
      </c>
      <c r="M50" s="32">
        <f t="shared" ca="1" si="5"/>
        <v>7595158.1605885467</v>
      </c>
      <c r="N50" s="32">
        <f t="shared" ca="1" si="5"/>
        <v>7125230.6444617929</v>
      </c>
      <c r="O50" s="32">
        <f t="shared" ca="1" si="5"/>
        <v>6752650.7338657603</v>
      </c>
      <c r="P50" s="32">
        <f t="shared" ca="1" si="5"/>
        <v>6554663.3590368116</v>
      </c>
      <c r="Q50" s="32">
        <f t="shared" ca="1" si="5"/>
        <v>6664225.4255773956</v>
      </c>
      <c r="R50" s="32">
        <f t="shared" ca="1" si="5"/>
        <v>7183643.3496900098</v>
      </c>
      <c r="S50" s="32">
        <f t="shared" ca="1" si="5"/>
        <v>8131156.226167514</v>
      </c>
      <c r="T50" s="32">
        <f t="shared" ca="1" si="5"/>
        <v>9541652.6832274068</v>
      </c>
      <c r="U50" s="32">
        <f t="shared" ca="1" si="5"/>
        <v>12197102.542944074</v>
      </c>
      <c r="V50" s="32">
        <f t="shared" ca="1" si="5"/>
        <v>15850429.650839424</v>
      </c>
      <c r="W50" s="32">
        <f t="shared" ca="1" si="5"/>
        <v>20631423.046284713</v>
      </c>
      <c r="X50" s="32">
        <f t="shared" ca="1" si="5"/>
        <v>26735190.047334757</v>
      </c>
    </row>
    <row r="51" spans="2:24" ht="15" thickTop="1" x14ac:dyDescent="0.3">
      <c r="E51" s="19"/>
      <c r="F51" s="19"/>
      <c r="G51" s="19"/>
      <c r="H51" s="19"/>
      <c r="I51" s="19"/>
      <c r="J51" s="19"/>
      <c r="K51" s="19"/>
      <c r="L51" s="19"/>
      <c r="M51" s="19"/>
      <c r="N51" s="19"/>
      <c r="O51" s="19"/>
      <c r="P51" s="19"/>
      <c r="Q51" s="19"/>
      <c r="R51" s="19"/>
      <c r="S51" s="19"/>
      <c r="T51" s="19"/>
      <c r="U51" s="19"/>
      <c r="V51" s="19"/>
      <c r="W51" s="19"/>
      <c r="X51" s="19"/>
    </row>
    <row r="52" spans="2:24" x14ac:dyDescent="0.3">
      <c r="D52" t="s">
        <v>136</v>
      </c>
      <c r="E52" s="119">
        <f t="shared" ref="E52:X52" ca="1" si="6">E36-E50</f>
        <v>0</v>
      </c>
      <c r="F52" s="119">
        <f t="shared" ca="1" si="6"/>
        <v>0</v>
      </c>
      <c r="G52" s="119">
        <f t="shared" ca="1" si="6"/>
        <v>0</v>
      </c>
      <c r="H52" s="119">
        <f t="shared" ca="1" si="6"/>
        <v>0</v>
      </c>
      <c r="I52" s="119">
        <f t="shared" ca="1" si="6"/>
        <v>0</v>
      </c>
      <c r="J52" s="119">
        <f t="shared" ca="1" si="6"/>
        <v>0</v>
      </c>
      <c r="K52" s="119">
        <f t="shared" ca="1" si="6"/>
        <v>0</v>
      </c>
      <c r="L52" s="119">
        <f t="shared" ca="1" si="6"/>
        <v>0</v>
      </c>
      <c r="M52" s="119">
        <f t="shared" ca="1" si="6"/>
        <v>0</v>
      </c>
      <c r="N52" s="119">
        <f t="shared" ca="1" si="6"/>
        <v>0</v>
      </c>
      <c r="O52" s="119">
        <f t="shared" ca="1" si="6"/>
        <v>0</v>
      </c>
      <c r="P52" s="119">
        <f t="shared" ca="1" si="6"/>
        <v>0</v>
      </c>
      <c r="Q52" s="119">
        <f t="shared" ca="1" si="6"/>
        <v>0</v>
      </c>
      <c r="R52" s="119">
        <f t="shared" ca="1" si="6"/>
        <v>0</v>
      </c>
      <c r="S52" s="119">
        <f t="shared" ca="1" si="6"/>
        <v>0</v>
      </c>
      <c r="T52" s="119">
        <f t="shared" ca="1" si="6"/>
        <v>0</v>
      </c>
      <c r="U52" s="119">
        <f t="shared" ca="1" si="6"/>
        <v>0</v>
      </c>
      <c r="V52" s="119">
        <f t="shared" ca="1" si="6"/>
        <v>0</v>
      </c>
      <c r="W52" s="119">
        <f t="shared" ca="1" si="6"/>
        <v>0</v>
      </c>
      <c r="X52" s="119">
        <f t="shared" ca="1" si="6"/>
        <v>0</v>
      </c>
    </row>
    <row r="53" spans="2:24" x14ac:dyDescent="0.3">
      <c r="D53" t="s">
        <v>251</v>
      </c>
      <c r="E53" s="19">
        <f ca="1">E36-E26</f>
        <v>407517.70428368973</v>
      </c>
      <c r="F53" s="19">
        <f t="shared" ref="F53:X53" ca="1" si="7">F36-F26</f>
        <v>-373548.9623829769</v>
      </c>
      <c r="G53" s="19">
        <f t="shared" ca="1" si="7"/>
        <v>-395330.12904964347</v>
      </c>
      <c r="H53" s="19">
        <f t="shared" ca="1" si="7"/>
        <v>2100194.3709503566</v>
      </c>
      <c r="I53" s="19">
        <f t="shared" ca="1" si="7"/>
        <v>-531537.64571631025</v>
      </c>
      <c r="J53" s="19">
        <f t="shared" ca="1" si="7"/>
        <v>-647663.76878922689</v>
      </c>
      <c r="K53" s="19">
        <f t="shared" ca="1" si="7"/>
        <v>-691771.47146984527</v>
      </c>
      <c r="L53" s="19">
        <f t="shared" ca="1" si="7"/>
        <v>8298739.4731832538</v>
      </c>
      <c r="M53" s="19">
        <f t="shared" ca="1" si="7"/>
        <v>-571441.41042075027</v>
      </c>
      <c r="N53" s="19">
        <f t="shared" ca="1" si="7"/>
        <v>-469927.51612675283</v>
      </c>
      <c r="O53" s="19">
        <f t="shared" ca="1" si="7"/>
        <v>-372579.91059603356</v>
      </c>
      <c r="P53" s="19">
        <f ca="1">P36-P26</f>
        <v>-197987.37482894957</v>
      </c>
      <c r="Q53" s="19">
        <f t="shared" ca="1" si="7"/>
        <v>109562.06654058397</v>
      </c>
      <c r="R53" s="19">
        <f t="shared" ca="1" si="7"/>
        <v>519417.92411261518</v>
      </c>
      <c r="S53" s="19">
        <f t="shared" ca="1" si="7"/>
        <v>947512.87647750508</v>
      </c>
      <c r="T53" s="19">
        <f t="shared" ca="1" si="7"/>
        <v>1410496.4570598938</v>
      </c>
      <c r="U53" s="19">
        <f t="shared" ca="1" si="7"/>
        <v>2655449.8597166669</v>
      </c>
      <c r="V53" s="19">
        <f t="shared" ca="1" si="7"/>
        <v>3653327.1078953482</v>
      </c>
      <c r="W53" s="19">
        <f t="shared" ca="1" si="7"/>
        <v>4780993.3954452891</v>
      </c>
      <c r="X53" s="19">
        <f t="shared" ca="1" si="7"/>
        <v>6103767.0010500439</v>
      </c>
    </row>
    <row r="54" spans="2:24" x14ac:dyDescent="0.3">
      <c r="L54" s="35"/>
      <c r="M54" s="35"/>
      <c r="N54" s="35"/>
      <c r="O54" s="35"/>
      <c r="P54" s="35"/>
      <c r="Q54" s="35"/>
      <c r="R54" s="35"/>
      <c r="S54" s="35"/>
      <c r="T54" s="35"/>
      <c r="U54" s="35"/>
      <c r="V54" s="35"/>
      <c r="W54" s="35"/>
      <c r="X54" s="35"/>
    </row>
    <row r="55" spans="2:24" x14ac:dyDescent="0.3">
      <c r="B55" s="16" t="s">
        <v>248</v>
      </c>
      <c r="D55" t="s">
        <v>27</v>
      </c>
      <c r="E55" s="102" t="s">
        <v>8</v>
      </c>
      <c r="F55" s="102" t="s">
        <v>9</v>
      </c>
      <c r="G55" s="102" t="s">
        <v>10</v>
      </c>
      <c r="H55" s="102" t="s">
        <v>11</v>
      </c>
      <c r="I55" s="102" t="s">
        <v>12</v>
      </c>
    </row>
    <row r="57" spans="2:24" x14ac:dyDescent="0.3">
      <c r="D57" s="28" t="s">
        <v>60</v>
      </c>
      <c r="E57" s="97">
        <f>SUM(E5:H5)</f>
        <v>36850</v>
      </c>
      <c r="F57" s="97">
        <f>SUM(I5:L5)</f>
        <v>980130</v>
      </c>
      <c r="G57" s="97">
        <f>SUM(M5:P5)</f>
        <v>3837710</v>
      </c>
      <c r="H57" s="97">
        <f>SUM(Q5:T5)</f>
        <v>11738660</v>
      </c>
      <c r="I57" s="97">
        <f>SUM(U5:X5)</f>
        <v>31424500</v>
      </c>
    </row>
    <row r="58" spans="2:24" x14ac:dyDescent="0.3">
      <c r="D58" s="28" t="s">
        <v>72</v>
      </c>
      <c r="E58" s="97">
        <f>SUM(E6:H6)</f>
        <v>7835.5</v>
      </c>
      <c r="F58" s="97">
        <f>SUM(I6:L6)</f>
        <v>45011.25</v>
      </c>
      <c r="G58" s="97">
        <f>SUM(M6:P6)</f>
        <v>144943.75</v>
      </c>
      <c r="H58" s="97">
        <f>SUM(Q6:T6)</f>
        <v>475754.375</v>
      </c>
      <c r="I58" s="97">
        <f>SUM(U6:X6)</f>
        <v>1442743.75</v>
      </c>
    </row>
    <row r="59" spans="2:24" x14ac:dyDescent="0.3">
      <c r="D59" s="28" t="s">
        <v>73</v>
      </c>
      <c r="E59" s="98">
        <f>SUM(E7:H7)</f>
        <v>29014.5</v>
      </c>
      <c r="F59" s="98">
        <f>SUM(I7:L7)</f>
        <v>935118.75</v>
      </c>
      <c r="G59" s="98">
        <f>SUM(M7:P7)</f>
        <v>3692766.25</v>
      </c>
      <c r="H59" s="98">
        <f>SUM(Q7:T7)</f>
        <v>11262905.625</v>
      </c>
      <c r="I59" s="98">
        <f>SUM(U7:X7)</f>
        <v>29981756.25</v>
      </c>
    </row>
    <row r="60" spans="2:24" x14ac:dyDescent="0.3">
      <c r="C60" s="28" t="s">
        <v>74</v>
      </c>
      <c r="E60" s="97"/>
      <c r="F60" s="97"/>
      <c r="G60" s="97"/>
      <c r="H60" s="97"/>
      <c r="I60" s="97"/>
    </row>
    <row r="61" spans="2:24" x14ac:dyDescent="0.3">
      <c r="D61" s="28" t="str" cm="1">
        <f t="array" ref="D61:D65">D9:D13</f>
        <v>R&amp;D</v>
      </c>
      <c r="E61" s="97">
        <f t="shared" ref="E61:E66" si="8">SUM(E9:H9)</f>
        <v>430466.66666666669</v>
      </c>
      <c r="F61" s="97">
        <f t="shared" ref="F61:F66" si="9">SUM(I9:L9)</f>
        <v>1211433.3333333335</v>
      </c>
      <c r="G61" s="97">
        <f t="shared" ref="G61:G66" si="10">SUM(M9:P9)</f>
        <v>2148242.5000000005</v>
      </c>
      <c r="H61" s="97">
        <f t="shared" ref="H61:H66" si="11">SUM(Q9:T9)</f>
        <v>3470999.6250000005</v>
      </c>
      <c r="I61" s="97">
        <f t="shared" ref="I61:I66" si="12">SUM(U9:X9)</f>
        <v>4178539.1062499997</v>
      </c>
    </row>
    <row r="62" spans="2:24" x14ac:dyDescent="0.3">
      <c r="D62" s="28" t="str">
        <v>Marketing</v>
      </c>
      <c r="E62" s="97">
        <f t="shared" si="8"/>
        <v>153000</v>
      </c>
      <c r="F62" s="97">
        <f t="shared" si="9"/>
        <v>270300</v>
      </c>
      <c r="G62" s="97">
        <f t="shared" si="10"/>
        <v>341800</v>
      </c>
      <c r="H62" s="97">
        <f t="shared" si="11"/>
        <v>405300</v>
      </c>
      <c r="I62" s="97">
        <f t="shared" si="12"/>
        <v>463800</v>
      </c>
    </row>
    <row r="63" spans="2:24" x14ac:dyDescent="0.3">
      <c r="D63" s="28" t="str">
        <v>G&amp;A</v>
      </c>
      <c r="E63" s="97">
        <f t="shared" ca="1" si="8"/>
        <v>1206376.6666666665</v>
      </c>
      <c r="F63" s="97">
        <f t="shared" ca="1" si="9"/>
        <v>1898018.3333333333</v>
      </c>
      <c r="G63" s="97">
        <f t="shared" ca="1" si="10"/>
        <v>2304640</v>
      </c>
      <c r="H63" s="97">
        <f t="shared" ca="1" si="11"/>
        <v>2827540</v>
      </c>
      <c r="I63" s="97">
        <f t="shared" ca="1" si="12"/>
        <v>2730540</v>
      </c>
    </row>
    <row r="64" spans="2:24" x14ac:dyDescent="0.3">
      <c r="D64" s="28" t="str">
        <v>Sales</v>
      </c>
      <c r="E64" s="97">
        <f t="shared" si="8"/>
        <v>6000</v>
      </c>
      <c r="F64" s="97">
        <f t="shared" si="9"/>
        <v>275208.56326022127</v>
      </c>
      <c r="G64" s="97">
        <f t="shared" si="10"/>
        <v>404846.62910724507</v>
      </c>
      <c r="H64" s="97">
        <f t="shared" si="11"/>
        <v>660708.84341744927</v>
      </c>
      <c r="I64" s="97">
        <f t="shared" si="12"/>
        <v>879542.69297207647</v>
      </c>
    </row>
    <row r="65" spans="2:9" x14ac:dyDescent="0.3">
      <c r="D65" t="str">
        <v>Total Operating Expense</v>
      </c>
      <c r="E65" s="98">
        <f t="shared" ca="1" si="8"/>
        <v>1794343.3333333333</v>
      </c>
      <c r="F65" s="98">
        <f t="shared" ca="1" si="9"/>
        <v>3654960.2299268879</v>
      </c>
      <c r="G65" s="98">
        <f t="shared" ca="1" si="10"/>
        <v>5199529.1291072452</v>
      </c>
      <c r="H65" s="98">
        <f t="shared" ca="1" si="11"/>
        <v>7364548.4684174499</v>
      </c>
      <c r="I65" s="98">
        <f t="shared" ca="1" si="12"/>
        <v>8252421.7992220754</v>
      </c>
    </row>
    <row r="66" spans="2:9" ht="15" thickBot="1" x14ac:dyDescent="0.35">
      <c r="C66" t="s">
        <v>79</v>
      </c>
      <c r="E66" s="99">
        <f t="shared" ca="1" si="8"/>
        <v>-1765328.8333333333</v>
      </c>
      <c r="F66" s="99">
        <f t="shared" ca="1" si="9"/>
        <v>-2719841.4799268879</v>
      </c>
      <c r="G66" s="99">
        <f t="shared" ca="1" si="10"/>
        <v>-1506762.8791072455</v>
      </c>
      <c r="H66" s="99">
        <f t="shared" ca="1" si="11"/>
        <v>3898357.1565825506</v>
      </c>
      <c r="I66" s="99">
        <f t="shared" ca="1" si="12"/>
        <v>21729334.450777926</v>
      </c>
    </row>
    <row r="67" spans="2:9" x14ac:dyDescent="0.3">
      <c r="E67" s="97"/>
      <c r="F67" s="97"/>
      <c r="G67" s="97"/>
      <c r="H67" s="97"/>
      <c r="I67" s="97"/>
    </row>
    <row r="68" spans="2:9" x14ac:dyDescent="0.3">
      <c r="C68" t="s">
        <v>80</v>
      </c>
      <c r="E68" s="97">
        <f>SUM(E16:H16)</f>
        <v>5600</v>
      </c>
      <c r="F68" s="97">
        <f ca="1">SUM(I16:L16)</f>
        <v>8599.9999999999982</v>
      </c>
      <c r="G68" s="97">
        <f ca="1">SUM(M16:P16)</f>
        <v>13399.999999999998</v>
      </c>
      <c r="H68" s="97">
        <f ca="1">SUM(Q16:T16)</f>
        <v>17600</v>
      </c>
      <c r="I68" s="97">
        <f ca="1">SUM(U16:X16)</f>
        <v>17600</v>
      </c>
    </row>
    <row r="69" spans="2:9" x14ac:dyDescent="0.3">
      <c r="C69" t="s">
        <v>81</v>
      </c>
      <c r="E69" s="97">
        <f>SUM(E17:H17)</f>
        <v>18469.157350632606</v>
      </c>
      <c r="F69" s="97">
        <f>SUM(I17:L17)</f>
        <v>14953.296124566534</v>
      </c>
      <c r="G69" s="97">
        <f>SUM(M17:P17)</f>
        <v>11145.620150733326</v>
      </c>
      <c r="H69" s="97">
        <f>SUM(Q17:T17)</f>
        <v>7021.9089489891567</v>
      </c>
      <c r="I69" s="97">
        <f>SUM(U17:X17)</f>
        <v>2555.9317512836105</v>
      </c>
    </row>
    <row r="70" spans="2:9" x14ac:dyDescent="0.3">
      <c r="C70" t="s">
        <v>82</v>
      </c>
      <c r="E70" s="97">
        <f ca="1">SUM(E18:H18)</f>
        <v>-1790897.9906839659</v>
      </c>
      <c r="F70" s="97">
        <f ca="1">SUM(I18:L18)</f>
        <v>-2743394.7760514542</v>
      </c>
      <c r="G70" s="97">
        <f ca="1">SUM(M18:P18)</f>
        <v>-1531308.499257979</v>
      </c>
      <c r="H70" s="97">
        <f ca="1">SUM(Q18:T18)</f>
        <v>3873735.247633561</v>
      </c>
      <c r="I70" s="97">
        <f ca="1">SUM(U18:X18)</f>
        <v>21709178.519026637</v>
      </c>
    </row>
    <row r="71" spans="2:9" x14ac:dyDescent="0.3">
      <c r="C71" t="s">
        <v>83</v>
      </c>
      <c r="E71" s="97">
        <f ca="1">SUM(E19:H19)</f>
        <v>0</v>
      </c>
      <c r="F71" s="97">
        <f ca="1">SUM(I19:L19)</f>
        <v>0</v>
      </c>
      <c r="G71" s="97">
        <f ca="1">SUM(M19:P19)</f>
        <v>0</v>
      </c>
      <c r="H71" s="97">
        <f ca="1">SUM(Q19:T19)</f>
        <v>774747.04952671228</v>
      </c>
      <c r="I71" s="97">
        <f ca="1">SUM(U19:X19)</f>
        <v>4341835.7038053283</v>
      </c>
    </row>
    <row r="72" spans="2:9" ht="15" thickBot="1" x14ac:dyDescent="0.35">
      <c r="C72" t="s">
        <v>84</v>
      </c>
      <c r="D72" s="29"/>
      <c r="E72" s="98">
        <f ca="1">SUM(E20:H20)</f>
        <v>-1790897.9906839659</v>
      </c>
      <c r="F72" s="98">
        <f ca="1">SUM(I20:L20)</f>
        <v>-2743394.7760514542</v>
      </c>
      <c r="G72" s="98">
        <f ca="1">SUM(M20:P20)</f>
        <v>-1531308.499257979</v>
      </c>
      <c r="H72" s="98">
        <f ca="1">SUM(Q20:T20)</f>
        <v>3098988.1981068491</v>
      </c>
      <c r="I72" s="98">
        <f ca="1">SUM(U20:X20)</f>
        <v>17367342.81522131</v>
      </c>
    </row>
    <row r="73" spans="2:9" x14ac:dyDescent="0.3">
      <c r="C73" s="28" t="s">
        <v>85</v>
      </c>
      <c r="E73" s="100">
        <f ca="1">E72+D73</f>
        <v>-1790897.9906839659</v>
      </c>
      <c r="F73" s="100">
        <f t="shared" ref="F73:I73" ca="1" si="13">F72+E73</f>
        <v>-4534292.7667354196</v>
      </c>
      <c r="G73" s="100">
        <f t="shared" ca="1" si="13"/>
        <v>-6065601.2659933986</v>
      </c>
      <c r="H73" s="100">
        <f t="shared" ca="1" si="13"/>
        <v>-2966613.0678865495</v>
      </c>
      <c r="I73" s="100">
        <f t="shared" ca="1" si="13"/>
        <v>14400729.74733476</v>
      </c>
    </row>
    <row r="78" spans="2:9" x14ac:dyDescent="0.3">
      <c r="B78" s="16" t="s">
        <v>249</v>
      </c>
    </row>
    <row r="80" spans="2:9" x14ac:dyDescent="0.3">
      <c r="B80" t="s">
        <v>87</v>
      </c>
    </row>
    <row r="81" spans="2:9" x14ac:dyDescent="0.3">
      <c r="C81" t="s">
        <v>88</v>
      </c>
      <c r="E81" s="107">
        <v>0</v>
      </c>
      <c r="F81" s="107">
        <f ca="1">E91</f>
        <v>1738832.9838014257</v>
      </c>
      <c r="G81" s="107">
        <f t="shared" ref="G81:I81" ca="1" si="14">F91</f>
        <v>8166599.5710092969</v>
      </c>
      <c r="H81" s="107">
        <f t="shared" ca="1" si="14"/>
        <v>6554663.3590368098</v>
      </c>
      <c r="I81" s="107">
        <f t="shared" ca="1" si="14"/>
        <v>9541652.6832274068</v>
      </c>
    </row>
    <row r="82" spans="2:9" x14ac:dyDescent="0.3">
      <c r="C82" t="s">
        <v>84</v>
      </c>
      <c r="E82" s="105">
        <f t="shared" ref="E82:E90" ca="1" si="15">SUM(E27:H27)</f>
        <v>-1790897.9906839659</v>
      </c>
      <c r="F82" s="105">
        <f t="shared" ref="F82:F90" ca="1" si="16">SUM(I27:L27)</f>
        <v>-2743394.7760514542</v>
      </c>
      <c r="G82" s="105">
        <f t="shared" ref="G82:G90" ca="1" si="17">SUM(M27:P27)</f>
        <v>-1531308.499257979</v>
      </c>
      <c r="H82" s="105">
        <f t="shared" ref="H82:H90" ca="1" si="18">SUM(Q27:T27)</f>
        <v>3098988.1981068491</v>
      </c>
      <c r="I82" s="105">
        <f t="shared" ref="I82:I90" ca="1" si="19">SUM(U27:X27)</f>
        <v>17367342.81522131</v>
      </c>
    </row>
    <row r="83" spans="2:9" x14ac:dyDescent="0.3">
      <c r="C83" t="s">
        <v>89</v>
      </c>
      <c r="E83" s="105">
        <f t="shared" si="15"/>
        <v>3000000</v>
      </c>
      <c r="F83" s="105">
        <f t="shared" si="16"/>
        <v>9000000</v>
      </c>
      <c r="G83" s="105">
        <f t="shared" si="17"/>
        <v>0</v>
      </c>
      <c r="H83" s="105">
        <f t="shared" si="18"/>
        <v>0</v>
      </c>
      <c r="I83" s="105">
        <f t="shared" si="19"/>
        <v>0</v>
      </c>
    </row>
    <row r="84" spans="2:9" x14ac:dyDescent="0.3">
      <c r="C84" t="s">
        <v>90</v>
      </c>
      <c r="E84" s="105">
        <f t="shared" si="15"/>
        <v>-509</v>
      </c>
      <c r="F84" s="105">
        <f t="shared" si="16"/>
        <v>-6562.75</v>
      </c>
      <c r="G84" s="105">
        <f t="shared" si="17"/>
        <v>-20344.150000000373</v>
      </c>
      <c r="H84" s="105">
        <f t="shared" si="18"/>
        <v>-54791.599999999627</v>
      </c>
      <c r="I84" s="105">
        <f t="shared" si="19"/>
        <v>-133132.20000000298</v>
      </c>
    </row>
    <row r="85" spans="2:9" x14ac:dyDescent="0.3">
      <c r="C85" t="s">
        <v>91</v>
      </c>
      <c r="E85" s="105">
        <f t="shared" si="15"/>
        <v>-28000</v>
      </c>
      <c r="F85" s="105">
        <f t="shared" si="16"/>
        <v>-15000</v>
      </c>
      <c r="G85" s="105">
        <f t="shared" si="17"/>
        <v>-24000</v>
      </c>
      <c r="H85" s="105">
        <f t="shared" si="18"/>
        <v>-21000</v>
      </c>
      <c r="I85" s="105">
        <f t="shared" si="19"/>
        <v>0</v>
      </c>
    </row>
    <row r="86" spans="2:9" x14ac:dyDescent="0.3">
      <c r="C86" t="s">
        <v>92</v>
      </c>
      <c r="E86" s="105">
        <f t="shared" si="15"/>
        <v>250000</v>
      </c>
      <c r="F86" s="105">
        <f t="shared" si="16"/>
        <v>0</v>
      </c>
      <c r="G86" s="105">
        <f t="shared" si="17"/>
        <v>0</v>
      </c>
      <c r="H86" s="105">
        <f t="shared" si="18"/>
        <v>0</v>
      </c>
      <c r="I86" s="105">
        <f t="shared" si="19"/>
        <v>0</v>
      </c>
    </row>
    <row r="87" spans="2:9" x14ac:dyDescent="0.3">
      <c r="C87" t="s">
        <v>93</v>
      </c>
      <c r="E87" s="106">
        <f t="shared" si="15"/>
        <v>0</v>
      </c>
      <c r="F87" s="106">
        <f t="shared" si="16"/>
        <v>0</v>
      </c>
      <c r="G87" s="106">
        <f t="shared" si="17"/>
        <v>0</v>
      </c>
      <c r="H87" s="106">
        <f t="shared" si="18"/>
        <v>0</v>
      </c>
      <c r="I87" s="106">
        <f t="shared" si="19"/>
        <v>0</v>
      </c>
    </row>
    <row r="88" spans="2:9" x14ac:dyDescent="0.3">
      <c r="C88" t="s">
        <v>94</v>
      </c>
      <c r="E88" s="105">
        <f t="shared" si="15"/>
        <v>5600</v>
      </c>
      <c r="F88" s="105">
        <f t="shared" ca="1" si="16"/>
        <v>8599.9999999999982</v>
      </c>
      <c r="G88" s="105">
        <f t="shared" ca="1" si="17"/>
        <v>13399.999999999998</v>
      </c>
      <c r="H88" s="105">
        <f t="shared" ca="1" si="18"/>
        <v>17600</v>
      </c>
      <c r="I88" s="105">
        <f t="shared" ca="1" si="19"/>
        <v>17600</v>
      </c>
    </row>
    <row r="89" spans="2:9" x14ac:dyDescent="0.3">
      <c r="C89" t="s">
        <v>95</v>
      </c>
      <c r="E89" s="105">
        <f t="shared" si="15"/>
        <v>-42360.025514608438</v>
      </c>
      <c r="F89" s="105">
        <f t="shared" si="16"/>
        <v>-45875.886740674505</v>
      </c>
      <c r="G89" s="105">
        <f t="shared" si="17"/>
        <v>-49683.562714507716</v>
      </c>
      <c r="H89" s="105">
        <f t="shared" si="18"/>
        <v>-53807.273916251885</v>
      </c>
      <c r="I89" s="105">
        <f t="shared" si="19"/>
        <v>-58273.251113957434</v>
      </c>
    </row>
    <row r="90" spans="2:9" x14ac:dyDescent="0.3">
      <c r="C90" t="s">
        <v>96</v>
      </c>
      <c r="E90" s="105">
        <f t="shared" si="15"/>
        <v>345000</v>
      </c>
      <c r="F90" s="105">
        <f t="shared" si="16"/>
        <v>230000</v>
      </c>
      <c r="G90" s="105">
        <f t="shared" si="17"/>
        <v>0</v>
      </c>
      <c r="H90" s="105">
        <f t="shared" si="18"/>
        <v>0</v>
      </c>
      <c r="I90" s="105">
        <f t="shared" si="19"/>
        <v>0</v>
      </c>
    </row>
    <row r="91" spans="2:9" ht="15" thickBot="1" x14ac:dyDescent="0.35">
      <c r="C91" t="s">
        <v>97</v>
      </c>
      <c r="E91" s="32">
        <f ca="1">SUM(E81:E90)</f>
        <v>1738832.9838014257</v>
      </c>
      <c r="F91" s="32">
        <f t="shared" ref="F91:I91" ca="1" si="20">SUM(F81:F90)</f>
        <v>8166599.5710092969</v>
      </c>
      <c r="G91" s="32">
        <f t="shared" ca="1" si="20"/>
        <v>6554663.3590368098</v>
      </c>
      <c r="H91" s="32">
        <f t="shared" ca="1" si="20"/>
        <v>9541652.6832274068</v>
      </c>
      <c r="I91" s="32">
        <f t="shared" ca="1" si="20"/>
        <v>26735190.047334753</v>
      </c>
    </row>
    <row r="92" spans="2:9" ht="15" thickTop="1" x14ac:dyDescent="0.3">
      <c r="E92" s="19"/>
      <c r="F92" s="19"/>
      <c r="G92" s="19"/>
      <c r="H92" s="19"/>
      <c r="I92" s="19"/>
    </row>
    <row r="93" spans="2:9" x14ac:dyDescent="0.3">
      <c r="E93" s="19"/>
      <c r="F93" s="19"/>
      <c r="G93" s="19"/>
      <c r="H93" s="19"/>
      <c r="I93" s="19"/>
    </row>
    <row r="94" spans="2:9" x14ac:dyDescent="0.3">
      <c r="B94" t="s">
        <v>98</v>
      </c>
      <c r="E94" s="19"/>
      <c r="F94" s="19"/>
      <c r="G94" s="19"/>
      <c r="H94" s="19"/>
      <c r="I94" s="19"/>
    </row>
    <row r="95" spans="2:9" x14ac:dyDescent="0.3">
      <c r="C95" t="s">
        <v>88</v>
      </c>
      <c r="E95" s="107">
        <v>0</v>
      </c>
      <c r="F95" s="107">
        <f ca="1">E105</f>
        <v>1738832.9838014257</v>
      </c>
      <c r="G95" s="107">
        <f t="shared" ref="G95:I95" ca="1" si="21">F105</f>
        <v>8166599.571009296</v>
      </c>
      <c r="H95" s="107">
        <f t="shared" ca="1" si="21"/>
        <v>6554663.3590368107</v>
      </c>
      <c r="I95" s="107">
        <f t="shared" ca="1" si="21"/>
        <v>9541652.683227405</v>
      </c>
    </row>
    <row r="96" spans="2:9" x14ac:dyDescent="0.3">
      <c r="C96" t="s">
        <v>41</v>
      </c>
      <c r="E96" s="105">
        <f t="shared" ref="E96:E104" si="22">SUM(E41:H41)</f>
        <v>36341</v>
      </c>
      <c r="F96" s="105">
        <f t="shared" ref="F96:F104" si="23">SUM(I41:L41)</f>
        <v>973567.25</v>
      </c>
      <c r="G96" s="105">
        <f t="shared" ref="G96:G104" si="24">SUM(M41:P41)</f>
        <v>3817365.8500000006</v>
      </c>
      <c r="H96" s="105">
        <f t="shared" ref="H96:H104" si="25">SUM(Q41:T41)</f>
        <v>11683868.4</v>
      </c>
      <c r="I96" s="105">
        <f t="shared" ref="I96:I104" si="26">SUM(U41:X41)</f>
        <v>31291367.799999997</v>
      </c>
    </row>
    <row r="97" spans="3:9" x14ac:dyDescent="0.3">
      <c r="C97" t="s">
        <v>91</v>
      </c>
      <c r="E97" s="105">
        <f t="shared" si="22"/>
        <v>-28000</v>
      </c>
      <c r="F97" s="105">
        <f t="shared" si="23"/>
        <v>-15000</v>
      </c>
      <c r="G97" s="105">
        <f t="shared" si="24"/>
        <v>-24000</v>
      </c>
      <c r="H97" s="105">
        <f t="shared" si="25"/>
        <v>-21000</v>
      </c>
      <c r="I97" s="105">
        <f t="shared" si="26"/>
        <v>0</v>
      </c>
    </row>
    <row r="98" spans="3:9" x14ac:dyDescent="0.3">
      <c r="C98" t="s">
        <v>99</v>
      </c>
      <c r="E98" s="105">
        <f t="shared" si="22"/>
        <v>3000000</v>
      </c>
      <c r="F98" s="105">
        <f t="shared" si="23"/>
        <v>9000000</v>
      </c>
      <c r="G98" s="105">
        <f t="shared" si="24"/>
        <v>0</v>
      </c>
      <c r="H98" s="105">
        <f t="shared" si="25"/>
        <v>0</v>
      </c>
      <c r="I98" s="105">
        <f t="shared" si="26"/>
        <v>0</v>
      </c>
    </row>
    <row r="99" spans="3:9" x14ac:dyDescent="0.3">
      <c r="C99" t="s">
        <v>92</v>
      </c>
      <c r="E99" s="105">
        <f t="shared" si="22"/>
        <v>250000</v>
      </c>
      <c r="F99" s="105">
        <f t="shared" si="23"/>
        <v>0</v>
      </c>
      <c r="G99" s="105">
        <f t="shared" si="24"/>
        <v>0</v>
      </c>
      <c r="H99" s="105">
        <f t="shared" si="25"/>
        <v>0</v>
      </c>
      <c r="I99" s="105">
        <f t="shared" si="26"/>
        <v>0</v>
      </c>
    </row>
    <row r="100" spans="3:9" x14ac:dyDescent="0.3">
      <c r="C100" t="s">
        <v>100</v>
      </c>
      <c r="E100" s="105">
        <f t="shared" ca="1" si="22"/>
        <v>-1795843.3333333333</v>
      </c>
      <c r="F100" s="105">
        <f t="shared" ca="1" si="23"/>
        <v>-3654960.2299268879</v>
      </c>
      <c r="G100" s="105">
        <f t="shared" ca="1" si="24"/>
        <v>-5199529.1291072452</v>
      </c>
      <c r="H100" s="105">
        <f t="shared" ca="1" si="25"/>
        <v>-7364548.4684174499</v>
      </c>
      <c r="I100" s="105">
        <f t="shared" ca="1" si="26"/>
        <v>-8252421.7992220754</v>
      </c>
    </row>
    <row r="101" spans="3:9" x14ac:dyDescent="0.3">
      <c r="C101" t="s">
        <v>101</v>
      </c>
      <c r="E101" s="105">
        <f t="shared" si="22"/>
        <v>-7835.5</v>
      </c>
      <c r="F101" s="105">
        <f t="shared" si="23"/>
        <v>-45011.25</v>
      </c>
      <c r="G101" s="105">
        <f t="shared" si="24"/>
        <v>-144943.75</v>
      </c>
      <c r="H101" s="105">
        <f t="shared" si="25"/>
        <v>-475754.375</v>
      </c>
      <c r="I101" s="105">
        <f t="shared" si="26"/>
        <v>-1442743.75</v>
      </c>
    </row>
    <row r="102" spans="3:9" x14ac:dyDescent="0.3">
      <c r="C102" t="s">
        <v>102</v>
      </c>
      <c r="E102" s="105">
        <f t="shared" si="22"/>
        <v>-60829.182865241048</v>
      </c>
      <c r="F102" s="105">
        <f t="shared" si="23"/>
        <v>-60829.182865241048</v>
      </c>
      <c r="G102" s="105">
        <f t="shared" si="24"/>
        <v>-60829.182865241048</v>
      </c>
      <c r="H102" s="105">
        <f t="shared" si="25"/>
        <v>-60829.182865241048</v>
      </c>
      <c r="I102" s="105">
        <f t="shared" si="26"/>
        <v>-60829.182865241048</v>
      </c>
    </row>
    <row r="103" spans="3:9" x14ac:dyDescent="0.3">
      <c r="C103" t="s">
        <v>103</v>
      </c>
      <c r="E103" s="105">
        <f t="shared" ca="1" si="22"/>
        <v>0</v>
      </c>
      <c r="F103" s="105">
        <f t="shared" ca="1" si="23"/>
        <v>0</v>
      </c>
      <c r="G103" s="105">
        <f t="shared" ca="1" si="24"/>
        <v>0</v>
      </c>
      <c r="H103" s="105">
        <f t="shared" ca="1" si="25"/>
        <v>-774747.04952671228</v>
      </c>
      <c r="I103" s="105">
        <f t="shared" ca="1" si="26"/>
        <v>-4341835.7038053283</v>
      </c>
    </row>
    <row r="104" spans="3:9" x14ac:dyDescent="0.3">
      <c r="C104" t="s">
        <v>96</v>
      </c>
      <c r="E104" s="105">
        <f t="shared" si="22"/>
        <v>345000</v>
      </c>
      <c r="F104" s="105">
        <f t="shared" si="23"/>
        <v>230000</v>
      </c>
      <c r="G104" s="105">
        <f t="shared" si="24"/>
        <v>0</v>
      </c>
      <c r="H104" s="105">
        <f t="shared" si="25"/>
        <v>0</v>
      </c>
      <c r="I104" s="105">
        <f t="shared" si="26"/>
        <v>0</v>
      </c>
    </row>
    <row r="105" spans="3:9" ht="15" thickBot="1" x14ac:dyDescent="0.35">
      <c r="C105" t="s">
        <v>97</v>
      </c>
      <c r="E105" s="32">
        <f ca="1">SUM(E95:E104)</f>
        <v>1738832.9838014257</v>
      </c>
      <c r="F105" s="32">
        <f t="shared" ref="F105" ca="1" si="27">SUM(F95:F104)</f>
        <v>8166599.571009296</v>
      </c>
      <c r="G105" s="32">
        <f t="shared" ref="G105" ca="1" si="28">SUM(G95:G104)</f>
        <v>6554663.3590368107</v>
      </c>
      <c r="H105" s="32">
        <f t="shared" ref="H105" ca="1" si="29">SUM(H95:H104)</f>
        <v>9541652.683227405</v>
      </c>
      <c r="I105" s="32">
        <f t="shared" ref="I105" ca="1" si="30">SUM(I95:I104)</f>
        <v>26735190.04733476</v>
      </c>
    </row>
    <row r="106" spans="3:9" ht="15" thickTop="1" x14ac:dyDescent="0.3">
      <c r="E106" s="19"/>
    </row>
    <row r="107" spans="3:9" x14ac:dyDescent="0.3">
      <c r="D107" t="s">
        <v>136</v>
      </c>
      <c r="E107" s="19">
        <f ca="1">E91-E105</f>
        <v>0</v>
      </c>
      <c r="F107" s="19">
        <f t="shared" ref="F107:I107" ca="1" si="31">F91-F105</f>
        <v>0</v>
      </c>
      <c r="G107" s="19">
        <f t="shared" ca="1" si="31"/>
        <v>0</v>
      </c>
      <c r="H107" s="19">
        <f t="shared" ca="1" si="31"/>
        <v>0</v>
      </c>
      <c r="I107" s="19">
        <f t="shared" ca="1" si="31"/>
        <v>0</v>
      </c>
    </row>
    <row r="108" spans="3:9" x14ac:dyDescent="0.3">
      <c r="D108" t="s">
        <v>252</v>
      </c>
      <c r="E108" s="19">
        <f ca="1">E91-E81</f>
        <v>1738832.9838014257</v>
      </c>
      <c r="F108" s="19">
        <f t="shared" ref="F108:I108" ca="1" si="32">F91-F81</f>
        <v>6427766.5872078715</v>
      </c>
      <c r="G108" s="19">
        <f t="shared" ca="1" si="32"/>
        <v>-1611936.2119724872</v>
      </c>
      <c r="H108" s="19">
        <f t="shared" ca="1" si="32"/>
        <v>2986989.324190597</v>
      </c>
      <c r="I108" s="19">
        <f t="shared" ca="1" si="32"/>
        <v>17193537.364107348</v>
      </c>
    </row>
  </sheetData>
  <phoneticPr fontId="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1FFAC-5873-7346-8ADC-295A918974A6}">
  <sheetPr>
    <tabColor rgb="FF0070C0"/>
  </sheetPr>
  <dimension ref="A1:KR83"/>
  <sheetViews>
    <sheetView topLeftCell="A24" zoomScale="85" zoomScaleNormal="85" workbookViewId="0">
      <selection activeCell="M60" sqref="M60"/>
    </sheetView>
  </sheetViews>
  <sheetFormatPr defaultColWidth="11.44140625" defaultRowHeight="14.4" x14ac:dyDescent="0.3"/>
  <cols>
    <col min="8" max="8" width="11.6640625" bestFit="1" customWidth="1"/>
    <col min="9" max="9" width="21.44140625" customWidth="1"/>
    <col min="10" max="10" width="18.33203125" customWidth="1"/>
    <col min="11" max="11" width="1.6640625" customWidth="1"/>
    <col min="12" max="12" width="2.109375" customWidth="1"/>
    <col min="13" max="13" width="13.44140625" customWidth="1"/>
    <col min="14" max="14" width="14.6640625" customWidth="1"/>
    <col min="15" max="21" width="13.109375" bestFit="1" customWidth="1"/>
    <col min="22" max="22" width="14.77734375" bestFit="1" customWidth="1"/>
    <col min="23" max="23" width="14" customWidth="1"/>
    <col min="24" max="24" width="13.6640625" bestFit="1" customWidth="1"/>
    <col min="25" max="26" width="14.77734375" bestFit="1" customWidth="1"/>
    <col min="27" max="36" width="14.6640625" bestFit="1" customWidth="1"/>
    <col min="37" max="37" width="17.6640625" customWidth="1"/>
    <col min="38" max="46" width="14.6640625" bestFit="1" customWidth="1"/>
    <col min="47" max="47" width="17" customWidth="1"/>
    <col min="48" max="48" width="14.6640625" bestFit="1" customWidth="1"/>
    <col min="49" max="49" width="16" customWidth="1"/>
    <col min="50" max="51" width="15.33203125" customWidth="1"/>
    <col min="52" max="52" width="14.6640625" customWidth="1"/>
    <col min="53" max="53" width="15.109375" customWidth="1"/>
    <col min="54" max="54" width="14.6640625" customWidth="1"/>
    <col min="55" max="55" width="16.33203125" customWidth="1"/>
    <col min="56" max="56" width="15.6640625" customWidth="1"/>
    <col min="57" max="57" width="15.44140625" customWidth="1"/>
    <col min="58" max="59" width="16" customWidth="1"/>
    <col min="60" max="60" width="16.6640625" customWidth="1"/>
    <col min="61" max="61" width="17.33203125" customWidth="1"/>
    <col min="62" max="62" width="16.44140625" customWidth="1"/>
    <col min="63" max="63" width="16.33203125" customWidth="1"/>
    <col min="64" max="64" width="17.109375" customWidth="1"/>
    <col min="65" max="65" width="17.6640625" customWidth="1"/>
    <col min="66" max="66" width="17.109375" customWidth="1"/>
    <col min="67" max="67" width="18.109375" customWidth="1"/>
    <col min="68" max="68" width="17.44140625" customWidth="1"/>
    <col min="69" max="70" width="17.6640625" customWidth="1"/>
    <col min="71" max="71" width="16.6640625" customWidth="1"/>
    <col min="72" max="72" width="15.6640625" customWidth="1"/>
  </cols>
  <sheetData>
    <row r="1" spans="1:73" x14ac:dyDescent="0.3">
      <c r="A1" t="s">
        <v>104</v>
      </c>
    </row>
    <row r="2" spans="1:73" s="76" customFormat="1" x14ac:dyDescent="0.3">
      <c r="B2"/>
      <c r="C2"/>
      <c r="D2" t="s">
        <v>105</v>
      </c>
      <c r="E2"/>
      <c r="F2"/>
      <c r="G2"/>
      <c r="H2"/>
      <c r="M2" s="80" t="s">
        <v>8</v>
      </c>
      <c r="N2" s="80" t="s">
        <v>8</v>
      </c>
      <c r="O2" s="80" t="s">
        <v>8</v>
      </c>
      <c r="P2" s="80" t="s">
        <v>8</v>
      </c>
      <c r="Q2" s="80" t="s">
        <v>8</v>
      </c>
      <c r="R2" s="80" t="s">
        <v>8</v>
      </c>
      <c r="S2" s="80" t="s">
        <v>8</v>
      </c>
      <c r="T2" s="80" t="s">
        <v>8</v>
      </c>
      <c r="U2" s="80" t="s">
        <v>8</v>
      </c>
      <c r="V2" s="80" t="s">
        <v>8</v>
      </c>
      <c r="W2" s="80" t="s">
        <v>8</v>
      </c>
      <c r="X2" s="80" t="s">
        <v>8</v>
      </c>
      <c r="Y2" s="80" t="s">
        <v>9</v>
      </c>
      <c r="Z2" s="80" t="s">
        <v>9</v>
      </c>
      <c r="AA2" s="80" t="s">
        <v>9</v>
      </c>
      <c r="AB2" s="80" t="s">
        <v>9</v>
      </c>
      <c r="AC2" s="80" t="s">
        <v>9</v>
      </c>
      <c r="AD2" s="80" t="s">
        <v>9</v>
      </c>
      <c r="AE2" s="80" t="s">
        <v>9</v>
      </c>
      <c r="AF2" s="80" t="s">
        <v>9</v>
      </c>
      <c r="AG2" s="80" t="s">
        <v>9</v>
      </c>
      <c r="AH2" s="80" t="s">
        <v>9</v>
      </c>
      <c r="AI2" s="80" t="s">
        <v>9</v>
      </c>
      <c r="AJ2" s="80" t="s">
        <v>9</v>
      </c>
      <c r="AK2" s="80" t="s">
        <v>10</v>
      </c>
      <c r="AL2" s="80" t="s">
        <v>10</v>
      </c>
      <c r="AM2" s="80" t="s">
        <v>10</v>
      </c>
      <c r="AN2" s="80" t="s">
        <v>10</v>
      </c>
      <c r="AO2" s="80" t="s">
        <v>10</v>
      </c>
      <c r="AP2" s="80" t="s">
        <v>10</v>
      </c>
      <c r="AQ2" s="80" t="s">
        <v>10</v>
      </c>
      <c r="AR2" s="80" t="s">
        <v>10</v>
      </c>
      <c r="AS2" s="80" t="s">
        <v>10</v>
      </c>
      <c r="AT2" s="80" t="s">
        <v>10</v>
      </c>
      <c r="AU2" s="80" t="s">
        <v>10</v>
      </c>
      <c r="AV2" s="80" t="s">
        <v>10</v>
      </c>
      <c r="AW2" s="80" t="s">
        <v>11</v>
      </c>
      <c r="AX2" s="80" t="s">
        <v>11</v>
      </c>
      <c r="AY2" s="80" t="s">
        <v>11</v>
      </c>
      <c r="AZ2" s="80" t="s">
        <v>11</v>
      </c>
      <c r="BA2" s="80" t="s">
        <v>11</v>
      </c>
      <c r="BB2" s="80" t="s">
        <v>11</v>
      </c>
      <c r="BC2" s="80" t="s">
        <v>11</v>
      </c>
      <c r="BD2" s="80" t="s">
        <v>11</v>
      </c>
      <c r="BE2" s="80" t="s">
        <v>11</v>
      </c>
      <c r="BF2" s="80" t="s">
        <v>11</v>
      </c>
      <c r="BG2" s="80" t="s">
        <v>11</v>
      </c>
      <c r="BH2" s="80" t="s">
        <v>11</v>
      </c>
      <c r="BI2" s="80" t="s">
        <v>12</v>
      </c>
      <c r="BJ2" s="80" t="s">
        <v>12</v>
      </c>
      <c r="BK2" s="80" t="s">
        <v>12</v>
      </c>
      <c r="BL2" s="80" t="s">
        <v>12</v>
      </c>
      <c r="BM2" s="80" t="s">
        <v>12</v>
      </c>
      <c r="BN2" s="80" t="s">
        <v>12</v>
      </c>
      <c r="BO2" s="80" t="s">
        <v>12</v>
      </c>
      <c r="BP2" s="80" t="s">
        <v>12</v>
      </c>
      <c r="BQ2" s="80" t="s">
        <v>12</v>
      </c>
      <c r="BR2" s="80" t="s">
        <v>12</v>
      </c>
      <c r="BS2" s="80" t="s">
        <v>12</v>
      </c>
      <c r="BT2" s="80" t="s">
        <v>12</v>
      </c>
    </row>
    <row r="3" spans="1:73" s="76" customFormat="1" x14ac:dyDescent="0.3">
      <c r="B3"/>
      <c r="C3" t="s">
        <v>106</v>
      </c>
      <c r="D3" s="1">
        <v>1</v>
      </c>
      <c r="E3">
        <v>2</v>
      </c>
      <c r="F3">
        <v>3</v>
      </c>
      <c r="G3">
        <v>4</v>
      </c>
      <c r="H3">
        <v>5</v>
      </c>
      <c r="M3" s="81" t="s">
        <v>14</v>
      </c>
      <c r="N3" s="81" t="s">
        <v>15</v>
      </c>
      <c r="O3" s="81" t="s">
        <v>16</v>
      </c>
      <c r="P3" s="81" t="s">
        <v>17</v>
      </c>
      <c r="Q3" s="81" t="s">
        <v>18</v>
      </c>
      <c r="R3" s="81" t="s">
        <v>19</v>
      </c>
      <c r="S3" s="81" t="s">
        <v>20</v>
      </c>
      <c r="T3" s="81" t="s">
        <v>21</v>
      </c>
      <c r="U3" s="81" t="s">
        <v>22</v>
      </c>
      <c r="V3" s="81" t="s">
        <v>23</v>
      </c>
      <c r="W3" s="81" t="s">
        <v>24</v>
      </c>
      <c r="X3" s="81" t="s">
        <v>25</v>
      </c>
      <c r="Y3" s="81" t="s">
        <v>14</v>
      </c>
      <c r="Z3" s="81" t="s">
        <v>15</v>
      </c>
      <c r="AA3" s="81" t="s">
        <v>16</v>
      </c>
      <c r="AB3" s="81" t="s">
        <v>17</v>
      </c>
      <c r="AC3" s="81" t="s">
        <v>18</v>
      </c>
      <c r="AD3" s="81" t="s">
        <v>19</v>
      </c>
      <c r="AE3" s="81" t="s">
        <v>20</v>
      </c>
      <c r="AF3" s="81" t="s">
        <v>21</v>
      </c>
      <c r="AG3" s="81" t="s">
        <v>22</v>
      </c>
      <c r="AH3" s="81" t="s">
        <v>23</v>
      </c>
      <c r="AI3" s="81" t="s">
        <v>24</v>
      </c>
      <c r="AJ3" s="81" t="s">
        <v>25</v>
      </c>
      <c r="AK3" s="81" t="s">
        <v>14</v>
      </c>
      <c r="AL3" s="81" t="s">
        <v>15</v>
      </c>
      <c r="AM3" s="81" t="s">
        <v>16</v>
      </c>
      <c r="AN3" s="81" t="s">
        <v>17</v>
      </c>
      <c r="AO3" s="81" t="s">
        <v>18</v>
      </c>
      <c r="AP3" s="81" t="s">
        <v>19</v>
      </c>
      <c r="AQ3" s="81" t="s">
        <v>20</v>
      </c>
      <c r="AR3" s="81" t="s">
        <v>21</v>
      </c>
      <c r="AS3" s="81" t="s">
        <v>22</v>
      </c>
      <c r="AT3" s="81" t="s">
        <v>23</v>
      </c>
      <c r="AU3" s="81" t="s">
        <v>24</v>
      </c>
      <c r="AV3" s="81" t="s">
        <v>25</v>
      </c>
      <c r="AW3" s="81" t="s">
        <v>14</v>
      </c>
      <c r="AX3" s="81" t="s">
        <v>15</v>
      </c>
      <c r="AY3" s="81" t="s">
        <v>16</v>
      </c>
      <c r="AZ3" s="81" t="s">
        <v>17</v>
      </c>
      <c r="BA3" s="81" t="s">
        <v>18</v>
      </c>
      <c r="BB3" s="81" t="s">
        <v>19</v>
      </c>
      <c r="BC3" s="81" t="s">
        <v>20</v>
      </c>
      <c r="BD3" s="81" t="s">
        <v>21</v>
      </c>
      <c r="BE3" s="81" t="s">
        <v>22</v>
      </c>
      <c r="BF3" s="81" t="s">
        <v>23</v>
      </c>
      <c r="BG3" s="81" t="s">
        <v>24</v>
      </c>
      <c r="BH3" s="81" t="s">
        <v>25</v>
      </c>
      <c r="BI3" s="81" t="s">
        <v>14</v>
      </c>
      <c r="BJ3" s="81" t="s">
        <v>15</v>
      </c>
      <c r="BK3" s="81" t="s">
        <v>16</v>
      </c>
      <c r="BL3" s="81" t="s">
        <v>17</v>
      </c>
      <c r="BM3" s="81" t="s">
        <v>18</v>
      </c>
      <c r="BN3" s="81" t="s">
        <v>19</v>
      </c>
      <c r="BO3" s="81" t="s">
        <v>20</v>
      </c>
      <c r="BP3" s="81" t="s">
        <v>21</v>
      </c>
      <c r="BQ3" s="81" t="s">
        <v>22</v>
      </c>
      <c r="BR3" s="81" t="s">
        <v>23</v>
      </c>
      <c r="BS3" s="81" t="s">
        <v>24</v>
      </c>
      <c r="BT3" s="81" t="s">
        <v>25</v>
      </c>
    </row>
    <row r="4" spans="1:73" x14ac:dyDescent="0.3">
      <c r="D4" s="1"/>
    </row>
    <row r="5" spans="1:73" x14ac:dyDescent="0.3">
      <c r="D5" s="1"/>
    </row>
    <row r="6" spans="1:73" x14ac:dyDescent="0.3">
      <c r="B6" t="s">
        <v>34</v>
      </c>
      <c r="C6">
        <v>1</v>
      </c>
      <c r="D6" s="58">
        <v>5.5</v>
      </c>
      <c r="E6" s="58">
        <v>7.5</v>
      </c>
      <c r="F6" s="58">
        <v>9.5</v>
      </c>
      <c r="G6" s="58">
        <v>12.5</v>
      </c>
      <c r="H6" s="58">
        <v>15</v>
      </c>
      <c r="I6" s="28"/>
    </row>
    <row r="7" spans="1:73" x14ac:dyDescent="0.3">
      <c r="B7" t="s">
        <v>35</v>
      </c>
      <c r="C7">
        <v>1.5</v>
      </c>
      <c r="D7" s="37">
        <f t="shared" ref="D7:H8" si="0">$C7*D6</f>
        <v>8.25</v>
      </c>
      <c r="E7" s="37">
        <f t="shared" si="0"/>
        <v>11.25</v>
      </c>
      <c r="F7" s="37">
        <f t="shared" si="0"/>
        <v>14.25</v>
      </c>
      <c r="G7" s="37">
        <f t="shared" si="0"/>
        <v>18.75</v>
      </c>
      <c r="H7" s="37">
        <f t="shared" si="0"/>
        <v>22.5</v>
      </c>
      <c r="I7" s="28"/>
    </row>
    <row r="8" spans="1:73" x14ac:dyDescent="0.3">
      <c r="B8" t="s">
        <v>37</v>
      </c>
      <c r="C8" s="96">
        <v>2.5</v>
      </c>
      <c r="D8" s="37">
        <f t="shared" si="0"/>
        <v>20.625</v>
      </c>
      <c r="E8" s="37">
        <f t="shared" si="0"/>
        <v>28.125</v>
      </c>
      <c r="F8" s="37">
        <f t="shared" si="0"/>
        <v>35.625</v>
      </c>
      <c r="G8" s="37">
        <f t="shared" si="0"/>
        <v>46.875</v>
      </c>
      <c r="H8" s="37">
        <f t="shared" si="0"/>
        <v>56.25</v>
      </c>
    </row>
    <row r="9" spans="1:73" x14ac:dyDescent="0.3">
      <c r="C9" s="58"/>
      <c r="D9" s="58"/>
      <c r="E9" s="58"/>
      <c r="F9" s="58"/>
      <c r="J9" s="28" t="s">
        <v>60</v>
      </c>
      <c r="M9" s="14">
        <f>Rev!M77</f>
        <v>0</v>
      </c>
      <c r="N9" s="14">
        <f>Rev!N77</f>
        <v>0</v>
      </c>
      <c r="O9" s="14">
        <f>Rev!O77</f>
        <v>0</v>
      </c>
      <c r="P9" s="14">
        <f>Rev!P77</f>
        <v>0</v>
      </c>
      <c r="Q9" s="14">
        <f>Rev!Q77</f>
        <v>0</v>
      </c>
      <c r="R9" s="14">
        <f>Rev!R77</f>
        <v>0</v>
      </c>
      <c r="S9" s="14">
        <f>Rev!S77</f>
        <v>3900</v>
      </c>
      <c r="T9" s="14">
        <f>Rev!T77</f>
        <v>4800</v>
      </c>
      <c r="U9" s="14">
        <f>Rev!U77</f>
        <v>5600</v>
      </c>
      <c r="V9" s="14">
        <f>Rev!V77</f>
        <v>6250</v>
      </c>
      <c r="W9" s="14">
        <f>Rev!W77</f>
        <v>7650</v>
      </c>
      <c r="X9" s="14">
        <f>Rev!X77</f>
        <v>8650</v>
      </c>
      <c r="Y9" s="14">
        <f>Rev!Y77</f>
        <v>48220</v>
      </c>
      <c r="Z9" s="14">
        <f>Rev!Z77</f>
        <v>53310</v>
      </c>
      <c r="AA9" s="14">
        <f>Rev!AA77</f>
        <v>61850</v>
      </c>
      <c r="AB9" s="14">
        <f>Rev!AB77</f>
        <v>67710</v>
      </c>
      <c r="AC9" s="14">
        <f>Rev!AC77</f>
        <v>71020</v>
      </c>
      <c r="AD9" s="14">
        <f>Rev!AD77</f>
        <v>74260</v>
      </c>
      <c r="AE9" s="14">
        <f>Rev!AE77</f>
        <v>82690</v>
      </c>
      <c r="AF9" s="14">
        <f>Rev!AF77</f>
        <v>89080</v>
      </c>
      <c r="AG9" s="14">
        <f>Rev!AG77</f>
        <v>98385</v>
      </c>
      <c r="AH9" s="14">
        <f>Rev!AH77</f>
        <v>102570</v>
      </c>
      <c r="AI9" s="14">
        <f>Rev!AI77</f>
        <v>112000</v>
      </c>
      <c r="AJ9" s="14">
        <f>Rev!AJ77</f>
        <v>119035</v>
      </c>
      <c r="AK9" s="14">
        <f>Rev!AK77</f>
        <v>206150</v>
      </c>
      <c r="AL9" s="14">
        <f>Rev!AL77</f>
        <v>221400</v>
      </c>
      <c r="AM9" s="14">
        <f>Rev!AM77</f>
        <v>235300</v>
      </c>
      <c r="AN9" s="14">
        <f>Rev!AN77</f>
        <v>258270</v>
      </c>
      <c r="AO9" s="14">
        <f>Rev!AO77</f>
        <v>282110</v>
      </c>
      <c r="AP9" s="14">
        <f>Rev!AP77</f>
        <v>303620</v>
      </c>
      <c r="AQ9" s="14">
        <f>Rev!AQ77</f>
        <v>324680</v>
      </c>
      <c r="AR9" s="14">
        <f>Rev!AR77</f>
        <v>345160</v>
      </c>
      <c r="AS9" s="14">
        <f>Rev!AS77</f>
        <v>371550</v>
      </c>
      <c r="AT9" s="14">
        <f>Rev!AT77</f>
        <v>402720</v>
      </c>
      <c r="AU9" s="14">
        <f>Rev!AU77</f>
        <v>423040</v>
      </c>
      <c r="AV9" s="14">
        <f>Rev!AV77</f>
        <v>463710</v>
      </c>
      <c r="AW9" s="14">
        <f>Rev!AW77</f>
        <v>631850</v>
      </c>
      <c r="AX9" s="14">
        <f>Rev!AX77</f>
        <v>688190</v>
      </c>
      <c r="AY9" s="14">
        <f>Rev!AY77</f>
        <v>749940</v>
      </c>
      <c r="AZ9" s="14">
        <f>Rev!AZ77</f>
        <v>793630</v>
      </c>
      <c r="BA9" s="14">
        <f>Rev!BA77</f>
        <v>854460</v>
      </c>
      <c r="BB9" s="14">
        <f>Rev!BB77</f>
        <v>913230</v>
      </c>
      <c r="BC9" s="14">
        <f>Rev!BC77</f>
        <v>1002140</v>
      </c>
      <c r="BD9" s="14">
        <f>Rev!BD77</f>
        <v>1071340</v>
      </c>
      <c r="BE9" s="14">
        <f>Rev!BE77</f>
        <v>1136540</v>
      </c>
      <c r="BF9" s="14">
        <f>Rev!BF77</f>
        <v>1219230</v>
      </c>
      <c r="BG9" s="14">
        <f>Rev!BG77</f>
        <v>1292450</v>
      </c>
      <c r="BH9" s="14">
        <f>Rev!BH77</f>
        <v>1385660</v>
      </c>
      <c r="BI9" s="14">
        <f>Rev!BI77</f>
        <v>1761250</v>
      </c>
      <c r="BJ9" s="14">
        <f>Rev!BJ77</f>
        <v>1898870</v>
      </c>
      <c r="BK9" s="14">
        <f>Rev!BK77</f>
        <v>2032610</v>
      </c>
      <c r="BL9" s="14">
        <f>Rev!BL77</f>
        <v>2180120</v>
      </c>
      <c r="BM9" s="14">
        <f>Rev!BM77</f>
        <v>2332200</v>
      </c>
      <c r="BN9" s="14">
        <f>Rev!BN77</f>
        <v>2485100</v>
      </c>
      <c r="BO9" s="14">
        <f>Rev!BO77</f>
        <v>2652590</v>
      </c>
      <c r="BP9" s="14">
        <f>Rev!BP77</f>
        <v>2832010</v>
      </c>
      <c r="BQ9" s="14">
        <f>Rev!BQ77</f>
        <v>3006470</v>
      </c>
      <c r="BR9" s="14">
        <f>Rev!BR77</f>
        <v>3208270</v>
      </c>
      <c r="BS9" s="14">
        <f>Rev!BS77</f>
        <v>3410270</v>
      </c>
      <c r="BT9" s="14">
        <f>Rev!BT77</f>
        <v>3624740</v>
      </c>
    </row>
    <row r="10" spans="1:73" x14ac:dyDescent="0.3">
      <c r="B10" t="s">
        <v>34</v>
      </c>
      <c r="C10">
        <v>1</v>
      </c>
      <c r="D10" s="58">
        <v>10</v>
      </c>
      <c r="E10" s="58">
        <v>12.5</v>
      </c>
      <c r="F10" s="58">
        <v>15</v>
      </c>
      <c r="G10" s="58">
        <v>20</v>
      </c>
      <c r="H10" s="58">
        <v>25</v>
      </c>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row>
    <row r="11" spans="1:73" x14ac:dyDescent="0.3">
      <c r="B11" t="s">
        <v>35</v>
      </c>
      <c r="C11">
        <v>1.5</v>
      </c>
      <c r="D11" s="58">
        <f t="shared" ref="D11:H12" si="1">$C11*D10</f>
        <v>15</v>
      </c>
      <c r="E11" s="58">
        <f t="shared" si="1"/>
        <v>18.75</v>
      </c>
      <c r="F11" s="58">
        <f t="shared" si="1"/>
        <v>22.5</v>
      </c>
      <c r="G11" s="58">
        <f t="shared" si="1"/>
        <v>30</v>
      </c>
      <c r="H11" s="58">
        <f t="shared" si="1"/>
        <v>37.5</v>
      </c>
      <c r="I11" s="28" t="s">
        <v>72</v>
      </c>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row>
    <row r="12" spans="1:73" x14ac:dyDescent="0.3">
      <c r="B12" t="s">
        <v>37</v>
      </c>
      <c r="C12" s="96">
        <v>2.5</v>
      </c>
      <c r="D12" s="58">
        <f t="shared" si="1"/>
        <v>37.5</v>
      </c>
      <c r="E12" s="58">
        <f t="shared" si="1"/>
        <v>46.875</v>
      </c>
      <c r="F12" s="58">
        <f t="shared" si="1"/>
        <v>56.25</v>
      </c>
      <c r="G12" s="58">
        <f t="shared" si="1"/>
        <v>75</v>
      </c>
      <c r="H12" s="58">
        <f t="shared" si="1"/>
        <v>93.75</v>
      </c>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row>
    <row r="13" spans="1:73" x14ac:dyDescent="0.3">
      <c r="C13" s="96"/>
      <c r="D13" s="58"/>
      <c r="E13" s="58"/>
      <c r="F13" s="58"/>
      <c r="G13" s="58"/>
      <c r="H13" s="58"/>
      <c r="I13" s="28"/>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row>
    <row r="14" spans="1:73" x14ac:dyDescent="0.3">
      <c r="B14" s="28" t="s">
        <v>107</v>
      </c>
      <c r="D14" s="58">
        <v>1000</v>
      </c>
      <c r="E14" s="58">
        <v>2500</v>
      </c>
      <c r="F14" s="58">
        <v>5000</v>
      </c>
      <c r="G14" s="58">
        <v>7500</v>
      </c>
      <c r="H14" s="58">
        <f>150000/12</f>
        <v>12500</v>
      </c>
      <c r="I14" s="28"/>
      <c r="M14" s="15"/>
      <c r="N14" s="15"/>
      <c r="O14" s="15"/>
      <c r="P14" s="15"/>
      <c r="Q14" s="15"/>
      <c r="R14" s="15">
        <f t="shared" ref="R14:AW14" si="2">_xlfn.XLOOKUP(_xlfn.NUMBERVALUE(RIGHT(R$2,1)),$D$3:$H$3,$D$14:$H$14)</f>
        <v>1000</v>
      </c>
      <c r="S14" s="15">
        <f t="shared" si="2"/>
        <v>1000</v>
      </c>
      <c r="T14" s="15">
        <f t="shared" si="2"/>
        <v>1000</v>
      </c>
      <c r="U14" s="15">
        <f t="shared" si="2"/>
        <v>1000</v>
      </c>
      <c r="V14" s="15">
        <f t="shared" si="2"/>
        <v>1000</v>
      </c>
      <c r="W14" s="15">
        <f t="shared" si="2"/>
        <v>1000</v>
      </c>
      <c r="X14" s="15">
        <f t="shared" si="2"/>
        <v>1000</v>
      </c>
      <c r="Y14" s="15">
        <f t="shared" si="2"/>
        <v>2500</v>
      </c>
      <c r="Z14" s="15">
        <f t="shared" si="2"/>
        <v>2500</v>
      </c>
      <c r="AA14" s="15">
        <f t="shared" si="2"/>
        <v>2500</v>
      </c>
      <c r="AB14" s="15">
        <f t="shared" si="2"/>
        <v>2500</v>
      </c>
      <c r="AC14" s="15">
        <f t="shared" si="2"/>
        <v>2500</v>
      </c>
      <c r="AD14" s="15">
        <f t="shared" si="2"/>
        <v>2500</v>
      </c>
      <c r="AE14" s="15">
        <f t="shared" si="2"/>
        <v>2500</v>
      </c>
      <c r="AF14" s="15">
        <f t="shared" si="2"/>
        <v>2500</v>
      </c>
      <c r="AG14" s="15">
        <f t="shared" si="2"/>
        <v>2500</v>
      </c>
      <c r="AH14" s="15">
        <f t="shared" si="2"/>
        <v>2500</v>
      </c>
      <c r="AI14" s="15">
        <f t="shared" si="2"/>
        <v>2500</v>
      </c>
      <c r="AJ14" s="15">
        <f t="shared" si="2"/>
        <v>2500</v>
      </c>
      <c r="AK14" s="15">
        <f t="shared" si="2"/>
        <v>5000</v>
      </c>
      <c r="AL14" s="15">
        <f t="shared" si="2"/>
        <v>5000</v>
      </c>
      <c r="AM14" s="15">
        <f t="shared" si="2"/>
        <v>5000</v>
      </c>
      <c r="AN14" s="15">
        <f t="shared" si="2"/>
        <v>5000</v>
      </c>
      <c r="AO14" s="15">
        <f t="shared" si="2"/>
        <v>5000</v>
      </c>
      <c r="AP14" s="15">
        <f t="shared" si="2"/>
        <v>5000</v>
      </c>
      <c r="AQ14" s="15">
        <f t="shared" si="2"/>
        <v>5000</v>
      </c>
      <c r="AR14" s="15">
        <f t="shared" si="2"/>
        <v>5000</v>
      </c>
      <c r="AS14" s="15">
        <f t="shared" si="2"/>
        <v>5000</v>
      </c>
      <c r="AT14" s="15">
        <f t="shared" si="2"/>
        <v>5000</v>
      </c>
      <c r="AU14" s="15">
        <f t="shared" si="2"/>
        <v>5000</v>
      </c>
      <c r="AV14" s="15">
        <f t="shared" si="2"/>
        <v>5000</v>
      </c>
      <c r="AW14" s="15">
        <f t="shared" si="2"/>
        <v>7500</v>
      </c>
      <c r="AX14" s="15">
        <f t="shared" ref="AX14:BT14" si="3">_xlfn.XLOOKUP(_xlfn.NUMBERVALUE(RIGHT(AX$2,1)),$D$3:$H$3,$D$14:$H$14)</f>
        <v>7500</v>
      </c>
      <c r="AY14" s="15">
        <f t="shared" si="3"/>
        <v>7500</v>
      </c>
      <c r="AZ14" s="15">
        <f t="shared" si="3"/>
        <v>7500</v>
      </c>
      <c r="BA14" s="15">
        <f t="shared" si="3"/>
        <v>7500</v>
      </c>
      <c r="BB14" s="15">
        <f t="shared" si="3"/>
        <v>7500</v>
      </c>
      <c r="BC14" s="15">
        <f t="shared" si="3"/>
        <v>7500</v>
      </c>
      <c r="BD14" s="15">
        <f t="shared" si="3"/>
        <v>7500</v>
      </c>
      <c r="BE14" s="15">
        <f t="shared" si="3"/>
        <v>7500</v>
      </c>
      <c r="BF14" s="15">
        <f t="shared" si="3"/>
        <v>7500</v>
      </c>
      <c r="BG14" s="15">
        <f t="shared" si="3"/>
        <v>7500</v>
      </c>
      <c r="BH14" s="15">
        <f t="shared" si="3"/>
        <v>7500</v>
      </c>
      <c r="BI14" s="15">
        <f t="shared" si="3"/>
        <v>12500</v>
      </c>
      <c r="BJ14" s="15">
        <f t="shared" si="3"/>
        <v>12500</v>
      </c>
      <c r="BK14" s="15">
        <f t="shared" si="3"/>
        <v>12500</v>
      </c>
      <c r="BL14" s="15">
        <f t="shared" si="3"/>
        <v>12500</v>
      </c>
      <c r="BM14" s="15">
        <f t="shared" si="3"/>
        <v>12500</v>
      </c>
      <c r="BN14" s="15">
        <f t="shared" si="3"/>
        <v>12500</v>
      </c>
      <c r="BO14" s="15">
        <f t="shared" si="3"/>
        <v>12500</v>
      </c>
      <c r="BP14" s="15">
        <f t="shared" si="3"/>
        <v>12500</v>
      </c>
      <c r="BQ14" s="15">
        <f t="shared" si="3"/>
        <v>12500</v>
      </c>
      <c r="BR14" s="15">
        <f t="shared" si="3"/>
        <v>12500</v>
      </c>
      <c r="BS14" s="15">
        <f t="shared" si="3"/>
        <v>12500</v>
      </c>
      <c r="BT14" s="15">
        <f t="shared" si="3"/>
        <v>12500</v>
      </c>
    </row>
    <row r="15" spans="1:73" x14ac:dyDescent="0.3">
      <c r="I15" s="28" t="s">
        <v>108</v>
      </c>
      <c r="J15" t="s">
        <v>36</v>
      </c>
      <c r="M15" s="15">
        <f>(Rev!M57*_xlfn.XLOOKUP(_xlfn.NUMBERVALUE(RIGHT(M$2,1)),$D$3:$H$3,$D$6:$H$6))</f>
        <v>0</v>
      </c>
      <c r="N15" s="15">
        <f>(Rev!N57*_xlfn.XLOOKUP(_xlfn.NUMBERVALUE(RIGHT(N$2,1)),$D$3:$H$3,$D$6:$H$6))</f>
        <v>0</v>
      </c>
      <c r="O15" s="15">
        <f>(Rev!O57*_xlfn.XLOOKUP(_xlfn.NUMBERVALUE(RIGHT(O$2,1)),$D$3:$H$3,$D$6:$H$6))</f>
        <v>0</v>
      </c>
      <c r="P15" s="15">
        <f>(Rev!P57*_xlfn.XLOOKUP(_xlfn.NUMBERVALUE(RIGHT(P$2,1)),$D$3:$H$3,$D$6:$H$6))</f>
        <v>0</v>
      </c>
      <c r="Q15" s="15">
        <f>(Rev!Q57*_xlfn.XLOOKUP(_xlfn.NUMBERVALUE(RIGHT(Q$2,1)),$D$3:$H$3,$D$6:$H$6))</f>
        <v>0</v>
      </c>
      <c r="R15" s="15">
        <f>(Rev!R57*_xlfn.XLOOKUP(_xlfn.NUMBERVALUE(RIGHT(R$2,1)),$D$3:$H$3,$D$6:$H$6))</f>
        <v>0</v>
      </c>
      <c r="S15" s="15">
        <f>(Rev!S57*_xlfn.XLOOKUP(_xlfn.NUMBERVALUE(RIGHT(S$2,1)),$D$3:$H$3,$D$6:$H$6))</f>
        <v>22</v>
      </c>
      <c r="T15" s="15">
        <f>(Rev!T57*_xlfn.XLOOKUP(_xlfn.NUMBERVALUE(RIGHT(T$2,1)),$D$3:$H$3,$D$6:$H$6))</f>
        <v>44</v>
      </c>
      <c r="U15" s="15">
        <f>(Rev!U57*_xlfn.XLOOKUP(_xlfn.NUMBERVALUE(RIGHT(U$2,1)),$D$3:$H$3,$D$6:$H$6))</f>
        <v>60.5</v>
      </c>
      <c r="V15" s="15">
        <f>(Rev!V57*_xlfn.XLOOKUP(_xlfn.NUMBERVALUE(RIGHT(V$2,1)),$D$3:$H$3,$D$6:$H$6))</f>
        <v>82.5</v>
      </c>
      <c r="W15" s="15">
        <f>(Rev!W57*_xlfn.XLOOKUP(_xlfn.NUMBERVALUE(RIGHT(W$2,1)),$D$3:$H$3,$D$6:$H$6))</f>
        <v>104.5</v>
      </c>
      <c r="X15" s="15">
        <f>(Rev!X57*_xlfn.XLOOKUP(_xlfn.NUMBERVALUE(RIGHT(X$2,1)),$D$3:$H$3,$D$6:$H$6))</f>
        <v>132</v>
      </c>
      <c r="Y15" s="15">
        <f>(Rev!Y57*_xlfn.XLOOKUP(_xlfn.NUMBERVALUE(RIGHT(Y$2,1)),$D$3:$H$3,$D$6:$H$6))</f>
        <v>180</v>
      </c>
      <c r="Z15" s="15">
        <f>(Rev!Z57*_xlfn.XLOOKUP(_xlfn.NUMBERVALUE(RIGHT(Z$2,1)),$D$3:$H$3,$D$6:$H$6))</f>
        <v>210</v>
      </c>
      <c r="AA15" s="15">
        <f>(Rev!AA57*_xlfn.XLOOKUP(_xlfn.NUMBERVALUE(RIGHT(AA$2,1)),$D$3:$H$3,$D$6:$H$6))</f>
        <v>247.5</v>
      </c>
      <c r="AB15" s="15">
        <f>(Rev!AB57*_xlfn.XLOOKUP(_xlfn.NUMBERVALUE(RIGHT(AB$2,1)),$D$3:$H$3,$D$6:$H$6))</f>
        <v>292.5</v>
      </c>
      <c r="AC15" s="15">
        <f>(Rev!AC57*_xlfn.XLOOKUP(_xlfn.NUMBERVALUE(RIGHT(AC$2,1)),$D$3:$H$3,$D$6:$H$6))</f>
        <v>330</v>
      </c>
      <c r="AD15" s="15">
        <f>(Rev!AD57*_xlfn.XLOOKUP(_xlfn.NUMBERVALUE(RIGHT(AD$2,1)),$D$3:$H$3,$D$6:$H$6))</f>
        <v>367.5</v>
      </c>
      <c r="AE15" s="15">
        <f>(Rev!AE57*_xlfn.XLOOKUP(_xlfn.NUMBERVALUE(RIGHT(AE$2,1)),$D$3:$H$3,$D$6:$H$6))</f>
        <v>412.5</v>
      </c>
      <c r="AF15" s="15">
        <f>(Rev!AF57*_xlfn.XLOOKUP(_xlfn.NUMBERVALUE(RIGHT(AF$2,1)),$D$3:$H$3,$D$6:$H$6))</f>
        <v>457.5</v>
      </c>
      <c r="AG15" s="15">
        <f>(Rev!AG57*_xlfn.XLOOKUP(_xlfn.NUMBERVALUE(RIGHT(AG$2,1)),$D$3:$H$3,$D$6:$H$6))</f>
        <v>510</v>
      </c>
      <c r="AH15" s="15">
        <f>(Rev!AH57*_xlfn.XLOOKUP(_xlfn.NUMBERVALUE(RIGHT(AH$2,1)),$D$3:$H$3,$D$6:$H$6))</f>
        <v>555</v>
      </c>
      <c r="AI15" s="15">
        <f>(Rev!AI57*_xlfn.XLOOKUP(_xlfn.NUMBERVALUE(RIGHT(AI$2,1)),$D$3:$H$3,$D$6:$H$6))</f>
        <v>615</v>
      </c>
      <c r="AJ15" s="15">
        <f>(Rev!AJ57*_xlfn.XLOOKUP(_xlfn.NUMBERVALUE(RIGHT(AJ$2,1)),$D$3:$H$3,$D$6:$H$6))</f>
        <v>667.5</v>
      </c>
      <c r="AK15" s="15">
        <f>(Rev!AK57*_xlfn.XLOOKUP(_xlfn.NUMBERVALUE(RIGHT(AK$2,1)),$D$3:$H$3,$D$6:$H$6))</f>
        <v>883.5</v>
      </c>
      <c r="AL15" s="15">
        <f>(Rev!AL57*_xlfn.XLOOKUP(_xlfn.NUMBERVALUE(RIGHT(AL$2,1)),$D$3:$H$3,$D$6:$H$6))</f>
        <v>931</v>
      </c>
      <c r="AM15" s="15">
        <f>(Rev!AM57*_xlfn.XLOOKUP(_xlfn.NUMBERVALUE(RIGHT(AM$2,1)),$D$3:$H$3,$D$6:$H$6))</f>
        <v>988</v>
      </c>
      <c r="AN15" s="15">
        <f>(Rev!AN57*_xlfn.XLOOKUP(_xlfn.NUMBERVALUE(RIGHT(AN$2,1)),$D$3:$H$3,$D$6:$H$6))</f>
        <v>1045</v>
      </c>
      <c r="AO15" s="15">
        <f>(Rev!AO57*_xlfn.XLOOKUP(_xlfn.NUMBERVALUE(RIGHT(AO$2,1)),$D$3:$H$3,$D$6:$H$6))</f>
        <v>1102</v>
      </c>
      <c r="AP15" s="15">
        <f>(Rev!AP57*_xlfn.XLOOKUP(_xlfn.NUMBERVALUE(RIGHT(AP$2,1)),$D$3:$H$3,$D$6:$H$6))</f>
        <v>1159</v>
      </c>
      <c r="AQ15" s="15">
        <f>(Rev!AQ57*_xlfn.XLOOKUP(_xlfn.NUMBERVALUE(RIGHT(AQ$2,1)),$D$3:$H$3,$D$6:$H$6))</f>
        <v>1225.5</v>
      </c>
      <c r="AR15" s="15">
        <f>(Rev!AR57*_xlfn.XLOOKUP(_xlfn.NUMBERVALUE(RIGHT(AR$2,1)),$D$3:$H$3,$D$6:$H$6))</f>
        <v>1292</v>
      </c>
      <c r="AS15" s="15">
        <f>(Rev!AS57*_xlfn.XLOOKUP(_xlfn.NUMBERVALUE(RIGHT(AS$2,1)),$D$3:$H$3,$D$6:$H$6))</f>
        <v>1368</v>
      </c>
      <c r="AT15" s="15">
        <f>(Rev!AT57*_xlfn.XLOOKUP(_xlfn.NUMBERVALUE(RIGHT(AT$2,1)),$D$3:$H$3,$D$6:$H$6))</f>
        <v>1444</v>
      </c>
      <c r="AU15" s="15">
        <f>(Rev!AU57*_xlfn.XLOOKUP(_xlfn.NUMBERVALUE(RIGHT(AU$2,1)),$D$3:$H$3,$D$6:$H$6))</f>
        <v>1520</v>
      </c>
      <c r="AV15" s="15">
        <f>(Rev!AV57*_xlfn.XLOOKUP(_xlfn.NUMBERVALUE(RIGHT(AV$2,1)),$D$3:$H$3,$D$6:$H$6))</f>
        <v>1596</v>
      </c>
      <c r="AW15" s="15">
        <f>(Rev!AW57*_xlfn.XLOOKUP(_xlfn.NUMBERVALUE(RIGHT(AW$2,1)),$D$3:$H$3,$D$6:$H$6))</f>
        <v>2100</v>
      </c>
      <c r="AX15" s="15">
        <f>(Rev!AX57*_xlfn.XLOOKUP(_xlfn.NUMBERVALUE(RIGHT(AX$2,1)),$D$3:$H$3,$D$6:$H$6))</f>
        <v>2125</v>
      </c>
      <c r="AY15" s="15">
        <f>(Rev!AY57*_xlfn.XLOOKUP(_xlfn.NUMBERVALUE(RIGHT(AY$2,1)),$D$3:$H$3,$D$6:$H$6))</f>
        <v>2175</v>
      </c>
      <c r="AZ15" s="15">
        <f>(Rev!AZ57*_xlfn.XLOOKUP(_xlfn.NUMBERVALUE(RIGHT(AZ$2,1)),$D$3:$H$3,$D$6:$H$6))</f>
        <v>2212.5</v>
      </c>
      <c r="BA15" s="15">
        <f>(Rev!BA57*_xlfn.XLOOKUP(_xlfn.NUMBERVALUE(RIGHT(BA$2,1)),$D$3:$H$3,$D$6:$H$6))</f>
        <v>2262.5</v>
      </c>
      <c r="BB15" s="15">
        <f>(Rev!BB57*_xlfn.XLOOKUP(_xlfn.NUMBERVALUE(RIGHT(BB$2,1)),$D$3:$H$3,$D$6:$H$6))</f>
        <v>2300</v>
      </c>
      <c r="BC15" s="15">
        <f>(Rev!BC57*_xlfn.XLOOKUP(_xlfn.NUMBERVALUE(RIGHT(BC$2,1)),$D$3:$H$3,$D$6:$H$6))</f>
        <v>2350</v>
      </c>
      <c r="BD15" s="15">
        <f>(Rev!BD57*_xlfn.XLOOKUP(_xlfn.NUMBERVALUE(RIGHT(BD$2,1)),$D$3:$H$3,$D$6:$H$6))</f>
        <v>2400</v>
      </c>
      <c r="BE15" s="15">
        <f>(Rev!BE57*_xlfn.XLOOKUP(_xlfn.NUMBERVALUE(RIGHT(BE$2,1)),$D$3:$H$3,$D$6:$H$6))</f>
        <v>2450</v>
      </c>
      <c r="BF15" s="15">
        <f>(Rev!BF57*_xlfn.XLOOKUP(_xlfn.NUMBERVALUE(RIGHT(BF$2,1)),$D$3:$H$3,$D$6:$H$6))</f>
        <v>2512.5</v>
      </c>
      <c r="BG15" s="15">
        <f>(Rev!BG57*_xlfn.XLOOKUP(_xlfn.NUMBERVALUE(RIGHT(BG$2,1)),$D$3:$H$3,$D$6:$H$6))</f>
        <v>2562.5</v>
      </c>
      <c r="BH15" s="15">
        <f>(Rev!BH57*_xlfn.XLOOKUP(_xlfn.NUMBERVALUE(RIGHT(BH$2,1)),$D$3:$H$3,$D$6:$H$6))</f>
        <v>2625</v>
      </c>
      <c r="BI15" s="15">
        <f>(Rev!BI57*_xlfn.XLOOKUP(_xlfn.NUMBERVALUE(RIGHT(BI$2,1)),$D$3:$H$3,$D$6:$H$6))</f>
        <v>3180</v>
      </c>
      <c r="BJ15" s="15">
        <f>(Rev!BJ57*_xlfn.XLOOKUP(_xlfn.NUMBERVALUE(RIGHT(BJ$2,1)),$D$3:$H$3,$D$6:$H$6))</f>
        <v>3240</v>
      </c>
      <c r="BK15" s="15">
        <f>(Rev!BK57*_xlfn.XLOOKUP(_xlfn.NUMBERVALUE(RIGHT(BK$2,1)),$D$3:$H$3,$D$6:$H$6))</f>
        <v>3300</v>
      </c>
      <c r="BL15" s="15">
        <f>(Rev!BL57*_xlfn.XLOOKUP(_xlfn.NUMBERVALUE(RIGHT(BL$2,1)),$D$3:$H$3,$D$6:$H$6))</f>
        <v>3360</v>
      </c>
      <c r="BM15" s="15">
        <f>(Rev!BM57*_xlfn.XLOOKUP(_xlfn.NUMBERVALUE(RIGHT(BM$2,1)),$D$3:$H$3,$D$6:$H$6))</f>
        <v>3420</v>
      </c>
      <c r="BN15" s="15">
        <f>(Rev!BN57*_xlfn.XLOOKUP(_xlfn.NUMBERVALUE(RIGHT(BN$2,1)),$D$3:$H$3,$D$6:$H$6))</f>
        <v>3480</v>
      </c>
      <c r="BO15" s="15">
        <f>(Rev!BO57*_xlfn.XLOOKUP(_xlfn.NUMBERVALUE(RIGHT(BO$2,1)),$D$3:$H$3,$D$6:$H$6))</f>
        <v>3540</v>
      </c>
      <c r="BP15" s="15">
        <f>(Rev!BP57*_xlfn.XLOOKUP(_xlfn.NUMBERVALUE(RIGHT(BP$2,1)),$D$3:$H$3,$D$6:$H$6))</f>
        <v>3615</v>
      </c>
      <c r="BQ15" s="15">
        <f>(Rev!BQ57*_xlfn.XLOOKUP(_xlfn.NUMBERVALUE(RIGHT(BQ$2,1)),$D$3:$H$3,$D$6:$H$6))</f>
        <v>3690</v>
      </c>
      <c r="BR15" s="15">
        <f>(Rev!BR57*_xlfn.XLOOKUP(_xlfn.NUMBERVALUE(RIGHT(BR$2,1)),$D$3:$H$3,$D$6:$H$6))</f>
        <v>3765</v>
      </c>
      <c r="BS15" s="15">
        <f>(Rev!BS57*_xlfn.XLOOKUP(_xlfn.NUMBERVALUE(RIGHT(BS$2,1)),$D$3:$H$3,$D$6:$H$6))</f>
        <v>3840</v>
      </c>
      <c r="BT15" s="15">
        <f>(Rev!BT57*_xlfn.XLOOKUP(_xlfn.NUMBERVALUE(RIGHT(BT$2,1)),$D$3:$H$3,$D$6:$H$6))</f>
        <v>3945</v>
      </c>
      <c r="BU15" s="15"/>
    </row>
    <row r="16" spans="1:73" x14ac:dyDescent="0.3">
      <c r="M16" s="15">
        <f>(Rev!M58*_xlfn.XLOOKUP(_xlfn.NUMBERVALUE(RIGHT(M$2,1)),$D$3:$H$3,$D$7:$H$7))</f>
        <v>0</v>
      </c>
      <c r="N16" s="15">
        <f>(Rev!N58*_xlfn.XLOOKUP(_xlfn.NUMBERVALUE(RIGHT(N$2,1)),$D$3:$H$3,$D$7:$H$7))</f>
        <v>0</v>
      </c>
      <c r="O16" s="15">
        <f>(Rev!O58*_xlfn.XLOOKUP(_xlfn.NUMBERVALUE(RIGHT(O$2,1)),$D$3:$H$3,$D$7:$H$7))</f>
        <v>0</v>
      </c>
      <c r="P16" s="15">
        <f>(Rev!P58*_xlfn.XLOOKUP(_xlfn.NUMBERVALUE(RIGHT(P$2,1)),$D$3:$H$3,$D$7:$H$7))</f>
        <v>0</v>
      </c>
      <c r="Q16" s="15">
        <f>(Rev!Q58*_xlfn.XLOOKUP(_xlfn.NUMBERVALUE(RIGHT(Q$2,1)),$D$3:$H$3,$D$7:$H$7))</f>
        <v>0</v>
      </c>
      <c r="R16" s="15">
        <f>(Rev!R58*_xlfn.XLOOKUP(_xlfn.NUMBERVALUE(RIGHT(R$2,1)),$D$3:$H$3,$D$7:$H$7))</f>
        <v>0</v>
      </c>
      <c r="S16" s="15">
        <f>(Rev!S58*_xlfn.XLOOKUP(_xlfn.NUMBERVALUE(RIGHT(S$2,1)),$D$3:$H$3,$D$7:$H$7))</f>
        <v>0</v>
      </c>
      <c r="T16" s="15">
        <f>(Rev!T58*_xlfn.XLOOKUP(_xlfn.NUMBERVALUE(RIGHT(T$2,1)),$D$3:$H$3,$D$7:$H$7))</f>
        <v>0</v>
      </c>
      <c r="U16" s="15">
        <f>(Rev!U58*_xlfn.XLOOKUP(_xlfn.NUMBERVALUE(RIGHT(U$2,1)),$D$3:$H$3,$D$7:$H$7))</f>
        <v>0</v>
      </c>
      <c r="V16" s="15">
        <f>(Rev!V58*_xlfn.XLOOKUP(_xlfn.NUMBERVALUE(RIGHT(V$2,1)),$D$3:$H$3,$D$7:$H$7))</f>
        <v>0</v>
      </c>
      <c r="W16" s="15">
        <f>(Rev!W58*_xlfn.XLOOKUP(_xlfn.NUMBERVALUE(RIGHT(W$2,1)),$D$3:$H$3,$D$7:$H$7))</f>
        <v>0</v>
      </c>
      <c r="X16" s="15">
        <f>(Rev!X58*_xlfn.XLOOKUP(_xlfn.NUMBERVALUE(RIGHT(X$2,1)),$D$3:$H$3,$D$7:$H$7))</f>
        <v>0</v>
      </c>
      <c r="Y16" s="15">
        <f>(Rev!Y58*_xlfn.XLOOKUP(_xlfn.NUMBERVALUE(RIGHT(Y$2,1)),$D$3:$H$3,$D$7:$H$7))</f>
        <v>33.75</v>
      </c>
      <c r="Z16" s="15">
        <f>(Rev!Z58*_xlfn.XLOOKUP(_xlfn.NUMBERVALUE(RIGHT(Z$2,1)),$D$3:$H$3,$D$7:$H$7))</f>
        <v>56.25</v>
      </c>
      <c r="AA16" s="15">
        <f>(Rev!AA58*_xlfn.XLOOKUP(_xlfn.NUMBERVALUE(RIGHT(AA$2,1)),$D$3:$H$3,$D$7:$H$7))</f>
        <v>90</v>
      </c>
      <c r="AB16" s="15">
        <f>(Rev!AB58*_xlfn.XLOOKUP(_xlfn.NUMBERVALUE(RIGHT(AB$2,1)),$D$3:$H$3,$D$7:$H$7))</f>
        <v>123.75</v>
      </c>
      <c r="AC16" s="15">
        <f>(Rev!AC58*_xlfn.XLOOKUP(_xlfn.NUMBERVALUE(RIGHT(AC$2,1)),$D$3:$H$3,$D$7:$H$7))</f>
        <v>146.25</v>
      </c>
      <c r="AD16" s="15">
        <f>(Rev!AD58*_xlfn.XLOOKUP(_xlfn.NUMBERVALUE(RIGHT(AD$2,1)),$D$3:$H$3,$D$7:$H$7))</f>
        <v>180</v>
      </c>
      <c r="AE16" s="15">
        <f>(Rev!AE58*_xlfn.XLOOKUP(_xlfn.NUMBERVALUE(RIGHT(AE$2,1)),$D$3:$H$3,$D$7:$H$7))</f>
        <v>202.5</v>
      </c>
      <c r="AF16" s="15">
        <f>(Rev!AF58*_xlfn.XLOOKUP(_xlfn.NUMBERVALUE(RIGHT(AF$2,1)),$D$3:$H$3,$D$7:$H$7))</f>
        <v>247.5</v>
      </c>
      <c r="AG16" s="15">
        <f>(Rev!AG58*_xlfn.XLOOKUP(_xlfn.NUMBERVALUE(RIGHT(AG$2,1)),$D$3:$H$3,$D$7:$H$7))</f>
        <v>281.25</v>
      </c>
      <c r="AH16" s="15">
        <f>(Rev!AH58*_xlfn.XLOOKUP(_xlfn.NUMBERVALUE(RIGHT(AH$2,1)),$D$3:$H$3,$D$7:$H$7))</f>
        <v>315</v>
      </c>
      <c r="AI16" s="15">
        <f>(Rev!AI58*_xlfn.XLOOKUP(_xlfn.NUMBERVALUE(RIGHT(AI$2,1)),$D$3:$H$3,$D$7:$H$7))</f>
        <v>360</v>
      </c>
      <c r="AJ16" s="15">
        <f>(Rev!AJ58*_xlfn.XLOOKUP(_xlfn.NUMBERVALUE(RIGHT(AJ$2,1)),$D$3:$H$3,$D$7:$H$7))</f>
        <v>405</v>
      </c>
      <c r="AK16" s="15">
        <f>(Rev!AK58*_xlfn.XLOOKUP(_xlfn.NUMBERVALUE(RIGHT(AK$2,1)),$D$3:$H$3,$D$7:$H$7))</f>
        <v>641.25</v>
      </c>
      <c r="AL16" s="15">
        <f>(Rev!AL58*_xlfn.XLOOKUP(_xlfn.NUMBERVALUE(RIGHT(AL$2,1)),$D$3:$H$3,$D$7:$H$7))</f>
        <v>755.25</v>
      </c>
      <c r="AM16" s="15">
        <f>(Rev!AM58*_xlfn.XLOOKUP(_xlfn.NUMBERVALUE(RIGHT(AM$2,1)),$D$3:$H$3,$D$7:$H$7))</f>
        <v>883.5</v>
      </c>
      <c r="AN16" s="15">
        <f>(Rev!AN58*_xlfn.XLOOKUP(_xlfn.NUMBERVALUE(RIGHT(AN$2,1)),$D$3:$H$3,$D$7:$H$7))</f>
        <v>997.5</v>
      </c>
      <c r="AO16" s="15">
        <f>(Rev!AO58*_xlfn.XLOOKUP(_xlfn.NUMBERVALUE(RIGHT(AO$2,1)),$D$3:$H$3,$D$7:$H$7))</f>
        <v>1140</v>
      </c>
      <c r="AP16" s="15">
        <f>(Rev!AP58*_xlfn.XLOOKUP(_xlfn.NUMBERVALUE(RIGHT(AP$2,1)),$D$3:$H$3,$D$7:$H$7))</f>
        <v>1282.5</v>
      </c>
      <c r="AQ16" s="15">
        <f>(Rev!AQ58*_xlfn.XLOOKUP(_xlfn.NUMBERVALUE(RIGHT(AQ$2,1)),$D$3:$H$3,$D$7:$H$7))</f>
        <v>1425</v>
      </c>
      <c r="AR16" s="15">
        <f>(Rev!AR58*_xlfn.XLOOKUP(_xlfn.NUMBERVALUE(RIGHT(AR$2,1)),$D$3:$H$3,$D$7:$H$7))</f>
        <v>1567.5</v>
      </c>
      <c r="AS16" s="15">
        <f>(Rev!AS58*_xlfn.XLOOKUP(_xlfn.NUMBERVALUE(RIGHT(AS$2,1)),$D$3:$H$3,$D$7:$H$7))</f>
        <v>1738.5</v>
      </c>
      <c r="AT16" s="15">
        <f>(Rev!AT58*_xlfn.XLOOKUP(_xlfn.NUMBERVALUE(RIGHT(AT$2,1)),$D$3:$H$3,$D$7:$H$7))</f>
        <v>1909.5</v>
      </c>
      <c r="AU16" s="15">
        <f>(Rev!AU58*_xlfn.XLOOKUP(_xlfn.NUMBERVALUE(RIGHT(AU$2,1)),$D$3:$H$3,$D$7:$H$7))</f>
        <v>2080.5</v>
      </c>
      <c r="AV16" s="15">
        <f>(Rev!AV58*_xlfn.XLOOKUP(_xlfn.NUMBERVALUE(RIGHT(AV$2,1)),$D$3:$H$3,$D$7:$H$7))</f>
        <v>2280</v>
      </c>
      <c r="AW16" s="15">
        <f>(Rev!AW58*_xlfn.XLOOKUP(_xlfn.NUMBERVALUE(RIGHT(AW$2,1)),$D$3:$H$3,$D$7:$H$7))</f>
        <v>3337.5</v>
      </c>
      <c r="AX16" s="15">
        <f>(Rev!AX58*_xlfn.XLOOKUP(_xlfn.NUMBERVALUE(RIGHT(AX$2,1)),$D$3:$H$3,$D$7:$H$7))</f>
        <v>3675</v>
      </c>
      <c r="AY16" s="15">
        <f>(Rev!AY58*_xlfn.XLOOKUP(_xlfn.NUMBERVALUE(RIGHT(AY$2,1)),$D$3:$H$3,$D$7:$H$7))</f>
        <v>4031.25</v>
      </c>
      <c r="AZ16" s="15">
        <f>(Rev!AZ58*_xlfn.XLOOKUP(_xlfn.NUMBERVALUE(RIGHT(AZ$2,1)),$D$3:$H$3,$D$7:$H$7))</f>
        <v>4387.5</v>
      </c>
      <c r="BA16" s="15">
        <f>(Rev!BA58*_xlfn.XLOOKUP(_xlfn.NUMBERVALUE(RIGHT(BA$2,1)),$D$3:$H$3,$D$7:$H$7))</f>
        <v>4781.25</v>
      </c>
      <c r="BB16" s="15">
        <f>(Rev!BB58*_xlfn.XLOOKUP(_xlfn.NUMBERVALUE(RIGHT(BB$2,1)),$D$3:$H$3,$D$7:$H$7))</f>
        <v>5175</v>
      </c>
      <c r="BC16" s="15">
        <f>(Rev!BC58*_xlfn.XLOOKUP(_xlfn.NUMBERVALUE(RIGHT(BC$2,1)),$D$3:$H$3,$D$7:$H$7))</f>
        <v>5606.25</v>
      </c>
      <c r="BD16" s="15">
        <f>(Rev!BD58*_xlfn.XLOOKUP(_xlfn.NUMBERVALUE(RIGHT(BD$2,1)),$D$3:$H$3,$D$7:$H$7))</f>
        <v>6056.25</v>
      </c>
      <c r="BE16" s="15">
        <f>(Rev!BE58*_xlfn.XLOOKUP(_xlfn.NUMBERVALUE(RIGHT(BE$2,1)),$D$3:$H$3,$D$7:$H$7))</f>
        <v>6506.25</v>
      </c>
      <c r="BF16" s="15">
        <f>(Rev!BF58*_xlfn.XLOOKUP(_xlfn.NUMBERVALUE(RIGHT(BF$2,1)),$D$3:$H$3,$D$7:$H$7))</f>
        <v>6993.75</v>
      </c>
      <c r="BG16" s="15">
        <f>(Rev!BG58*_xlfn.XLOOKUP(_xlfn.NUMBERVALUE(RIGHT(BG$2,1)),$D$3:$H$3,$D$7:$H$7))</f>
        <v>7500</v>
      </c>
      <c r="BH16" s="15">
        <f>(Rev!BH58*_xlfn.XLOOKUP(_xlfn.NUMBERVALUE(RIGHT(BH$2,1)),$D$3:$H$3,$D$7:$H$7))</f>
        <v>8043.75</v>
      </c>
      <c r="BI16" s="15">
        <f>(Rev!BI58*_xlfn.XLOOKUP(_xlfn.NUMBERVALUE(RIGHT(BI$2,1)),$D$3:$H$3,$D$7:$H$7))</f>
        <v>9945</v>
      </c>
      <c r="BJ16" s="15">
        <f>(Rev!BJ58*_xlfn.XLOOKUP(_xlfn.NUMBERVALUE(RIGHT(BJ$2,1)),$D$3:$H$3,$D$7:$H$7))</f>
        <v>10395</v>
      </c>
      <c r="BK16" s="15">
        <f>(Rev!BK58*_xlfn.XLOOKUP(_xlfn.NUMBERVALUE(RIGHT(BK$2,1)),$D$3:$H$3,$D$7:$H$7))</f>
        <v>10867.5</v>
      </c>
      <c r="BL16" s="15">
        <f>(Rev!BL58*_xlfn.XLOOKUP(_xlfn.NUMBERVALUE(RIGHT(BL$2,1)),$D$3:$H$3,$D$7:$H$7))</f>
        <v>11362.5</v>
      </c>
      <c r="BM16" s="15">
        <f>(Rev!BM58*_xlfn.XLOOKUP(_xlfn.NUMBERVALUE(RIGHT(BM$2,1)),$D$3:$H$3,$D$7:$H$7))</f>
        <v>11880</v>
      </c>
      <c r="BN16" s="15">
        <f>(Rev!BN58*_xlfn.XLOOKUP(_xlfn.NUMBERVALUE(RIGHT(BN$2,1)),$D$3:$H$3,$D$7:$H$7))</f>
        <v>12420</v>
      </c>
      <c r="BO16" s="15">
        <f>(Rev!BO58*_xlfn.XLOOKUP(_xlfn.NUMBERVALUE(RIGHT(BO$2,1)),$D$3:$H$3,$D$7:$H$7))</f>
        <v>13005</v>
      </c>
      <c r="BP16" s="15">
        <f>(Rev!BP58*_xlfn.XLOOKUP(_xlfn.NUMBERVALUE(RIGHT(BP$2,1)),$D$3:$H$3,$D$7:$H$7))</f>
        <v>13590</v>
      </c>
      <c r="BQ16" s="15">
        <f>(Rev!BQ58*_xlfn.XLOOKUP(_xlfn.NUMBERVALUE(RIGHT(BQ$2,1)),$D$3:$H$3,$D$7:$H$7))</f>
        <v>14220</v>
      </c>
      <c r="BR16" s="15">
        <f>(Rev!BR58*_xlfn.XLOOKUP(_xlfn.NUMBERVALUE(RIGHT(BR$2,1)),$D$3:$H$3,$D$7:$H$7))</f>
        <v>14895</v>
      </c>
      <c r="BS16" s="15">
        <f>(Rev!BS58*_xlfn.XLOOKUP(_xlfn.NUMBERVALUE(RIGHT(BS$2,1)),$D$3:$H$3,$D$7:$H$7))</f>
        <v>15570</v>
      </c>
      <c r="BT16" s="15">
        <f>(Rev!BT58*_xlfn.XLOOKUP(_xlfn.NUMBERVALUE(RIGHT(BT$2,1)),$D$3:$H$3,$D$7:$H$7))</f>
        <v>16312.5</v>
      </c>
    </row>
    <row r="17" spans="1:304" x14ac:dyDescent="0.3">
      <c r="M17" s="15">
        <f>(Rev!M59*_xlfn.XLOOKUP(_xlfn.NUMBERVALUE(RIGHT(M$2,1)),$D$3:$H$3,$D$8:$H$8))</f>
        <v>0</v>
      </c>
      <c r="N17" s="15">
        <f>(Rev!N59*_xlfn.XLOOKUP(_xlfn.NUMBERVALUE(RIGHT(N$2,1)),$D$3:$H$3,$D$8:$H$8))</f>
        <v>0</v>
      </c>
      <c r="O17" s="15">
        <f>(Rev!O59*_xlfn.XLOOKUP(_xlfn.NUMBERVALUE(RIGHT(O$2,1)),$D$3:$H$3,$D$8:$H$8))</f>
        <v>0</v>
      </c>
      <c r="P17" s="15">
        <f>(Rev!P59*_xlfn.XLOOKUP(_xlfn.NUMBERVALUE(RIGHT(P$2,1)),$D$3:$H$3,$D$8:$H$8))</f>
        <v>0</v>
      </c>
      <c r="Q17" s="15">
        <f>(Rev!Q59*_xlfn.XLOOKUP(_xlfn.NUMBERVALUE(RIGHT(Q$2,1)),$D$3:$H$3,$D$8:$H$8))</f>
        <v>0</v>
      </c>
      <c r="R17" s="15">
        <f>(Rev!R59*_xlfn.XLOOKUP(_xlfn.NUMBERVALUE(RIGHT(R$2,1)),$D$3:$H$3,$D$8:$H$8))</f>
        <v>0</v>
      </c>
      <c r="S17" s="15">
        <f>(Rev!S59*_xlfn.XLOOKUP(_xlfn.NUMBERVALUE(RIGHT(S$2,1)),$D$3:$H$3,$D$8:$H$8))</f>
        <v>0</v>
      </c>
      <c r="T17" s="15">
        <f>(Rev!T59*_xlfn.XLOOKUP(_xlfn.NUMBERVALUE(RIGHT(T$2,1)),$D$3:$H$3,$D$8:$H$8))</f>
        <v>0</v>
      </c>
      <c r="U17" s="15">
        <f>(Rev!U59*_xlfn.XLOOKUP(_xlfn.NUMBERVALUE(RIGHT(U$2,1)),$D$3:$H$3,$D$8:$H$8))</f>
        <v>0</v>
      </c>
      <c r="V17" s="15">
        <f>(Rev!V59*_xlfn.XLOOKUP(_xlfn.NUMBERVALUE(RIGHT(V$2,1)),$D$3:$H$3,$D$8:$H$8))</f>
        <v>0</v>
      </c>
      <c r="W17" s="15">
        <f>(Rev!W59*_xlfn.XLOOKUP(_xlfn.NUMBERVALUE(RIGHT(W$2,1)),$D$3:$H$3,$D$8:$H$8))</f>
        <v>0</v>
      </c>
      <c r="X17" s="15">
        <f>(Rev!X59*_xlfn.XLOOKUP(_xlfn.NUMBERVALUE(RIGHT(X$2,1)),$D$3:$H$3,$D$8:$H$8))</f>
        <v>0</v>
      </c>
      <c r="Y17" s="15">
        <f>(Rev!Y59*_xlfn.XLOOKUP(_xlfn.NUMBERVALUE(RIGHT(Y$2,1)),$D$3:$H$3,$D$8:$H$8))</f>
        <v>0</v>
      </c>
      <c r="Z17" s="15">
        <f>(Rev!Z59*_xlfn.XLOOKUP(_xlfn.NUMBERVALUE(RIGHT(Z$2,1)),$D$3:$H$3,$D$8:$H$8))</f>
        <v>0</v>
      </c>
      <c r="AA17" s="15">
        <f>(Rev!AA59*_xlfn.XLOOKUP(_xlfn.NUMBERVALUE(RIGHT(AA$2,1)),$D$3:$H$3,$D$8:$H$8))</f>
        <v>0</v>
      </c>
      <c r="AB17" s="15">
        <f>(Rev!AB59*_xlfn.XLOOKUP(_xlfn.NUMBERVALUE(RIGHT(AB$2,1)),$D$3:$H$3,$D$8:$H$8))</f>
        <v>0</v>
      </c>
      <c r="AC17" s="15">
        <f>(Rev!AC59*_xlfn.XLOOKUP(_xlfn.NUMBERVALUE(RIGHT(AC$2,1)),$D$3:$H$3,$D$8:$H$8))</f>
        <v>0</v>
      </c>
      <c r="AD17" s="15">
        <f>(Rev!AD59*_xlfn.XLOOKUP(_xlfn.NUMBERVALUE(RIGHT(AD$2,1)),$D$3:$H$3,$D$8:$H$8))</f>
        <v>0</v>
      </c>
      <c r="AE17" s="15">
        <f>(Rev!AE59*_xlfn.XLOOKUP(_xlfn.NUMBERVALUE(RIGHT(AE$2,1)),$D$3:$H$3,$D$8:$H$8))</f>
        <v>0</v>
      </c>
      <c r="AF17" s="15">
        <f>(Rev!AF59*_xlfn.XLOOKUP(_xlfn.NUMBERVALUE(RIGHT(AF$2,1)),$D$3:$H$3,$D$8:$H$8))</f>
        <v>0</v>
      </c>
      <c r="AG17" s="15">
        <f>(Rev!AG59*_xlfn.XLOOKUP(_xlfn.NUMBERVALUE(RIGHT(AG$2,1)),$D$3:$H$3,$D$8:$H$8))</f>
        <v>0</v>
      </c>
      <c r="AH17" s="15">
        <f>(Rev!AH59*_xlfn.XLOOKUP(_xlfn.NUMBERVALUE(RIGHT(AH$2,1)),$D$3:$H$3,$D$8:$H$8))</f>
        <v>0</v>
      </c>
      <c r="AI17" s="15">
        <f>(Rev!AI59*_xlfn.XLOOKUP(_xlfn.NUMBERVALUE(RIGHT(AI$2,1)),$D$3:$H$3,$D$8:$H$8))</f>
        <v>0</v>
      </c>
      <c r="AJ17" s="15">
        <f>(Rev!AJ59*_xlfn.XLOOKUP(_xlfn.NUMBERVALUE(RIGHT(AJ$2,1)),$D$3:$H$3,$D$8:$H$8))</f>
        <v>0</v>
      </c>
      <c r="AK17" s="15">
        <f>(Rev!AK59*_xlfn.XLOOKUP(_xlfn.NUMBERVALUE(RIGHT(AK$2,1)),$D$3:$H$3,$D$8:$H$8))</f>
        <v>142.5</v>
      </c>
      <c r="AL17" s="15">
        <f>(Rev!AL59*_xlfn.XLOOKUP(_xlfn.NUMBERVALUE(RIGHT(AL$2,1)),$D$3:$H$3,$D$8:$H$8))</f>
        <v>249.375</v>
      </c>
      <c r="AM17" s="15">
        <f>(Rev!AM59*_xlfn.XLOOKUP(_xlfn.NUMBERVALUE(RIGHT(AM$2,1)),$D$3:$H$3,$D$8:$H$8))</f>
        <v>320.625</v>
      </c>
      <c r="AN17" s="15">
        <f>(Rev!AN59*_xlfn.XLOOKUP(_xlfn.NUMBERVALUE(RIGHT(AN$2,1)),$D$3:$H$3,$D$8:$H$8))</f>
        <v>427.5</v>
      </c>
      <c r="AO17" s="15">
        <f>(Rev!AO59*_xlfn.XLOOKUP(_xlfn.NUMBERVALUE(RIGHT(AO$2,1)),$D$3:$H$3,$D$8:$H$8))</f>
        <v>534.375</v>
      </c>
      <c r="AP17" s="15">
        <f>(Rev!AP59*_xlfn.XLOOKUP(_xlfn.NUMBERVALUE(RIGHT(AP$2,1)),$D$3:$H$3,$D$8:$H$8))</f>
        <v>676.875</v>
      </c>
      <c r="AQ17" s="15">
        <f>(Rev!AQ59*_xlfn.XLOOKUP(_xlfn.NUMBERVALUE(RIGHT(AQ$2,1)),$D$3:$H$3,$D$8:$H$8))</f>
        <v>783.75</v>
      </c>
      <c r="AR17" s="15">
        <f>(Rev!AR59*_xlfn.XLOOKUP(_xlfn.NUMBERVALUE(RIGHT(AR$2,1)),$D$3:$H$3,$D$8:$H$8))</f>
        <v>890.625</v>
      </c>
      <c r="AS17" s="15">
        <f>(Rev!AS59*_xlfn.XLOOKUP(_xlfn.NUMBERVALUE(RIGHT(AS$2,1)),$D$3:$H$3,$D$8:$H$8))</f>
        <v>1033.125</v>
      </c>
      <c r="AT17" s="15">
        <f>(Rev!AT59*_xlfn.XLOOKUP(_xlfn.NUMBERVALUE(RIGHT(AT$2,1)),$D$3:$H$3,$D$8:$H$8))</f>
        <v>1175.625</v>
      </c>
      <c r="AU17" s="15">
        <f>(Rev!AU59*_xlfn.XLOOKUP(_xlfn.NUMBERVALUE(RIGHT(AU$2,1)),$D$3:$H$3,$D$8:$H$8))</f>
        <v>1318.125</v>
      </c>
      <c r="AV17" s="15">
        <f>(Rev!AV59*_xlfn.XLOOKUP(_xlfn.NUMBERVALUE(RIGHT(AV$2,1)),$D$3:$H$3,$D$8:$H$8))</f>
        <v>1496.25</v>
      </c>
      <c r="AW17" s="15">
        <f>(Rev!AW59*_xlfn.XLOOKUP(_xlfn.NUMBERVALUE(RIGHT(AW$2,1)),$D$3:$H$3,$D$8:$H$8))</f>
        <v>2671.875</v>
      </c>
      <c r="AX17" s="15">
        <f>(Rev!AX59*_xlfn.XLOOKUP(_xlfn.NUMBERVALUE(RIGHT(AX$2,1)),$D$3:$H$3,$D$8:$H$8))</f>
        <v>3234.375</v>
      </c>
      <c r="AY17" s="15">
        <f>(Rev!AY59*_xlfn.XLOOKUP(_xlfn.NUMBERVALUE(RIGHT(AY$2,1)),$D$3:$H$3,$D$8:$H$8))</f>
        <v>3796.875</v>
      </c>
      <c r="AZ17" s="15">
        <f>(Rev!AZ59*_xlfn.XLOOKUP(_xlfn.NUMBERVALUE(RIGHT(AZ$2,1)),$D$3:$H$3,$D$8:$H$8))</f>
        <v>4406.25</v>
      </c>
      <c r="BA17" s="15">
        <f>(Rev!BA59*_xlfn.XLOOKUP(_xlfn.NUMBERVALUE(RIGHT(BA$2,1)),$D$3:$H$3,$D$8:$H$8))</f>
        <v>5015.625</v>
      </c>
      <c r="BB17" s="15">
        <f>(Rev!BB59*_xlfn.XLOOKUP(_xlfn.NUMBERVALUE(RIGHT(BB$2,1)),$D$3:$H$3,$D$8:$H$8))</f>
        <v>5671.875</v>
      </c>
      <c r="BC17" s="15">
        <f>(Rev!BC59*_xlfn.XLOOKUP(_xlfn.NUMBERVALUE(RIGHT(BC$2,1)),$D$3:$H$3,$D$8:$H$8))</f>
        <v>6421.875</v>
      </c>
      <c r="BD17" s="15">
        <f>(Rev!BD59*_xlfn.XLOOKUP(_xlfn.NUMBERVALUE(RIGHT(BD$2,1)),$D$3:$H$3,$D$8:$H$8))</f>
        <v>7171.875</v>
      </c>
      <c r="BE17" s="15">
        <f>(Rev!BE59*_xlfn.XLOOKUP(_xlfn.NUMBERVALUE(RIGHT(BE$2,1)),$D$3:$H$3,$D$8:$H$8))</f>
        <v>7921.875</v>
      </c>
      <c r="BF17" s="15">
        <f>(Rev!BF59*_xlfn.XLOOKUP(_xlfn.NUMBERVALUE(RIGHT(BF$2,1)),$D$3:$H$3,$D$8:$H$8))</f>
        <v>8765.625</v>
      </c>
      <c r="BG17" s="15">
        <f>(Rev!BG59*_xlfn.XLOOKUP(_xlfn.NUMBERVALUE(RIGHT(BG$2,1)),$D$3:$H$3,$D$8:$H$8))</f>
        <v>9562.5</v>
      </c>
      <c r="BH17" s="15">
        <f>(Rev!BH59*_xlfn.XLOOKUP(_xlfn.NUMBERVALUE(RIGHT(BH$2,1)),$D$3:$H$3,$D$8:$H$8))</f>
        <v>10500</v>
      </c>
      <c r="BI17" s="15">
        <f>(Rev!BI59*_xlfn.XLOOKUP(_xlfn.NUMBERVALUE(RIGHT(BI$2,1)),$D$3:$H$3,$D$8:$H$8))</f>
        <v>14850</v>
      </c>
      <c r="BJ17" s="15">
        <f>(Rev!BJ59*_xlfn.XLOOKUP(_xlfn.NUMBERVALUE(RIGHT(BJ$2,1)),$D$3:$H$3,$D$8:$H$8))</f>
        <v>16818.75</v>
      </c>
      <c r="BK17" s="15">
        <f>(Rev!BK59*_xlfn.XLOOKUP(_xlfn.NUMBERVALUE(RIGHT(BK$2,1)),$D$3:$H$3,$D$8:$H$8))</f>
        <v>18900</v>
      </c>
      <c r="BL17" s="15">
        <f>(Rev!BL59*_xlfn.XLOOKUP(_xlfn.NUMBERVALUE(RIGHT(BL$2,1)),$D$3:$H$3,$D$8:$H$8))</f>
        <v>21093.75</v>
      </c>
      <c r="BM17" s="15">
        <f>(Rev!BM59*_xlfn.XLOOKUP(_xlfn.NUMBERVALUE(RIGHT(BM$2,1)),$D$3:$H$3,$D$8:$H$8))</f>
        <v>23343.75</v>
      </c>
      <c r="BN17" s="15">
        <f>(Rev!BN59*_xlfn.XLOOKUP(_xlfn.NUMBERVALUE(RIGHT(BN$2,1)),$D$3:$H$3,$D$8:$H$8))</f>
        <v>25762.5</v>
      </c>
      <c r="BO17" s="15">
        <f>(Rev!BO59*_xlfn.XLOOKUP(_xlfn.NUMBERVALUE(RIGHT(BO$2,1)),$D$3:$H$3,$D$8:$H$8))</f>
        <v>28293.75</v>
      </c>
      <c r="BP17" s="15">
        <f>(Rev!BP59*_xlfn.XLOOKUP(_xlfn.NUMBERVALUE(RIGHT(BP$2,1)),$D$3:$H$3,$D$8:$H$8))</f>
        <v>30937.5</v>
      </c>
      <c r="BQ17" s="15">
        <f>(Rev!BQ59*_xlfn.XLOOKUP(_xlfn.NUMBERVALUE(RIGHT(BQ$2,1)),$D$3:$H$3,$D$8:$H$8))</f>
        <v>33693.75</v>
      </c>
      <c r="BR17" s="15">
        <f>(Rev!BR59*_xlfn.XLOOKUP(_xlfn.NUMBERVALUE(RIGHT(BR$2,1)),$D$3:$H$3,$D$8:$H$8))</f>
        <v>36618.75</v>
      </c>
      <c r="BS17" s="15">
        <f>(Rev!BS59*_xlfn.XLOOKUP(_xlfn.NUMBERVALUE(RIGHT(BS$2,1)),$D$3:$H$3,$D$8:$H$8))</f>
        <v>39712.5</v>
      </c>
      <c r="BT17" s="15">
        <f>(Rev!BT59*_xlfn.XLOOKUP(_xlfn.NUMBERVALUE(RIGHT(BT$2,1)),$D$3:$H$3,$D$8:$H$8))</f>
        <v>42918.75</v>
      </c>
    </row>
    <row r="18" spans="1:304" x14ac:dyDescent="0.3">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row>
    <row r="19" spans="1:304" x14ac:dyDescent="0.3">
      <c r="J19" t="s">
        <v>39</v>
      </c>
      <c r="M19" s="15">
        <f>(Rev!M61*_xlfn.XLOOKUP(_xlfn.NUMBERVALUE(RIGHT(M$2,1)),$D$3:$H$3,$D$10:$H$10))</f>
        <v>0</v>
      </c>
      <c r="N19" s="15">
        <f>(Rev!N61*_xlfn.XLOOKUP(_xlfn.NUMBERVALUE(RIGHT(N$2,1)),$D$3:$H$3,$D$10:$H$10))</f>
        <v>0</v>
      </c>
      <c r="O19" s="15">
        <f>(Rev!O61*_xlfn.XLOOKUP(_xlfn.NUMBERVALUE(RIGHT(O$2,1)),$D$3:$H$3,$D$10:$H$10))</f>
        <v>0</v>
      </c>
      <c r="P19" s="15">
        <f>(Rev!P61*_xlfn.XLOOKUP(_xlfn.NUMBERVALUE(RIGHT(P$2,1)),$D$3:$H$3,$D$10:$H$10))</f>
        <v>0</v>
      </c>
      <c r="Q19" s="15">
        <f>(Rev!Q61*_xlfn.XLOOKUP(_xlfn.NUMBERVALUE(RIGHT(Q$2,1)),$D$3:$H$3,$D$10:$H$10))</f>
        <v>0</v>
      </c>
      <c r="R19" s="15">
        <f>(Rev!R61*_xlfn.XLOOKUP(_xlfn.NUMBERVALUE(RIGHT(R$2,1)),$D$3:$H$3,$D$10:$H$10))</f>
        <v>0</v>
      </c>
      <c r="S19" s="15">
        <f>(Rev!S61*_xlfn.XLOOKUP(_xlfn.NUMBERVALUE(RIGHT(S$2,1)),$D$3:$H$3,$D$10:$H$10))</f>
        <v>20</v>
      </c>
      <c r="T19" s="15">
        <f>(Rev!T61*_xlfn.XLOOKUP(_xlfn.NUMBERVALUE(RIGHT(T$2,1)),$D$3:$H$3,$D$10:$H$10))</f>
        <v>40</v>
      </c>
      <c r="U19" s="15">
        <f>(Rev!U61*_xlfn.XLOOKUP(_xlfn.NUMBERVALUE(RIGHT(U$2,1)),$D$3:$H$3,$D$10:$H$10))</f>
        <v>60</v>
      </c>
      <c r="V19" s="15">
        <f>(Rev!V61*_xlfn.XLOOKUP(_xlfn.NUMBERVALUE(RIGHT(V$2,1)),$D$3:$H$3,$D$10:$H$10))</f>
        <v>70</v>
      </c>
      <c r="W19" s="15">
        <f>(Rev!W61*_xlfn.XLOOKUP(_xlfn.NUMBERVALUE(RIGHT(W$2,1)),$D$3:$H$3,$D$10:$H$10))</f>
        <v>90</v>
      </c>
      <c r="X19" s="15">
        <f>(Rev!X61*_xlfn.XLOOKUP(_xlfn.NUMBERVALUE(RIGHT(X$2,1)),$D$3:$H$3,$D$10:$H$10))</f>
        <v>110</v>
      </c>
      <c r="Y19" s="15">
        <f>(Rev!Y61*_xlfn.XLOOKUP(_xlfn.NUMBERVALUE(RIGHT(Y$2,1)),$D$3:$H$3,$D$10:$H$10))</f>
        <v>150</v>
      </c>
      <c r="Z19" s="15">
        <f>(Rev!Z61*_xlfn.XLOOKUP(_xlfn.NUMBERVALUE(RIGHT(Z$2,1)),$D$3:$H$3,$D$10:$H$10))</f>
        <v>175</v>
      </c>
      <c r="AA19" s="15">
        <f>(Rev!AA61*_xlfn.XLOOKUP(_xlfn.NUMBERVALUE(RIGHT(AA$2,1)),$D$3:$H$3,$D$10:$H$10))</f>
        <v>225</v>
      </c>
      <c r="AB19" s="15">
        <f>(Rev!AB61*_xlfn.XLOOKUP(_xlfn.NUMBERVALUE(RIGHT(AB$2,1)),$D$3:$H$3,$D$10:$H$10))</f>
        <v>262.5</v>
      </c>
      <c r="AC19" s="15">
        <f>(Rev!AC61*_xlfn.XLOOKUP(_xlfn.NUMBERVALUE(RIGHT(AC$2,1)),$D$3:$H$3,$D$10:$H$10))</f>
        <v>312.5</v>
      </c>
      <c r="AD19" s="15">
        <f>(Rev!AD61*_xlfn.XLOOKUP(_xlfn.NUMBERVALUE(RIGHT(AD$2,1)),$D$3:$H$3,$D$10:$H$10))</f>
        <v>350</v>
      </c>
      <c r="AE19" s="15">
        <f>(Rev!AE61*_xlfn.XLOOKUP(_xlfn.NUMBERVALUE(RIGHT(AE$2,1)),$D$3:$H$3,$D$10:$H$10))</f>
        <v>400</v>
      </c>
      <c r="AF19" s="15">
        <f>(Rev!AF61*_xlfn.XLOOKUP(_xlfn.NUMBERVALUE(RIGHT(AF$2,1)),$D$3:$H$3,$D$10:$H$10))</f>
        <v>450</v>
      </c>
      <c r="AG19" s="15">
        <f>(Rev!AG61*_xlfn.XLOOKUP(_xlfn.NUMBERVALUE(RIGHT(AG$2,1)),$D$3:$H$3,$D$10:$H$10))</f>
        <v>500</v>
      </c>
      <c r="AH19" s="15">
        <f>(Rev!AH61*_xlfn.XLOOKUP(_xlfn.NUMBERVALUE(RIGHT(AH$2,1)),$D$3:$H$3,$D$10:$H$10))</f>
        <v>550</v>
      </c>
      <c r="AI19" s="15">
        <f>(Rev!AI61*_xlfn.XLOOKUP(_xlfn.NUMBERVALUE(RIGHT(AI$2,1)),$D$3:$H$3,$D$10:$H$10))</f>
        <v>612.5</v>
      </c>
      <c r="AJ19" s="15">
        <f>(Rev!AJ61*_xlfn.XLOOKUP(_xlfn.NUMBERVALUE(RIGHT(AJ$2,1)),$D$3:$H$3,$D$10:$H$10))</f>
        <v>662.5</v>
      </c>
      <c r="AK19" s="15">
        <f>(Rev!AK61*_xlfn.XLOOKUP(_xlfn.NUMBERVALUE(RIGHT(AK$2,1)),$D$3:$H$3,$D$10:$H$10))</f>
        <v>855</v>
      </c>
      <c r="AL19" s="15">
        <f>(Rev!AL61*_xlfn.XLOOKUP(_xlfn.NUMBERVALUE(RIGHT(AL$2,1)),$D$3:$H$3,$D$10:$H$10))</f>
        <v>915</v>
      </c>
      <c r="AM19" s="15">
        <f>(Rev!AM61*_xlfn.XLOOKUP(_xlfn.NUMBERVALUE(RIGHT(AM$2,1)),$D$3:$H$3,$D$10:$H$10))</f>
        <v>975</v>
      </c>
      <c r="AN19" s="15">
        <f>(Rev!AN61*_xlfn.XLOOKUP(_xlfn.NUMBERVALUE(RIGHT(AN$2,1)),$D$3:$H$3,$D$10:$H$10))</f>
        <v>1035</v>
      </c>
      <c r="AO19" s="15">
        <f>(Rev!AO61*_xlfn.XLOOKUP(_xlfn.NUMBERVALUE(RIGHT(AO$2,1)),$D$3:$H$3,$D$10:$H$10))</f>
        <v>1110</v>
      </c>
      <c r="AP19" s="15">
        <f>(Rev!AP61*_xlfn.XLOOKUP(_xlfn.NUMBERVALUE(RIGHT(AP$2,1)),$D$3:$H$3,$D$10:$H$10))</f>
        <v>1185</v>
      </c>
      <c r="AQ19" s="15">
        <f>(Rev!AQ61*_xlfn.XLOOKUP(_xlfn.NUMBERVALUE(RIGHT(AQ$2,1)),$D$3:$H$3,$D$10:$H$10))</f>
        <v>1260</v>
      </c>
      <c r="AR19" s="15">
        <f>(Rev!AR61*_xlfn.XLOOKUP(_xlfn.NUMBERVALUE(RIGHT(AR$2,1)),$D$3:$H$3,$D$10:$H$10))</f>
        <v>1335</v>
      </c>
      <c r="AS19" s="15">
        <f>(Rev!AS61*_xlfn.XLOOKUP(_xlfn.NUMBERVALUE(RIGHT(AS$2,1)),$D$3:$H$3,$D$10:$H$10))</f>
        <v>1410</v>
      </c>
      <c r="AT19" s="15">
        <f>(Rev!AT61*_xlfn.XLOOKUP(_xlfn.NUMBERVALUE(RIGHT(AT$2,1)),$D$3:$H$3,$D$10:$H$10))</f>
        <v>1515</v>
      </c>
      <c r="AU19" s="15">
        <f>(Rev!AU61*_xlfn.XLOOKUP(_xlfn.NUMBERVALUE(RIGHT(AU$2,1)),$D$3:$H$3,$D$10:$H$10))</f>
        <v>1605</v>
      </c>
      <c r="AV19" s="15">
        <f>(Rev!AV61*_xlfn.XLOOKUP(_xlfn.NUMBERVALUE(RIGHT(AV$2,1)),$D$3:$H$3,$D$10:$H$10))</f>
        <v>1695</v>
      </c>
      <c r="AW19" s="15">
        <f>(Rev!AW61*_xlfn.XLOOKUP(_xlfn.NUMBERVALUE(RIGHT(AW$2,1)),$D$3:$H$3,$D$10:$H$10))</f>
        <v>2280</v>
      </c>
      <c r="AX19" s="15">
        <f>(Rev!AX61*_xlfn.XLOOKUP(_xlfn.NUMBERVALUE(RIGHT(AX$2,1)),$D$3:$H$3,$D$10:$H$10))</f>
        <v>2320</v>
      </c>
      <c r="AY19" s="15">
        <f>(Rev!AY61*_xlfn.XLOOKUP(_xlfn.NUMBERVALUE(RIGHT(AY$2,1)),$D$3:$H$3,$D$10:$H$10))</f>
        <v>2400</v>
      </c>
      <c r="AZ19" s="15">
        <f>(Rev!AZ61*_xlfn.XLOOKUP(_xlfn.NUMBERVALUE(RIGHT(AZ$2,1)),$D$3:$H$3,$D$10:$H$10))</f>
        <v>2460</v>
      </c>
      <c r="BA19" s="15">
        <f>(Rev!BA61*_xlfn.XLOOKUP(_xlfn.NUMBERVALUE(RIGHT(BA$2,1)),$D$3:$H$3,$D$10:$H$10))</f>
        <v>2540</v>
      </c>
      <c r="BB19" s="15">
        <f>(Rev!BB61*_xlfn.XLOOKUP(_xlfn.NUMBERVALUE(RIGHT(BB$2,1)),$D$3:$H$3,$D$10:$H$10))</f>
        <v>2600</v>
      </c>
      <c r="BC19" s="15">
        <f>(Rev!BC61*_xlfn.XLOOKUP(_xlfn.NUMBERVALUE(RIGHT(BC$2,1)),$D$3:$H$3,$D$10:$H$10))</f>
        <v>2680</v>
      </c>
      <c r="BD19" s="15">
        <f>(Rev!BD61*_xlfn.XLOOKUP(_xlfn.NUMBERVALUE(RIGHT(BD$2,1)),$D$3:$H$3,$D$10:$H$10))</f>
        <v>2760</v>
      </c>
      <c r="BE19" s="15">
        <f>(Rev!BE61*_xlfn.XLOOKUP(_xlfn.NUMBERVALUE(RIGHT(BE$2,1)),$D$3:$H$3,$D$10:$H$10))</f>
        <v>2840</v>
      </c>
      <c r="BF19" s="15">
        <f>(Rev!BF61*_xlfn.XLOOKUP(_xlfn.NUMBERVALUE(RIGHT(BF$2,1)),$D$3:$H$3,$D$10:$H$10))</f>
        <v>2940</v>
      </c>
      <c r="BG19" s="15">
        <f>(Rev!BG61*_xlfn.XLOOKUP(_xlfn.NUMBERVALUE(RIGHT(BG$2,1)),$D$3:$H$3,$D$10:$H$10))</f>
        <v>3020</v>
      </c>
      <c r="BH19" s="15">
        <f>(Rev!BH61*_xlfn.XLOOKUP(_xlfn.NUMBERVALUE(RIGHT(BH$2,1)),$D$3:$H$3,$D$10:$H$10))</f>
        <v>3120</v>
      </c>
      <c r="BI19" s="15">
        <f>(Rev!BI61*_xlfn.XLOOKUP(_xlfn.NUMBERVALUE(RIGHT(BI$2,1)),$D$3:$H$3,$D$10:$H$10))</f>
        <v>4025</v>
      </c>
      <c r="BJ19" s="15">
        <f>(Rev!BJ61*_xlfn.XLOOKUP(_xlfn.NUMBERVALUE(RIGHT(BJ$2,1)),$D$3:$H$3,$D$10:$H$10))</f>
        <v>4200</v>
      </c>
      <c r="BK19" s="15">
        <f>(Rev!BK61*_xlfn.XLOOKUP(_xlfn.NUMBERVALUE(RIGHT(BK$2,1)),$D$3:$H$3,$D$10:$H$10))</f>
        <v>4325</v>
      </c>
      <c r="BL19" s="15">
        <f>(Rev!BL61*_xlfn.XLOOKUP(_xlfn.NUMBERVALUE(RIGHT(BL$2,1)),$D$3:$H$3,$D$10:$H$10))</f>
        <v>4500</v>
      </c>
      <c r="BM19" s="15">
        <f>(Rev!BM61*_xlfn.XLOOKUP(_xlfn.NUMBERVALUE(RIGHT(BM$2,1)),$D$3:$H$3,$D$10:$H$10))</f>
        <v>4675</v>
      </c>
      <c r="BN19" s="15">
        <f>(Rev!BN61*_xlfn.XLOOKUP(_xlfn.NUMBERVALUE(RIGHT(BN$2,1)),$D$3:$H$3,$D$10:$H$10))</f>
        <v>4850</v>
      </c>
      <c r="BO19" s="15">
        <f>(Rev!BO61*_xlfn.XLOOKUP(_xlfn.NUMBERVALUE(RIGHT(BO$2,1)),$D$3:$H$3,$D$10:$H$10))</f>
        <v>5025</v>
      </c>
      <c r="BP19" s="15">
        <f>(Rev!BP61*_xlfn.XLOOKUP(_xlfn.NUMBERVALUE(RIGHT(BP$2,1)),$D$3:$H$3,$D$10:$H$10))</f>
        <v>5250</v>
      </c>
      <c r="BQ19" s="15">
        <f>(Rev!BQ61*_xlfn.XLOOKUP(_xlfn.NUMBERVALUE(RIGHT(BQ$2,1)),$D$3:$H$3,$D$10:$H$10))</f>
        <v>5425</v>
      </c>
      <c r="BR19" s="15">
        <f>(Rev!BR61*_xlfn.XLOOKUP(_xlfn.NUMBERVALUE(RIGHT(BR$2,1)),$D$3:$H$3,$D$10:$H$10))</f>
        <v>5650</v>
      </c>
      <c r="BS19" s="15">
        <f>(Rev!BS61*_xlfn.XLOOKUP(_xlfn.NUMBERVALUE(RIGHT(BS$2,1)),$D$3:$H$3,$D$10:$H$10))</f>
        <v>5900</v>
      </c>
      <c r="BT19" s="15">
        <f>(Rev!BT61*_xlfn.XLOOKUP(_xlfn.NUMBERVALUE(RIGHT(BT$2,1)),$D$3:$H$3,$D$10:$H$10))</f>
        <v>6125</v>
      </c>
    </row>
    <row r="20" spans="1:304" x14ac:dyDescent="0.3">
      <c r="M20" s="15">
        <f>(Rev!M62*_xlfn.XLOOKUP(_xlfn.NUMBERVALUE(RIGHT(M$2,1)),$D$3:$H$3,$D$11:$H$11))</f>
        <v>0</v>
      </c>
      <c r="N20" s="15">
        <f>(Rev!N62*_xlfn.XLOOKUP(_xlfn.NUMBERVALUE(RIGHT(N$2,1)),$D$3:$H$3,$D$11:$H$11))</f>
        <v>0</v>
      </c>
      <c r="O20" s="15">
        <f>(Rev!O62*_xlfn.XLOOKUP(_xlfn.NUMBERVALUE(RIGHT(O$2,1)),$D$3:$H$3,$D$11:$H$11))</f>
        <v>0</v>
      </c>
      <c r="P20" s="15">
        <f>(Rev!P62*_xlfn.XLOOKUP(_xlfn.NUMBERVALUE(RIGHT(P$2,1)),$D$3:$H$3,$D$11:$H$11))</f>
        <v>0</v>
      </c>
      <c r="Q20" s="15">
        <f>(Rev!Q62*_xlfn.XLOOKUP(_xlfn.NUMBERVALUE(RIGHT(Q$2,1)),$D$3:$H$3,$D$11:$H$11))</f>
        <v>0</v>
      </c>
      <c r="R20" s="15">
        <f>(Rev!R62*_xlfn.XLOOKUP(_xlfn.NUMBERVALUE(RIGHT(R$2,1)),$D$3:$H$3,$D$11:$H$11))</f>
        <v>0</v>
      </c>
      <c r="S20" s="15">
        <f>(Rev!S62*_xlfn.XLOOKUP(_xlfn.NUMBERVALUE(RIGHT(S$2,1)),$D$3:$H$3,$D$11:$H$11))</f>
        <v>0</v>
      </c>
      <c r="T20" s="15">
        <f>(Rev!T62*_xlfn.XLOOKUP(_xlfn.NUMBERVALUE(RIGHT(T$2,1)),$D$3:$H$3,$D$11:$H$11))</f>
        <v>0</v>
      </c>
      <c r="U20" s="15">
        <f>(Rev!U62*_xlfn.XLOOKUP(_xlfn.NUMBERVALUE(RIGHT(U$2,1)),$D$3:$H$3,$D$11:$H$11))</f>
        <v>0</v>
      </c>
      <c r="V20" s="15">
        <f>(Rev!V62*_xlfn.XLOOKUP(_xlfn.NUMBERVALUE(RIGHT(V$2,1)),$D$3:$H$3,$D$11:$H$11))</f>
        <v>0</v>
      </c>
      <c r="W20" s="15">
        <f>(Rev!W62*_xlfn.XLOOKUP(_xlfn.NUMBERVALUE(RIGHT(W$2,1)),$D$3:$H$3,$D$11:$H$11))</f>
        <v>0</v>
      </c>
      <c r="X20" s="15">
        <f>(Rev!X62*_xlfn.XLOOKUP(_xlfn.NUMBERVALUE(RIGHT(X$2,1)),$D$3:$H$3,$D$11:$H$11))</f>
        <v>0</v>
      </c>
      <c r="Y20" s="15">
        <f>(Rev!Y62*_xlfn.XLOOKUP(_xlfn.NUMBERVALUE(RIGHT(Y$2,1)),$D$3:$H$3,$D$11:$H$11))</f>
        <v>37.5</v>
      </c>
      <c r="Z20" s="15">
        <f>(Rev!Z62*_xlfn.XLOOKUP(_xlfn.NUMBERVALUE(RIGHT(Z$2,1)),$D$3:$H$3,$D$11:$H$11))</f>
        <v>75</v>
      </c>
      <c r="AA20" s="15">
        <f>(Rev!AA62*_xlfn.XLOOKUP(_xlfn.NUMBERVALUE(RIGHT(AA$2,1)),$D$3:$H$3,$D$11:$H$11))</f>
        <v>112.5</v>
      </c>
      <c r="AB20" s="15">
        <f>(Rev!AB62*_xlfn.XLOOKUP(_xlfn.NUMBERVALUE(RIGHT(AB$2,1)),$D$3:$H$3,$D$11:$H$11))</f>
        <v>150</v>
      </c>
      <c r="AC20" s="15">
        <f>(Rev!AC62*_xlfn.XLOOKUP(_xlfn.NUMBERVALUE(RIGHT(AC$2,1)),$D$3:$H$3,$D$11:$H$11))</f>
        <v>187.5</v>
      </c>
      <c r="AD20" s="15">
        <f>(Rev!AD62*_xlfn.XLOOKUP(_xlfn.NUMBERVALUE(RIGHT(AD$2,1)),$D$3:$H$3,$D$11:$H$11))</f>
        <v>225</v>
      </c>
      <c r="AE20" s="15">
        <f>(Rev!AE62*_xlfn.XLOOKUP(_xlfn.NUMBERVALUE(RIGHT(AE$2,1)),$D$3:$H$3,$D$11:$H$11))</f>
        <v>262.5</v>
      </c>
      <c r="AF20" s="15">
        <f>(Rev!AF62*_xlfn.XLOOKUP(_xlfn.NUMBERVALUE(RIGHT(AF$2,1)),$D$3:$H$3,$D$11:$H$11))</f>
        <v>300</v>
      </c>
      <c r="AG20" s="15">
        <f>(Rev!AG62*_xlfn.XLOOKUP(_xlfn.NUMBERVALUE(RIGHT(AG$2,1)),$D$3:$H$3,$D$11:$H$11))</f>
        <v>356.25</v>
      </c>
      <c r="AH20" s="15">
        <f>(Rev!AH62*_xlfn.XLOOKUP(_xlfn.NUMBERVALUE(RIGHT(AH$2,1)),$D$3:$H$3,$D$11:$H$11))</f>
        <v>412.5</v>
      </c>
      <c r="AI20" s="15">
        <f>(Rev!AI62*_xlfn.XLOOKUP(_xlfn.NUMBERVALUE(RIGHT(AI$2,1)),$D$3:$H$3,$D$11:$H$11))</f>
        <v>450</v>
      </c>
      <c r="AJ20" s="15">
        <f>(Rev!AJ62*_xlfn.XLOOKUP(_xlfn.NUMBERVALUE(RIGHT(AJ$2,1)),$D$3:$H$3,$D$11:$H$11))</f>
        <v>506.25</v>
      </c>
      <c r="AK20" s="15">
        <f>(Rev!AK62*_xlfn.XLOOKUP(_xlfn.NUMBERVALUE(RIGHT(AK$2,1)),$D$3:$H$3,$D$11:$H$11))</f>
        <v>697.5</v>
      </c>
      <c r="AL20" s="15">
        <f>(Rev!AL62*_xlfn.XLOOKUP(_xlfn.NUMBERVALUE(RIGHT(AL$2,1)),$D$3:$H$3,$D$11:$H$11))</f>
        <v>787.5</v>
      </c>
      <c r="AM20" s="15">
        <f>(Rev!AM62*_xlfn.XLOOKUP(_xlfn.NUMBERVALUE(RIGHT(AM$2,1)),$D$3:$H$3,$D$11:$H$11))</f>
        <v>877.5</v>
      </c>
      <c r="AN20" s="15">
        <f>(Rev!AN62*_xlfn.XLOOKUP(_xlfn.NUMBERVALUE(RIGHT(AN$2,1)),$D$3:$H$3,$D$11:$H$11))</f>
        <v>990</v>
      </c>
      <c r="AO20" s="15">
        <f>(Rev!AO62*_xlfn.XLOOKUP(_xlfn.NUMBERVALUE(RIGHT(AO$2,1)),$D$3:$H$3,$D$11:$H$11))</f>
        <v>1102.5</v>
      </c>
      <c r="AP20" s="15">
        <f>(Rev!AP62*_xlfn.XLOOKUP(_xlfn.NUMBERVALUE(RIGHT(AP$2,1)),$D$3:$H$3,$D$11:$H$11))</f>
        <v>1192.5</v>
      </c>
      <c r="AQ20" s="15">
        <f>(Rev!AQ62*_xlfn.XLOOKUP(_xlfn.NUMBERVALUE(RIGHT(AQ$2,1)),$D$3:$H$3,$D$11:$H$11))</f>
        <v>1327.5</v>
      </c>
      <c r="AR20" s="15">
        <f>(Rev!AR62*_xlfn.XLOOKUP(_xlfn.NUMBERVALUE(RIGHT(AR$2,1)),$D$3:$H$3,$D$11:$H$11))</f>
        <v>1440</v>
      </c>
      <c r="AS20" s="15">
        <f>(Rev!AS62*_xlfn.XLOOKUP(_xlfn.NUMBERVALUE(RIGHT(AS$2,1)),$D$3:$H$3,$D$11:$H$11))</f>
        <v>1552.5</v>
      </c>
      <c r="AT20" s="15">
        <f>(Rev!AT62*_xlfn.XLOOKUP(_xlfn.NUMBERVALUE(RIGHT(AT$2,1)),$D$3:$H$3,$D$11:$H$11))</f>
        <v>1687.5</v>
      </c>
      <c r="AU20" s="15">
        <f>(Rev!AU62*_xlfn.XLOOKUP(_xlfn.NUMBERVALUE(RIGHT(AU$2,1)),$D$3:$H$3,$D$11:$H$11))</f>
        <v>1822.5</v>
      </c>
      <c r="AV20" s="15">
        <f>(Rev!AV62*_xlfn.XLOOKUP(_xlfn.NUMBERVALUE(RIGHT(AV$2,1)),$D$3:$H$3,$D$11:$H$11))</f>
        <v>1980</v>
      </c>
      <c r="AW20" s="15">
        <f>(Rev!AW62*_xlfn.XLOOKUP(_xlfn.NUMBERVALUE(RIGHT(AW$2,1)),$D$3:$H$3,$D$11:$H$11))</f>
        <v>3060</v>
      </c>
      <c r="AX20" s="15">
        <f>(Rev!AX62*_xlfn.XLOOKUP(_xlfn.NUMBERVALUE(RIGHT(AX$2,1)),$D$3:$H$3,$D$11:$H$11))</f>
        <v>3420</v>
      </c>
      <c r="AY20" s="15">
        <f>(Rev!AY62*_xlfn.XLOOKUP(_xlfn.NUMBERVALUE(RIGHT(AY$2,1)),$D$3:$H$3,$D$11:$H$11))</f>
        <v>3780</v>
      </c>
      <c r="AZ20" s="15">
        <f>(Rev!AZ62*_xlfn.XLOOKUP(_xlfn.NUMBERVALUE(RIGHT(AZ$2,1)),$D$3:$H$3,$D$11:$H$11))</f>
        <v>4170</v>
      </c>
      <c r="BA20" s="15">
        <f>(Rev!BA62*_xlfn.XLOOKUP(_xlfn.NUMBERVALUE(RIGHT(BA$2,1)),$D$3:$H$3,$D$11:$H$11))</f>
        <v>4560</v>
      </c>
      <c r="BB20" s="15">
        <f>(Rev!BB62*_xlfn.XLOOKUP(_xlfn.NUMBERVALUE(RIGHT(BB$2,1)),$D$3:$H$3,$D$11:$H$11))</f>
        <v>4980</v>
      </c>
      <c r="BC20" s="15">
        <f>(Rev!BC62*_xlfn.XLOOKUP(_xlfn.NUMBERVALUE(RIGHT(BC$2,1)),$D$3:$H$3,$D$11:$H$11))</f>
        <v>5460</v>
      </c>
      <c r="BD20" s="15">
        <f>(Rev!BD62*_xlfn.XLOOKUP(_xlfn.NUMBERVALUE(RIGHT(BD$2,1)),$D$3:$H$3,$D$11:$H$11))</f>
        <v>5940</v>
      </c>
      <c r="BE20" s="15">
        <f>(Rev!BE62*_xlfn.XLOOKUP(_xlfn.NUMBERVALUE(RIGHT(BE$2,1)),$D$3:$H$3,$D$11:$H$11))</f>
        <v>6420</v>
      </c>
      <c r="BF20" s="15">
        <f>(Rev!BF62*_xlfn.XLOOKUP(_xlfn.NUMBERVALUE(RIGHT(BF$2,1)),$D$3:$H$3,$D$11:$H$11))</f>
        <v>6930</v>
      </c>
      <c r="BG20" s="15">
        <f>(Rev!BG62*_xlfn.XLOOKUP(_xlfn.NUMBERVALUE(RIGHT(BG$2,1)),$D$3:$H$3,$D$11:$H$11))</f>
        <v>7470</v>
      </c>
      <c r="BH20" s="15">
        <f>(Rev!BH62*_xlfn.XLOOKUP(_xlfn.NUMBERVALUE(RIGHT(BH$2,1)),$D$3:$H$3,$D$11:$H$11))</f>
        <v>8070</v>
      </c>
      <c r="BI20" s="15">
        <f>(Rev!BI62*_xlfn.XLOOKUP(_xlfn.NUMBERVALUE(RIGHT(BI$2,1)),$D$3:$H$3,$D$11:$H$11))</f>
        <v>10950</v>
      </c>
      <c r="BJ20" s="15">
        <f>(Rev!BJ62*_xlfn.XLOOKUP(_xlfn.NUMBERVALUE(RIGHT(BJ$2,1)),$D$3:$H$3,$D$11:$H$11))</f>
        <v>11812.5</v>
      </c>
      <c r="BK20" s="15">
        <f>(Rev!BK62*_xlfn.XLOOKUP(_xlfn.NUMBERVALUE(RIGHT(BK$2,1)),$D$3:$H$3,$D$11:$H$11))</f>
        <v>12750</v>
      </c>
      <c r="BL20" s="15">
        <f>(Rev!BL62*_xlfn.XLOOKUP(_xlfn.NUMBERVALUE(RIGHT(BL$2,1)),$D$3:$H$3,$D$11:$H$11))</f>
        <v>13725</v>
      </c>
      <c r="BM20" s="15">
        <f>(Rev!BM62*_xlfn.XLOOKUP(_xlfn.NUMBERVALUE(RIGHT(BM$2,1)),$D$3:$H$3,$D$11:$H$11))</f>
        <v>14737.5</v>
      </c>
      <c r="BN20" s="15">
        <f>(Rev!BN62*_xlfn.XLOOKUP(_xlfn.NUMBERVALUE(RIGHT(BN$2,1)),$D$3:$H$3,$D$11:$H$11))</f>
        <v>15825</v>
      </c>
      <c r="BO20" s="15">
        <f>(Rev!BO62*_xlfn.XLOOKUP(_xlfn.NUMBERVALUE(RIGHT(BO$2,1)),$D$3:$H$3,$D$11:$H$11))</f>
        <v>16950</v>
      </c>
      <c r="BP20" s="15">
        <f>(Rev!BP62*_xlfn.XLOOKUP(_xlfn.NUMBERVALUE(RIGHT(BP$2,1)),$D$3:$H$3,$D$11:$H$11))</f>
        <v>18112.5</v>
      </c>
      <c r="BQ20" s="15">
        <f>(Rev!BQ62*_xlfn.XLOOKUP(_xlfn.NUMBERVALUE(RIGHT(BQ$2,1)),$D$3:$H$3,$D$11:$H$11))</f>
        <v>19350</v>
      </c>
      <c r="BR20" s="15">
        <f>(Rev!BR62*_xlfn.XLOOKUP(_xlfn.NUMBERVALUE(RIGHT(BR$2,1)),$D$3:$H$3,$D$11:$H$11))</f>
        <v>20662.5</v>
      </c>
      <c r="BS20" s="15">
        <f>(Rev!BS62*_xlfn.XLOOKUP(_xlfn.NUMBERVALUE(RIGHT(BS$2,1)),$D$3:$H$3,$D$11:$H$11))</f>
        <v>22012.5</v>
      </c>
      <c r="BT20" s="15">
        <f>(Rev!BT62*_xlfn.XLOOKUP(_xlfn.NUMBERVALUE(RIGHT(BT$2,1)),$D$3:$H$3,$D$11:$H$11))</f>
        <v>23437.5</v>
      </c>
    </row>
    <row r="21" spans="1:304" x14ac:dyDescent="0.3">
      <c r="M21" s="15">
        <f>(Rev!M63*_xlfn.XLOOKUP(_xlfn.NUMBERVALUE(RIGHT(M$2,1)),$D$3:$H$3,$D$12:$H$12))</f>
        <v>0</v>
      </c>
      <c r="N21" s="15">
        <f>(Rev!N63*_xlfn.XLOOKUP(_xlfn.NUMBERVALUE(RIGHT(N$2,1)),$D$3:$H$3,$D$12:$H$12))</f>
        <v>0</v>
      </c>
      <c r="O21" s="15">
        <f>(Rev!O63*_xlfn.XLOOKUP(_xlfn.NUMBERVALUE(RIGHT(O$2,1)),$D$3:$H$3,$D$12:$H$12))</f>
        <v>0</v>
      </c>
      <c r="P21" s="15">
        <f>(Rev!P63*_xlfn.XLOOKUP(_xlfn.NUMBERVALUE(RIGHT(P$2,1)),$D$3:$H$3,$D$12:$H$12))</f>
        <v>0</v>
      </c>
      <c r="Q21" s="15">
        <f>(Rev!Q63*_xlfn.XLOOKUP(_xlfn.NUMBERVALUE(RIGHT(Q$2,1)),$D$3:$H$3,$D$12:$H$12))</f>
        <v>0</v>
      </c>
      <c r="R21" s="15">
        <f>(Rev!R63*_xlfn.XLOOKUP(_xlfn.NUMBERVALUE(RIGHT(R$2,1)),$D$3:$H$3,$D$12:$H$12))</f>
        <v>0</v>
      </c>
      <c r="S21" s="15">
        <f>(Rev!S63*_xlfn.XLOOKUP(_xlfn.NUMBERVALUE(RIGHT(S$2,1)),$D$3:$H$3,$D$12:$H$12))</f>
        <v>0</v>
      </c>
      <c r="T21" s="15">
        <f>(Rev!T63*_xlfn.XLOOKUP(_xlfn.NUMBERVALUE(RIGHT(T$2,1)),$D$3:$H$3,$D$12:$H$12))</f>
        <v>0</v>
      </c>
      <c r="U21" s="15">
        <f>(Rev!U63*_xlfn.XLOOKUP(_xlfn.NUMBERVALUE(RIGHT(U$2,1)),$D$3:$H$3,$D$12:$H$12))</f>
        <v>0</v>
      </c>
      <c r="V21" s="15">
        <f>(Rev!V63*_xlfn.XLOOKUP(_xlfn.NUMBERVALUE(RIGHT(V$2,1)),$D$3:$H$3,$D$12:$H$12))</f>
        <v>0</v>
      </c>
      <c r="W21" s="15">
        <f>(Rev!W63*_xlfn.XLOOKUP(_xlfn.NUMBERVALUE(RIGHT(W$2,1)),$D$3:$H$3,$D$12:$H$12))</f>
        <v>0</v>
      </c>
      <c r="X21" s="15">
        <f>(Rev!X63*_xlfn.XLOOKUP(_xlfn.NUMBERVALUE(RIGHT(X$2,1)),$D$3:$H$3,$D$12:$H$12))</f>
        <v>0</v>
      </c>
      <c r="Y21" s="15">
        <f>(Rev!Y63*_xlfn.XLOOKUP(_xlfn.NUMBERVALUE(RIGHT(Y$2,1)),$D$3:$H$3,$D$12:$H$12))</f>
        <v>0</v>
      </c>
      <c r="Z21" s="15">
        <f>(Rev!Z63*_xlfn.XLOOKUP(_xlfn.NUMBERVALUE(RIGHT(Z$2,1)),$D$3:$H$3,$D$12:$H$12))</f>
        <v>0</v>
      </c>
      <c r="AA21" s="15">
        <f>(Rev!AA63*_xlfn.XLOOKUP(_xlfn.NUMBERVALUE(RIGHT(AA$2,1)),$D$3:$H$3,$D$12:$H$12))</f>
        <v>0</v>
      </c>
      <c r="AB21" s="15">
        <f>(Rev!AB63*_xlfn.XLOOKUP(_xlfn.NUMBERVALUE(RIGHT(AB$2,1)),$D$3:$H$3,$D$12:$H$12))</f>
        <v>0</v>
      </c>
      <c r="AC21" s="15">
        <f>(Rev!AC63*_xlfn.XLOOKUP(_xlfn.NUMBERVALUE(RIGHT(AC$2,1)),$D$3:$H$3,$D$12:$H$12))</f>
        <v>0</v>
      </c>
      <c r="AD21" s="15">
        <f>(Rev!AD63*_xlfn.XLOOKUP(_xlfn.NUMBERVALUE(RIGHT(AD$2,1)),$D$3:$H$3,$D$12:$H$12))</f>
        <v>0</v>
      </c>
      <c r="AE21" s="15">
        <f>(Rev!AE63*_xlfn.XLOOKUP(_xlfn.NUMBERVALUE(RIGHT(AE$2,1)),$D$3:$H$3,$D$12:$H$12))</f>
        <v>0</v>
      </c>
      <c r="AF21" s="15">
        <f>(Rev!AF63*_xlfn.XLOOKUP(_xlfn.NUMBERVALUE(RIGHT(AF$2,1)),$D$3:$H$3,$D$12:$H$12))</f>
        <v>0</v>
      </c>
      <c r="AG21" s="15">
        <f>(Rev!AG63*_xlfn.XLOOKUP(_xlfn.NUMBERVALUE(RIGHT(AG$2,1)),$D$3:$H$3,$D$12:$H$12))</f>
        <v>0</v>
      </c>
      <c r="AH21" s="15">
        <f>(Rev!AH63*_xlfn.XLOOKUP(_xlfn.NUMBERVALUE(RIGHT(AH$2,1)),$D$3:$H$3,$D$12:$H$12))</f>
        <v>0</v>
      </c>
      <c r="AI21" s="15">
        <f>(Rev!AI63*_xlfn.XLOOKUP(_xlfn.NUMBERVALUE(RIGHT(AI$2,1)),$D$3:$H$3,$D$12:$H$12))</f>
        <v>0</v>
      </c>
      <c r="AJ21" s="15">
        <f>(Rev!AJ63*_xlfn.XLOOKUP(_xlfn.NUMBERVALUE(RIGHT(AJ$2,1)),$D$3:$H$3,$D$12:$H$12))</f>
        <v>0</v>
      </c>
      <c r="AK21" s="15">
        <f>(Rev!AK63*_xlfn.XLOOKUP(_xlfn.NUMBERVALUE(RIGHT(AK$2,1)),$D$3:$H$3,$D$12:$H$12))</f>
        <v>225</v>
      </c>
      <c r="AL21" s="15">
        <f>(Rev!AL63*_xlfn.XLOOKUP(_xlfn.NUMBERVALUE(RIGHT(AL$2,1)),$D$3:$H$3,$D$12:$H$12))</f>
        <v>393.75</v>
      </c>
      <c r="AM21" s="15">
        <f>(Rev!AM63*_xlfn.XLOOKUP(_xlfn.NUMBERVALUE(RIGHT(AM$2,1)),$D$3:$H$3,$D$12:$H$12))</f>
        <v>506.25</v>
      </c>
      <c r="AN21" s="15">
        <f>(Rev!AN63*_xlfn.XLOOKUP(_xlfn.NUMBERVALUE(RIGHT(AN$2,1)),$D$3:$H$3,$D$12:$H$12))</f>
        <v>675</v>
      </c>
      <c r="AO21" s="15">
        <f>(Rev!AO63*_xlfn.XLOOKUP(_xlfn.NUMBERVALUE(RIGHT(AO$2,1)),$D$3:$H$3,$D$12:$H$12))</f>
        <v>843.75</v>
      </c>
      <c r="AP21" s="15">
        <f>(Rev!AP63*_xlfn.XLOOKUP(_xlfn.NUMBERVALUE(RIGHT(AP$2,1)),$D$3:$H$3,$D$12:$H$12))</f>
        <v>1068.75</v>
      </c>
      <c r="AQ21" s="15">
        <f>(Rev!AQ63*_xlfn.XLOOKUP(_xlfn.NUMBERVALUE(RIGHT(AQ$2,1)),$D$3:$H$3,$D$12:$H$12))</f>
        <v>1237.5</v>
      </c>
      <c r="AR21" s="15">
        <f>(Rev!AR63*_xlfn.XLOOKUP(_xlfn.NUMBERVALUE(RIGHT(AR$2,1)),$D$3:$H$3,$D$12:$H$12))</f>
        <v>1406.25</v>
      </c>
      <c r="AS21" s="15">
        <f>(Rev!AS63*_xlfn.XLOOKUP(_xlfn.NUMBERVALUE(RIGHT(AS$2,1)),$D$3:$H$3,$D$12:$H$12))</f>
        <v>1631.25</v>
      </c>
      <c r="AT21" s="15">
        <f>(Rev!AT63*_xlfn.XLOOKUP(_xlfn.NUMBERVALUE(RIGHT(AT$2,1)),$D$3:$H$3,$D$12:$H$12))</f>
        <v>1856.25</v>
      </c>
      <c r="AU21" s="15">
        <f>(Rev!AU63*_xlfn.XLOOKUP(_xlfn.NUMBERVALUE(RIGHT(AU$2,1)),$D$3:$H$3,$D$12:$H$12))</f>
        <v>2081.25</v>
      </c>
      <c r="AV21" s="15">
        <f>(Rev!AV63*_xlfn.XLOOKUP(_xlfn.NUMBERVALUE(RIGHT(AV$2,1)),$D$3:$H$3,$D$12:$H$12))</f>
        <v>2362.5</v>
      </c>
      <c r="AW21" s="15">
        <f>(Rev!AW63*_xlfn.XLOOKUP(_xlfn.NUMBERVALUE(RIGHT(AW$2,1)),$D$3:$H$3,$D$12:$H$12))</f>
        <v>4275</v>
      </c>
      <c r="AX21" s="15">
        <f>(Rev!AX63*_xlfn.XLOOKUP(_xlfn.NUMBERVALUE(RIGHT(AX$2,1)),$D$3:$H$3,$D$12:$H$12))</f>
        <v>5175</v>
      </c>
      <c r="AY21" s="15">
        <f>(Rev!AY63*_xlfn.XLOOKUP(_xlfn.NUMBERVALUE(RIGHT(AY$2,1)),$D$3:$H$3,$D$12:$H$12))</f>
        <v>6075</v>
      </c>
      <c r="AZ21" s="15">
        <f>(Rev!AZ63*_xlfn.XLOOKUP(_xlfn.NUMBERVALUE(RIGHT(AZ$2,1)),$D$3:$H$3,$D$12:$H$12))</f>
        <v>7050</v>
      </c>
      <c r="BA21" s="15">
        <f>(Rev!BA63*_xlfn.XLOOKUP(_xlfn.NUMBERVALUE(RIGHT(BA$2,1)),$D$3:$H$3,$D$12:$H$12))</f>
        <v>8025</v>
      </c>
      <c r="BB21" s="15">
        <f>(Rev!BB63*_xlfn.XLOOKUP(_xlfn.NUMBERVALUE(RIGHT(BB$2,1)),$D$3:$H$3,$D$12:$H$12))</f>
        <v>9075</v>
      </c>
      <c r="BC21" s="15">
        <f>(Rev!BC63*_xlfn.XLOOKUP(_xlfn.NUMBERVALUE(RIGHT(BC$2,1)),$D$3:$H$3,$D$12:$H$12))</f>
        <v>10275</v>
      </c>
      <c r="BD21" s="15">
        <f>(Rev!BD63*_xlfn.XLOOKUP(_xlfn.NUMBERVALUE(RIGHT(BD$2,1)),$D$3:$H$3,$D$12:$H$12))</f>
        <v>11475</v>
      </c>
      <c r="BE21" s="15">
        <f>(Rev!BE63*_xlfn.XLOOKUP(_xlfn.NUMBERVALUE(RIGHT(BE$2,1)),$D$3:$H$3,$D$12:$H$12))</f>
        <v>12675</v>
      </c>
      <c r="BF21" s="15">
        <f>(Rev!BF63*_xlfn.XLOOKUP(_xlfn.NUMBERVALUE(RIGHT(BF$2,1)),$D$3:$H$3,$D$12:$H$12))</f>
        <v>14025</v>
      </c>
      <c r="BG21" s="15">
        <f>(Rev!BG63*_xlfn.XLOOKUP(_xlfn.NUMBERVALUE(RIGHT(BG$2,1)),$D$3:$H$3,$D$12:$H$12))</f>
        <v>15300</v>
      </c>
      <c r="BH21" s="15">
        <f>(Rev!BH63*_xlfn.XLOOKUP(_xlfn.NUMBERVALUE(RIGHT(BH$2,1)),$D$3:$H$3,$D$12:$H$12))</f>
        <v>16800</v>
      </c>
      <c r="BI21" s="15">
        <f>(Rev!BI63*_xlfn.XLOOKUP(_xlfn.NUMBERVALUE(RIGHT(BI$2,1)),$D$3:$H$3,$D$12:$H$12))</f>
        <v>24000</v>
      </c>
      <c r="BJ21" s="15">
        <f>(Rev!BJ63*_xlfn.XLOOKUP(_xlfn.NUMBERVALUE(RIGHT(BJ$2,1)),$D$3:$H$3,$D$12:$H$12))</f>
        <v>26718.75</v>
      </c>
      <c r="BK21" s="15">
        <f>(Rev!BK63*_xlfn.XLOOKUP(_xlfn.NUMBERVALUE(RIGHT(BK$2,1)),$D$3:$H$3,$D$12:$H$12))</f>
        <v>29625</v>
      </c>
      <c r="BL21" s="15">
        <f>(Rev!BL63*_xlfn.XLOOKUP(_xlfn.NUMBERVALUE(RIGHT(BL$2,1)),$D$3:$H$3,$D$12:$H$12))</f>
        <v>32625</v>
      </c>
      <c r="BM21" s="15">
        <f>(Rev!BM63*_xlfn.XLOOKUP(_xlfn.NUMBERVALUE(RIGHT(BM$2,1)),$D$3:$H$3,$D$12:$H$12))</f>
        <v>35812.5</v>
      </c>
      <c r="BN21" s="15">
        <f>(Rev!BN63*_xlfn.XLOOKUP(_xlfn.NUMBERVALUE(RIGHT(BN$2,1)),$D$3:$H$3,$D$12:$H$12))</f>
        <v>39093.75</v>
      </c>
      <c r="BO21" s="15">
        <f>(Rev!BO63*_xlfn.XLOOKUP(_xlfn.NUMBERVALUE(RIGHT(BO$2,1)),$D$3:$H$3,$D$12:$H$12))</f>
        <v>42562.5</v>
      </c>
      <c r="BP21" s="15">
        <f>(Rev!BP63*_xlfn.XLOOKUP(_xlfn.NUMBERVALUE(RIGHT(BP$2,1)),$D$3:$H$3,$D$12:$H$12))</f>
        <v>46312.5</v>
      </c>
      <c r="BQ21" s="15">
        <f>(Rev!BQ63*_xlfn.XLOOKUP(_xlfn.NUMBERVALUE(RIGHT(BQ$2,1)),$D$3:$H$3,$D$12:$H$12))</f>
        <v>50156.25</v>
      </c>
      <c r="BR21" s="15">
        <f>(Rev!BR63*_xlfn.XLOOKUP(_xlfn.NUMBERVALUE(RIGHT(BR$2,1)),$D$3:$H$3,$D$12:$H$12))</f>
        <v>54281.25</v>
      </c>
      <c r="BS21" s="15">
        <f>(Rev!BS63*_xlfn.XLOOKUP(_xlfn.NUMBERVALUE(RIGHT(BS$2,1)),$D$3:$H$3,$D$12:$H$12))</f>
        <v>58500</v>
      </c>
      <c r="BT21" s="15">
        <f>(Rev!BT63*_xlfn.XLOOKUP(_xlfn.NUMBERVALUE(RIGHT(BT$2,1)),$D$3:$H$3,$D$12:$H$12))</f>
        <v>63000</v>
      </c>
    </row>
    <row r="22" spans="1:304" x14ac:dyDescent="0.3">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row>
    <row r="23" spans="1:304" s="68" customFormat="1" ht="15" thickBot="1" x14ac:dyDescent="0.35">
      <c r="A23"/>
      <c r="B23"/>
      <c r="C23"/>
      <c r="D23"/>
      <c r="E23"/>
      <c r="F23"/>
      <c r="G23"/>
      <c r="H23"/>
      <c r="I23"/>
      <c r="J23" s="28" t="s">
        <v>109</v>
      </c>
      <c r="K23"/>
      <c r="L23"/>
      <c r="M23" s="91">
        <f t="shared" ref="M23:Q23" si="4">SUM(M15:M22)</f>
        <v>0</v>
      </c>
      <c r="N23" s="91">
        <f t="shared" si="4"/>
        <v>0</v>
      </c>
      <c r="O23" s="91">
        <f t="shared" si="4"/>
        <v>0</v>
      </c>
      <c r="P23" s="91">
        <f t="shared" si="4"/>
        <v>0</v>
      </c>
      <c r="Q23" s="91">
        <f t="shared" si="4"/>
        <v>0</v>
      </c>
      <c r="R23" s="91">
        <f t="shared" ref="R23:AW23" si="5">SUM(R14:R22)</f>
        <v>1000</v>
      </c>
      <c r="S23" s="91">
        <f t="shared" si="5"/>
        <v>1042</v>
      </c>
      <c r="T23" s="91">
        <f t="shared" si="5"/>
        <v>1084</v>
      </c>
      <c r="U23" s="91">
        <f t="shared" si="5"/>
        <v>1120.5</v>
      </c>
      <c r="V23" s="91">
        <f t="shared" si="5"/>
        <v>1152.5</v>
      </c>
      <c r="W23" s="91">
        <f t="shared" si="5"/>
        <v>1194.5</v>
      </c>
      <c r="X23" s="91">
        <f t="shared" si="5"/>
        <v>1242</v>
      </c>
      <c r="Y23" s="91">
        <f t="shared" si="5"/>
        <v>2901.25</v>
      </c>
      <c r="Z23" s="91">
        <f t="shared" si="5"/>
        <v>3016.25</v>
      </c>
      <c r="AA23" s="91">
        <f t="shared" si="5"/>
        <v>3175</v>
      </c>
      <c r="AB23" s="91">
        <f t="shared" si="5"/>
        <v>3328.75</v>
      </c>
      <c r="AC23" s="91">
        <f t="shared" si="5"/>
        <v>3476.25</v>
      </c>
      <c r="AD23" s="91">
        <f t="shared" si="5"/>
        <v>3622.5</v>
      </c>
      <c r="AE23" s="91">
        <f t="shared" si="5"/>
        <v>3777.5</v>
      </c>
      <c r="AF23" s="91">
        <f t="shared" si="5"/>
        <v>3955</v>
      </c>
      <c r="AG23" s="91">
        <f t="shared" si="5"/>
        <v>4147.5</v>
      </c>
      <c r="AH23" s="91">
        <f t="shared" si="5"/>
        <v>4332.5</v>
      </c>
      <c r="AI23" s="91">
        <f t="shared" si="5"/>
        <v>4537.5</v>
      </c>
      <c r="AJ23" s="91">
        <f t="shared" si="5"/>
        <v>4741.25</v>
      </c>
      <c r="AK23" s="91">
        <f t="shared" si="5"/>
        <v>8444.75</v>
      </c>
      <c r="AL23" s="91">
        <f t="shared" si="5"/>
        <v>9031.875</v>
      </c>
      <c r="AM23" s="91">
        <f t="shared" si="5"/>
        <v>9550.875</v>
      </c>
      <c r="AN23" s="91">
        <f t="shared" si="5"/>
        <v>10170</v>
      </c>
      <c r="AO23" s="91">
        <f t="shared" si="5"/>
        <v>10832.625</v>
      </c>
      <c r="AP23" s="91">
        <f t="shared" si="5"/>
        <v>11564.625</v>
      </c>
      <c r="AQ23" s="91">
        <f t="shared" si="5"/>
        <v>12259.25</v>
      </c>
      <c r="AR23" s="91">
        <f t="shared" si="5"/>
        <v>12931.375</v>
      </c>
      <c r="AS23" s="91">
        <f t="shared" si="5"/>
        <v>13733.375</v>
      </c>
      <c r="AT23" s="91">
        <f t="shared" si="5"/>
        <v>14587.875</v>
      </c>
      <c r="AU23" s="91">
        <f t="shared" si="5"/>
        <v>15427.375</v>
      </c>
      <c r="AV23" s="91">
        <f t="shared" si="5"/>
        <v>16409.75</v>
      </c>
      <c r="AW23" s="91">
        <f t="shared" si="5"/>
        <v>25224.375</v>
      </c>
      <c r="AX23" s="91">
        <f t="shared" ref="AX23:BT23" si="6">SUM(AX14:AX22)</f>
        <v>27449.375</v>
      </c>
      <c r="AY23" s="91">
        <f t="shared" si="6"/>
        <v>29758.125</v>
      </c>
      <c r="AZ23" s="91">
        <f t="shared" si="6"/>
        <v>32186.25</v>
      </c>
      <c r="BA23" s="91">
        <f t="shared" si="6"/>
        <v>34684.375</v>
      </c>
      <c r="BB23" s="91">
        <f t="shared" si="6"/>
        <v>37301.875</v>
      </c>
      <c r="BC23" s="91">
        <f t="shared" si="6"/>
        <v>40293.125</v>
      </c>
      <c r="BD23" s="91">
        <f t="shared" si="6"/>
        <v>43303.125</v>
      </c>
      <c r="BE23" s="91">
        <f t="shared" si="6"/>
        <v>46313.125</v>
      </c>
      <c r="BF23" s="91">
        <f t="shared" si="6"/>
        <v>49666.875</v>
      </c>
      <c r="BG23" s="91">
        <f t="shared" si="6"/>
        <v>52915</v>
      </c>
      <c r="BH23" s="91">
        <f t="shared" si="6"/>
        <v>56658.75</v>
      </c>
      <c r="BI23" s="91">
        <f t="shared" si="6"/>
        <v>79450</v>
      </c>
      <c r="BJ23" s="91">
        <f t="shared" si="6"/>
        <v>85685</v>
      </c>
      <c r="BK23" s="91">
        <f t="shared" si="6"/>
        <v>92267.5</v>
      </c>
      <c r="BL23" s="91">
        <f t="shared" si="6"/>
        <v>99166.25</v>
      </c>
      <c r="BM23" s="91">
        <f t="shared" si="6"/>
        <v>106368.75</v>
      </c>
      <c r="BN23" s="91">
        <f t="shared" si="6"/>
        <v>113931.25</v>
      </c>
      <c r="BO23" s="91">
        <f t="shared" si="6"/>
        <v>121876.25</v>
      </c>
      <c r="BP23" s="91">
        <f t="shared" si="6"/>
        <v>130317.5</v>
      </c>
      <c r="BQ23" s="91">
        <f t="shared" si="6"/>
        <v>139035</v>
      </c>
      <c r="BR23" s="91">
        <f t="shared" si="6"/>
        <v>148372.5</v>
      </c>
      <c r="BS23" s="91">
        <f t="shared" si="6"/>
        <v>158035</v>
      </c>
      <c r="BT23" s="91">
        <f t="shared" si="6"/>
        <v>168238.75</v>
      </c>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row>
    <row r="24" spans="1:304" x14ac:dyDescent="0.3">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row>
    <row r="25" spans="1:304" x14ac:dyDescent="0.3">
      <c r="I25" s="28" t="s">
        <v>73</v>
      </c>
      <c r="M25" s="15">
        <f t="shared" ref="M25:AR25" si="7">M9-M23</f>
        <v>0</v>
      </c>
      <c r="N25" s="15">
        <f t="shared" si="7"/>
        <v>0</v>
      </c>
      <c r="O25" s="15">
        <f t="shared" si="7"/>
        <v>0</v>
      </c>
      <c r="P25" s="15">
        <f t="shared" si="7"/>
        <v>0</v>
      </c>
      <c r="Q25" s="15">
        <f t="shared" si="7"/>
        <v>0</v>
      </c>
      <c r="R25" s="15">
        <f t="shared" si="7"/>
        <v>-1000</v>
      </c>
      <c r="S25" s="15">
        <f t="shared" si="7"/>
        <v>2858</v>
      </c>
      <c r="T25" s="15">
        <f t="shared" si="7"/>
        <v>3716</v>
      </c>
      <c r="U25" s="15">
        <f t="shared" si="7"/>
        <v>4479.5</v>
      </c>
      <c r="V25" s="15">
        <f t="shared" si="7"/>
        <v>5097.5</v>
      </c>
      <c r="W25" s="15">
        <f t="shared" si="7"/>
        <v>6455.5</v>
      </c>
      <c r="X25" s="15">
        <f t="shared" si="7"/>
        <v>7408</v>
      </c>
      <c r="Y25" s="15">
        <f t="shared" si="7"/>
        <v>45318.75</v>
      </c>
      <c r="Z25" s="15">
        <f t="shared" si="7"/>
        <v>50293.75</v>
      </c>
      <c r="AA25" s="15">
        <f t="shared" si="7"/>
        <v>58675</v>
      </c>
      <c r="AB25" s="15">
        <f t="shared" si="7"/>
        <v>64381.25</v>
      </c>
      <c r="AC25" s="15">
        <f t="shared" si="7"/>
        <v>67543.75</v>
      </c>
      <c r="AD25" s="15">
        <f t="shared" si="7"/>
        <v>70637.5</v>
      </c>
      <c r="AE25" s="15">
        <f t="shared" si="7"/>
        <v>78912.5</v>
      </c>
      <c r="AF25" s="15">
        <f t="shared" si="7"/>
        <v>85125</v>
      </c>
      <c r="AG25" s="15">
        <f t="shared" si="7"/>
        <v>94237.5</v>
      </c>
      <c r="AH25" s="15">
        <f t="shared" si="7"/>
        <v>98237.5</v>
      </c>
      <c r="AI25" s="15">
        <f t="shared" si="7"/>
        <v>107462.5</v>
      </c>
      <c r="AJ25" s="15">
        <f t="shared" si="7"/>
        <v>114293.75</v>
      </c>
      <c r="AK25" s="15">
        <f t="shared" si="7"/>
        <v>197705.25</v>
      </c>
      <c r="AL25" s="15">
        <f t="shared" si="7"/>
        <v>212368.125</v>
      </c>
      <c r="AM25" s="15">
        <f t="shared" si="7"/>
        <v>225749.125</v>
      </c>
      <c r="AN25" s="15">
        <f t="shared" si="7"/>
        <v>248100</v>
      </c>
      <c r="AO25" s="15">
        <f t="shared" si="7"/>
        <v>271277.375</v>
      </c>
      <c r="AP25" s="15">
        <f t="shared" si="7"/>
        <v>292055.375</v>
      </c>
      <c r="AQ25" s="15">
        <f t="shared" si="7"/>
        <v>312420.75</v>
      </c>
      <c r="AR25" s="15">
        <f t="shared" si="7"/>
        <v>332228.625</v>
      </c>
      <c r="AS25" s="15">
        <f t="shared" ref="AS25:BT25" si="8">AS9-AS23</f>
        <v>357816.625</v>
      </c>
      <c r="AT25" s="15">
        <f t="shared" si="8"/>
        <v>388132.125</v>
      </c>
      <c r="AU25" s="15">
        <f t="shared" si="8"/>
        <v>407612.625</v>
      </c>
      <c r="AV25" s="15">
        <f t="shared" si="8"/>
        <v>447300.25</v>
      </c>
      <c r="AW25" s="15">
        <f t="shared" si="8"/>
        <v>606625.625</v>
      </c>
      <c r="AX25" s="15">
        <f t="shared" si="8"/>
        <v>660740.625</v>
      </c>
      <c r="AY25" s="15">
        <f t="shared" si="8"/>
        <v>720181.875</v>
      </c>
      <c r="AZ25" s="15">
        <f t="shared" si="8"/>
        <v>761443.75</v>
      </c>
      <c r="BA25" s="15">
        <f t="shared" si="8"/>
        <v>819775.625</v>
      </c>
      <c r="BB25" s="15">
        <f t="shared" si="8"/>
        <v>875928.125</v>
      </c>
      <c r="BC25" s="15">
        <f t="shared" si="8"/>
        <v>961846.875</v>
      </c>
      <c r="BD25" s="15">
        <f t="shared" si="8"/>
        <v>1028036.875</v>
      </c>
      <c r="BE25" s="15">
        <f t="shared" si="8"/>
        <v>1090226.875</v>
      </c>
      <c r="BF25" s="15">
        <f t="shared" si="8"/>
        <v>1169563.125</v>
      </c>
      <c r="BG25" s="15">
        <f t="shared" si="8"/>
        <v>1239535</v>
      </c>
      <c r="BH25" s="15">
        <f t="shared" si="8"/>
        <v>1329001.25</v>
      </c>
      <c r="BI25" s="15">
        <f t="shared" si="8"/>
        <v>1681800</v>
      </c>
      <c r="BJ25" s="15">
        <f t="shared" si="8"/>
        <v>1813185</v>
      </c>
      <c r="BK25" s="15">
        <f t="shared" si="8"/>
        <v>1940342.5</v>
      </c>
      <c r="BL25" s="15">
        <f t="shared" si="8"/>
        <v>2080953.75</v>
      </c>
      <c r="BM25" s="15">
        <f t="shared" si="8"/>
        <v>2225831.25</v>
      </c>
      <c r="BN25" s="15">
        <f t="shared" si="8"/>
        <v>2371168.75</v>
      </c>
      <c r="BO25" s="15">
        <f t="shared" si="8"/>
        <v>2530713.75</v>
      </c>
      <c r="BP25" s="15">
        <f t="shared" si="8"/>
        <v>2701692.5</v>
      </c>
      <c r="BQ25" s="15">
        <f t="shared" si="8"/>
        <v>2867435</v>
      </c>
      <c r="BR25" s="15">
        <f t="shared" si="8"/>
        <v>3059897.5</v>
      </c>
      <c r="BS25" s="15">
        <f t="shared" si="8"/>
        <v>3252235</v>
      </c>
      <c r="BT25" s="15">
        <f t="shared" si="8"/>
        <v>3456501.25</v>
      </c>
    </row>
    <row r="26" spans="1:304" x14ac:dyDescent="0.3">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row>
    <row r="27" spans="1:304" x14ac:dyDescent="0.3">
      <c r="I27" s="28" t="s">
        <v>74</v>
      </c>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row>
    <row r="28" spans="1:304" x14ac:dyDescent="0.3">
      <c r="J28" s="28" t="s">
        <v>75</v>
      </c>
      <c r="M28" s="15">
        <f>'R&amp;D'!M14</f>
        <v>16516.666666666668</v>
      </c>
      <c r="N28" s="15">
        <f>'R&amp;D'!N14</f>
        <v>16516.666666666668</v>
      </c>
      <c r="O28" s="15">
        <f>'R&amp;D'!O14</f>
        <v>16516.666666666668</v>
      </c>
      <c r="P28" s="15">
        <f>'R&amp;D'!P14</f>
        <v>31033.333333333336</v>
      </c>
      <c r="Q28" s="15">
        <f>'R&amp;D'!Q14</f>
        <v>31033.333333333336</v>
      </c>
      <c r="R28" s="15">
        <f>'R&amp;D'!R14</f>
        <v>45550</v>
      </c>
      <c r="S28" s="15">
        <f>'R&amp;D'!S14</f>
        <v>45550</v>
      </c>
      <c r="T28" s="15">
        <f>'R&amp;D'!T14</f>
        <v>45550</v>
      </c>
      <c r="U28" s="15">
        <f>'R&amp;D'!U14</f>
        <v>45550</v>
      </c>
      <c r="V28" s="15">
        <f>'R&amp;D'!V14</f>
        <v>45550</v>
      </c>
      <c r="W28" s="15">
        <f>'R&amp;D'!W14</f>
        <v>45550</v>
      </c>
      <c r="X28" s="15">
        <f>'R&amp;D'!X14</f>
        <v>45550</v>
      </c>
      <c r="Y28" s="15">
        <f>'R&amp;D'!Y14</f>
        <v>62049.166666666672</v>
      </c>
      <c r="Z28" s="15">
        <f>'R&amp;D'!Z14</f>
        <v>62049.166666666672</v>
      </c>
      <c r="AA28" s="15">
        <f>'R&amp;D'!AA14</f>
        <v>78090.833333333343</v>
      </c>
      <c r="AB28" s="15">
        <f>'R&amp;D'!AB14</f>
        <v>92099.166666666686</v>
      </c>
      <c r="AC28" s="15">
        <f>'R&amp;D'!AC14</f>
        <v>92099.166666666686</v>
      </c>
      <c r="AD28" s="15">
        <f>'R&amp;D'!AD14</f>
        <v>106920.83333333334</v>
      </c>
      <c r="AE28" s="15">
        <f>'R&amp;D'!AE14</f>
        <v>119687.50000000001</v>
      </c>
      <c r="AF28" s="15">
        <f>'R&amp;D'!AF14</f>
        <v>119687.50000000001</v>
      </c>
      <c r="AG28" s="15">
        <f>'R&amp;D'!AG14</f>
        <v>119687.50000000001</v>
      </c>
      <c r="AH28" s="15">
        <f>'R&amp;D'!AH14</f>
        <v>119687.50000000001</v>
      </c>
      <c r="AI28" s="15">
        <f>'R&amp;D'!AI14</f>
        <v>119687.50000000001</v>
      </c>
      <c r="AJ28" s="15">
        <f>'R&amp;D'!AJ14</f>
        <v>119687.50000000001</v>
      </c>
      <c r="AK28" s="15">
        <f>'R&amp;D'!AK14</f>
        <v>124986.87500000001</v>
      </c>
      <c r="AL28" s="15">
        <f>'R&amp;D'!AL14</f>
        <v>135436.875</v>
      </c>
      <c r="AM28" s="15">
        <f>'R&amp;D'!AM14</f>
        <v>149953.54166666669</v>
      </c>
      <c r="AN28" s="15">
        <f>'R&amp;D'!AN14</f>
        <v>149953.54166666669</v>
      </c>
      <c r="AO28" s="15">
        <f>'R&amp;D'!AO14</f>
        <v>166583.54166666669</v>
      </c>
      <c r="AP28" s="15">
        <f>'R&amp;D'!AP14</f>
        <v>183133.54166666669</v>
      </c>
      <c r="AQ28" s="15">
        <f>'R&amp;D'!AQ14</f>
        <v>183133.54166666669</v>
      </c>
      <c r="AR28" s="15">
        <f>'R&amp;D'!AR14</f>
        <v>197650.20833333337</v>
      </c>
      <c r="AS28" s="15">
        <f>'R&amp;D'!AS14</f>
        <v>206575.20833333337</v>
      </c>
      <c r="AT28" s="15">
        <f>'R&amp;D'!AT14</f>
        <v>216945.20833333337</v>
      </c>
      <c r="AU28" s="15">
        <f>'R&amp;D'!AU14</f>
        <v>216945.20833333337</v>
      </c>
      <c r="AV28" s="15">
        <f>'R&amp;D'!AV14</f>
        <v>216945.20833333337</v>
      </c>
      <c r="AW28" s="15">
        <f>'R&amp;D'!AW14</f>
        <v>257719.13541666669</v>
      </c>
      <c r="AX28" s="15">
        <f>'R&amp;D'!AX14</f>
        <v>257719.13541666669</v>
      </c>
      <c r="AY28" s="15">
        <f>'R&amp;D'!AY14</f>
        <v>257719.13541666669</v>
      </c>
      <c r="AZ28" s="15">
        <f>'R&amp;D'!AZ14</f>
        <v>257719.13541666669</v>
      </c>
      <c r="BA28" s="15">
        <f>'R&amp;D'!BA14</f>
        <v>272235.80208333337</v>
      </c>
      <c r="BB28" s="15">
        <f>'R&amp;D'!BB14</f>
        <v>272235.80208333337</v>
      </c>
      <c r="BC28" s="15">
        <f>'R&amp;D'!BC14</f>
        <v>288277.46875</v>
      </c>
      <c r="BD28" s="15">
        <f>'R&amp;D'!BD14</f>
        <v>303810.80208333331</v>
      </c>
      <c r="BE28" s="15">
        <f>'R&amp;D'!BE14</f>
        <v>318632.46875</v>
      </c>
      <c r="BF28" s="15">
        <f>'R&amp;D'!BF14</f>
        <v>318632.46875</v>
      </c>
      <c r="BG28" s="15">
        <f>'R&amp;D'!BG14</f>
        <v>333149.13541666669</v>
      </c>
      <c r="BH28" s="15">
        <f>'R&amp;D'!BH14</f>
        <v>333149.13541666669</v>
      </c>
      <c r="BI28" s="15">
        <f>'R&amp;D'!BI14</f>
        <v>348211.59218749998</v>
      </c>
      <c r="BJ28" s="15">
        <f>'R&amp;D'!BJ14</f>
        <v>348211.59218749998</v>
      </c>
      <c r="BK28" s="15">
        <f>'R&amp;D'!BK14</f>
        <v>348211.59218749998</v>
      </c>
      <c r="BL28" s="15">
        <f>'R&amp;D'!BL14</f>
        <v>348211.59218749998</v>
      </c>
      <c r="BM28" s="15">
        <f>'R&amp;D'!BM14</f>
        <v>348211.59218749998</v>
      </c>
      <c r="BN28" s="15">
        <f>'R&amp;D'!BN14</f>
        <v>348211.59218749998</v>
      </c>
      <c r="BO28" s="15">
        <f>'R&amp;D'!BO14</f>
        <v>348211.59218749998</v>
      </c>
      <c r="BP28" s="15">
        <f>'R&amp;D'!BP14</f>
        <v>348211.59218749998</v>
      </c>
      <c r="BQ28" s="15">
        <f>'R&amp;D'!BQ14</f>
        <v>348211.59218749998</v>
      </c>
      <c r="BR28" s="15">
        <f>'R&amp;D'!BR14</f>
        <v>348211.59218749998</v>
      </c>
      <c r="BS28" s="15">
        <f>'R&amp;D'!BS14</f>
        <v>348211.59218749998</v>
      </c>
      <c r="BT28" s="15">
        <f>'R&amp;D'!BT14</f>
        <v>348211.59218749998</v>
      </c>
      <c r="BU28" s="19"/>
    </row>
    <row r="29" spans="1:304" x14ac:dyDescent="0.3">
      <c r="J29" s="28" t="s">
        <v>290</v>
      </c>
      <c r="M29" s="14" cm="1">
        <f t="array" ref="M29:BT29">'Sales &amp; Marketing'!M12:BT12</f>
        <v>12750</v>
      </c>
      <c r="N29" s="14">
        <v>12750</v>
      </c>
      <c r="O29" s="14">
        <v>12750</v>
      </c>
      <c r="P29" s="14">
        <v>12750</v>
      </c>
      <c r="Q29" s="14">
        <v>12750</v>
      </c>
      <c r="R29" s="14">
        <v>12750</v>
      </c>
      <c r="S29" s="14">
        <v>12750</v>
      </c>
      <c r="T29" s="14">
        <v>12750</v>
      </c>
      <c r="U29" s="14">
        <v>12750</v>
      </c>
      <c r="V29" s="14">
        <v>12750</v>
      </c>
      <c r="W29" s="14">
        <v>12750</v>
      </c>
      <c r="X29" s="14">
        <v>12750</v>
      </c>
      <c r="Y29" s="14">
        <v>22525</v>
      </c>
      <c r="Z29" s="14">
        <v>22525</v>
      </c>
      <c r="AA29" s="14">
        <v>22525</v>
      </c>
      <c r="AB29" s="14">
        <v>22525</v>
      </c>
      <c r="AC29" s="14">
        <v>22525</v>
      </c>
      <c r="AD29" s="14">
        <v>22525</v>
      </c>
      <c r="AE29" s="14">
        <v>22525</v>
      </c>
      <c r="AF29" s="14">
        <v>22525</v>
      </c>
      <c r="AG29" s="14">
        <v>22525</v>
      </c>
      <c r="AH29" s="14">
        <v>22525</v>
      </c>
      <c r="AI29" s="14">
        <v>22525</v>
      </c>
      <c r="AJ29" s="14">
        <v>22525</v>
      </c>
      <c r="AK29" s="14">
        <v>28483.333333333332</v>
      </c>
      <c r="AL29" s="14">
        <v>28483.333333333332</v>
      </c>
      <c r="AM29" s="14">
        <v>28483.333333333332</v>
      </c>
      <c r="AN29" s="14">
        <v>28483.333333333332</v>
      </c>
      <c r="AO29" s="14">
        <v>28483.333333333332</v>
      </c>
      <c r="AP29" s="14">
        <v>28483.333333333332</v>
      </c>
      <c r="AQ29" s="14">
        <v>28483.333333333332</v>
      </c>
      <c r="AR29" s="14">
        <v>28483.333333333332</v>
      </c>
      <c r="AS29" s="14">
        <v>28483.333333333332</v>
      </c>
      <c r="AT29" s="14">
        <v>28483.333333333332</v>
      </c>
      <c r="AU29" s="14">
        <v>28483.333333333332</v>
      </c>
      <c r="AV29" s="14">
        <v>28483.333333333332</v>
      </c>
      <c r="AW29" s="14">
        <v>33775</v>
      </c>
      <c r="AX29" s="14">
        <v>33775</v>
      </c>
      <c r="AY29" s="14">
        <v>33775</v>
      </c>
      <c r="AZ29" s="14">
        <v>33775</v>
      </c>
      <c r="BA29" s="14">
        <v>33775</v>
      </c>
      <c r="BB29" s="14">
        <v>33775</v>
      </c>
      <c r="BC29" s="14">
        <v>33775</v>
      </c>
      <c r="BD29" s="14">
        <v>33775</v>
      </c>
      <c r="BE29" s="14">
        <v>33775</v>
      </c>
      <c r="BF29" s="14">
        <v>33775</v>
      </c>
      <c r="BG29" s="14">
        <v>33775</v>
      </c>
      <c r="BH29" s="14">
        <v>33775</v>
      </c>
      <c r="BI29" s="14">
        <v>38650</v>
      </c>
      <c r="BJ29" s="14">
        <v>38650</v>
      </c>
      <c r="BK29" s="14">
        <v>38650</v>
      </c>
      <c r="BL29" s="14">
        <v>38650</v>
      </c>
      <c r="BM29" s="14">
        <v>38650</v>
      </c>
      <c r="BN29" s="14">
        <v>38650</v>
      </c>
      <c r="BO29" s="14">
        <v>38650</v>
      </c>
      <c r="BP29" s="14">
        <v>38650</v>
      </c>
      <c r="BQ29" s="14">
        <v>38650</v>
      </c>
      <c r="BR29" s="14">
        <v>38650</v>
      </c>
      <c r="BS29" s="14">
        <v>38650</v>
      </c>
      <c r="BT29" s="14">
        <v>38650</v>
      </c>
    </row>
    <row r="30" spans="1:304" x14ac:dyDescent="0.3">
      <c r="J30" s="28" t="s">
        <v>77</v>
      </c>
      <c r="M30" s="14">
        <f ca="1">'G&amp;A'!M25</f>
        <v>98741.666666666657</v>
      </c>
      <c r="N30" s="14">
        <f ca="1">'G&amp;A'!N25</f>
        <v>98741.666666666657</v>
      </c>
      <c r="O30" s="14">
        <f ca="1">'G&amp;A'!O25</f>
        <v>98741.666666666657</v>
      </c>
      <c r="P30" s="14">
        <f ca="1">'G&amp;A'!P25</f>
        <v>98741.666666666657</v>
      </c>
      <c r="Q30" s="14">
        <f ca="1">'G&amp;A'!Q25</f>
        <v>98741.666666666657</v>
      </c>
      <c r="R30" s="14">
        <f ca="1">'G&amp;A'!R25</f>
        <v>98741.666666666657</v>
      </c>
      <c r="S30" s="14">
        <f ca="1">'G&amp;A'!S25</f>
        <v>98741.666666666657</v>
      </c>
      <c r="T30" s="14">
        <f ca="1">'G&amp;A'!T25</f>
        <v>98741.666666666657</v>
      </c>
      <c r="U30" s="14">
        <f ca="1">'G&amp;A'!U25</f>
        <v>103214.99999999999</v>
      </c>
      <c r="V30" s="14">
        <f ca="1">'G&amp;A'!V25</f>
        <v>103214.99999999999</v>
      </c>
      <c r="W30" s="14">
        <f ca="1">'G&amp;A'!W25</f>
        <v>103214.99999999999</v>
      </c>
      <c r="X30" s="14">
        <f ca="1">'G&amp;A'!X25</f>
        <v>106798.33333333333</v>
      </c>
      <c r="Y30" s="14">
        <f ca="1">'G&amp;A'!Y25</f>
        <v>131263.33333333334</v>
      </c>
      <c r="Z30" s="14">
        <f ca="1">'G&amp;A'!Z25</f>
        <v>131263.33333333334</v>
      </c>
      <c r="AA30" s="14">
        <f ca="1">'G&amp;A'!AA25</f>
        <v>138446.66666666666</v>
      </c>
      <c r="AB30" s="14">
        <f ca="1">'G&amp;A'!AB25</f>
        <v>162338.33333333331</v>
      </c>
      <c r="AC30" s="14">
        <f ca="1">'G&amp;A'!AC25</f>
        <v>165338.33333333331</v>
      </c>
      <c r="AD30" s="14">
        <f ca="1">'G&amp;A'!AD25</f>
        <v>165338.33333333331</v>
      </c>
      <c r="AE30" s="14">
        <f ca="1">'G&amp;A'!AE25</f>
        <v>165338.33333333331</v>
      </c>
      <c r="AF30" s="14">
        <f ca="1">'G&amp;A'!AF25</f>
        <v>165338.33333333331</v>
      </c>
      <c r="AG30" s="14">
        <f ca="1">'G&amp;A'!AG25</f>
        <v>164588.33333333334</v>
      </c>
      <c r="AH30" s="14">
        <f ca="1">'G&amp;A'!AH25</f>
        <v>164588.33333333334</v>
      </c>
      <c r="AI30" s="14">
        <f ca="1">'G&amp;A'!AI25</f>
        <v>169588.33333333331</v>
      </c>
      <c r="AJ30" s="14">
        <f ca="1">'G&amp;A'!AJ25</f>
        <v>174588.33333333331</v>
      </c>
      <c r="AK30" s="14">
        <f ca="1">'G&amp;A'!AK25</f>
        <v>188720</v>
      </c>
      <c r="AL30" s="14">
        <f ca="1">'G&amp;A'!AL25</f>
        <v>188720</v>
      </c>
      <c r="AM30" s="14">
        <f ca="1">'G&amp;A'!AM25</f>
        <v>188720</v>
      </c>
      <c r="AN30" s="14">
        <f ca="1">'G&amp;A'!AN25</f>
        <v>188720</v>
      </c>
      <c r="AO30" s="14">
        <f ca="1">'G&amp;A'!AO25</f>
        <v>193720</v>
      </c>
      <c r="AP30" s="14">
        <f ca="1">'G&amp;A'!AP25</f>
        <v>193720</v>
      </c>
      <c r="AQ30" s="14">
        <f ca="1">'G&amp;A'!AQ25</f>
        <v>193720</v>
      </c>
      <c r="AR30" s="14">
        <f ca="1">'G&amp;A'!AR25</f>
        <v>193720</v>
      </c>
      <c r="AS30" s="14">
        <f ca="1">'G&amp;A'!AS25</f>
        <v>193720</v>
      </c>
      <c r="AT30" s="14">
        <f ca="1">'G&amp;A'!AT25</f>
        <v>193720</v>
      </c>
      <c r="AU30" s="14">
        <f ca="1">'G&amp;A'!AU25</f>
        <v>193720</v>
      </c>
      <c r="AV30" s="14">
        <f ca="1">'G&amp;A'!AV25</f>
        <v>193720</v>
      </c>
      <c r="AW30" s="14">
        <f ca="1">'G&amp;A'!AW25</f>
        <v>250545</v>
      </c>
      <c r="AX30" s="14">
        <f ca="1">'G&amp;A'!AX25</f>
        <v>250545</v>
      </c>
      <c r="AY30" s="14">
        <f ca="1">'G&amp;A'!AY25</f>
        <v>250545</v>
      </c>
      <c r="AZ30" s="14">
        <f ca="1">'G&amp;A'!AZ25</f>
        <v>250545</v>
      </c>
      <c r="BA30" s="14">
        <f ca="1">'G&amp;A'!BA25</f>
        <v>237545</v>
      </c>
      <c r="BB30" s="14">
        <f ca="1">'G&amp;A'!BB25</f>
        <v>222545</v>
      </c>
      <c r="BC30" s="14">
        <f ca="1">'G&amp;A'!BC25</f>
        <v>227545</v>
      </c>
      <c r="BD30" s="14">
        <f ca="1">'G&amp;A'!BD25</f>
        <v>227545</v>
      </c>
      <c r="BE30" s="14">
        <f ca="1">'G&amp;A'!BE25</f>
        <v>227545</v>
      </c>
      <c r="BF30" s="14">
        <f ca="1">'G&amp;A'!BF25</f>
        <v>227545</v>
      </c>
      <c r="BG30" s="14">
        <f ca="1">'G&amp;A'!BG25</f>
        <v>227545</v>
      </c>
      <c r="BH30" s="14">
        <f ca="1">'G&amp;A'!BH25</f>
        <v>227545</v>
      </c>
      <c r="BI30" s="14">
        <f ca="1">'G&amp;A'!BI25</f>
        <v>227545</v>
      </c>
      <c r="BJ30" s="14">
        <f ca="1">'G&amp;A'!BJ25</f>
        <v>227545</v>
      </c>
      <c r="BK30" s="14">
        <f ca="1">'G&amp;A'!BK25</f>
        <v>227545</v>
      </c>
      <c r="BL30" s="14">
        <f ca="1">'G&amp;A'!BL25</f>
        <v>227545</v>
      </c>
      <c r="BM30" s="14">
        <f ca="1">'G&amp;A'!BM25</f>
        <v>227545</v>
      </c>
      <c r="BN30" s="14">
        <f ca="1">'G&amp;A'!BN25</f>
        <v>227545</v>
      </c>
      <c r="BO30" s="14">
        <f ca="1">'G&amp;A'!BO25</f>
        <v>227545</v>
      </c>
      <c r="BP30" s="14">
        <f ca="1">'G&amp;A'!BP25</f>
        <v>227545</v>
      </c>
      <c r="BQ30" s="14">
        <f ca="1">'G&amp;A'!BQ25</f>
        <v>227545</v>
      </c>
      <c r="BR30" s="14">
        <f ca="1">'G&amp;A'!BR25</f>
        <v>227545</v>
      </c>
      <c r="BS30" s="14">
        <f ca="1">'G&amp;A'!BS25</f>
        <v>227545</v>
      </c>
      <c r="BT30" s="14">
        <f ca="1">'G&amp;A'!BT25</f>
        <v>227545</v>
      </c>
    </row>
    <row r="31" spans="1:304" x14ac:dyDescent="0.3">
      <c r="J31" s="28" t="s">
        <v>289</v>
      </c>
      <c r="M31" s="14" cm="1">
        <f t="array" ref="M31:BT31">'Sales &amp; Marketing'!M37:BT37</f>
        <v>500</v>
      </c>
      <c r="N31" s="14">
        <v>500</v>
      </c>
      <c r="O31" s="14">
        <v>500</v>
      </c>
      <c r="P31" s="14">
        <v>500</v>
      </c>
      <c r="Q31" s="14">
        <v>500</v>
      </c>
      <c r="R31" s="14">
        <v>500</v>
      </c>
      <c r="S31" s="14">
        <v>500</v>
      </c>
      <c r="T31" s="14">
        <v>500</v>
      </c>
      <c r="U31" s="14">
        <v>500</v>
      </c>
      <c r="V31" s="14">
        <v>500</v>
      </c>
      <c r="W31" s="14">
        <v>500</v>
      </c>
      <c r="X31" s="14">
        <v>500</v>
      </c>
      <c r="Y31" s="14">
        <v>22312.5</v>
      </c>
      <c r="Z31" s="14">
        <v>22837.5</v>
      </c>
      <c r="AA31" s="14">
        <v>22863.75</v>
      </c>
      <c r="AB31" s="14">
        <v>22891.3125</v>
      </c>
      <c r="AC31" s="14">
        <v>22920.253124999996</v>
      </c>
      <c r="AD31" s="14">
        <v>22950.640781249997</v>
      </c>
      <c r="AE31" s="14">
        <v>22982.547820312499</v>
      </c>
      <c r="AF31" s="14">
        <v>23016.050211328122</v>
      </c>
      <c r="AG31" s="14">
        <v>23051.227721894527</v>
      </c>
      <c r="AH31" s="14">
        <v>23088.164107989254</v>
      </c>
      <c r="AI31" s="14">
        <v>23126.947313388719</v>
      </c>
      <c r="AJ31" s="14">
        <v>23167.669679058152</v>
      </c>
      <c r="AK31" s="14">
        <v>32413.55316301106</v>
      </c>
      <c r="AL31" s="14">
        <v>33328.927377932981</v>
      </c>
      <c r="AM31" s="14">
        <v>33419.592496829631</v>
      </c>
      <c r="AN31" s="14">
        <v>33514.79087167111</v>
      </c>
      <c r="AO31" s="14">
        <v>33614.749165254667</v>
      </c>
      <c r="AP31" s="14">
        <v>33719.705373517398</v>
      </c>
      <c r="AQ31" s="14">
        <v>33829.909392193273</v>
      </c>
      <c r="AR31" s="14">
        <v>33945.623611802941</v>
      </c>
      <c r="AS31" s="14">
        <v>34067.123542393078</v>
      </c>
      <c r="AT31" s="14">
        <v>34194.698469512739</v>
      </c>
      <c r="AU31" s="14">
        <v>34328.652142988372</v>
      </c>
      <c r="AV31" s="14">
        <v>34469.303500137794</v>
      </c>
      <c r="AW31" s="14">
        <v>51713.862425144689</v>
      </c>
      <c r="AX31" s="14">
        <v>53839.401771937664</v>
      </c>
      <c r="AY31" s="14">
        <v>54100.746860534549</v>
      </c>
      <c r="AZ31" s="14">
        <v>54375.159203561285</v>
      </c>
      <c r="BA31" s="14">
        <v>54663.292163739352</v>
      </c>
      <c r="BB31" s="14">
        <v>54965.831771926314</v>
      </c>
      <c r="BC31" s="14">
        <v>55283.498360522637</v>
      </c>
      <c r="BD31" s="14">
        <v>55617.048278548762</v>
      </c>
      <c r="BE31" s="14">
        <v>55967.2756924762</v>
      </c>
      <c r="BF31" s="14">
        <v>56335.01447710002</v>
      </c>
      <c r="BG31" s="14">
        <v>56721.140200955015</v>
      </c>
      <c r="BH31" s="14">
        <v>57126.572211002764</v>
      </c>
      <c r="BI31" s="14">
        <v>66155.400821552903</v>
      </c>
      <c r="BJ31" s="14">
        <v>70168.266230418216</v>
      </c>
      <c r="BK31" s="14">
        <v>70815.898291939127</v>
      </c>
      <c r="BL31" s="14">
        <v>71495.911956536103</v>
      </c>
      <c r="BM31" s="14">
        <v>72209.926304362889</v>
      </c>
      <c r="BN31" s="14">
        <v>72959.641369581019</v>
      </c>
      <c r="BO31" s="14">
        <v>73746.842188060094</v>
      </c>
      <c r="BP31" s="14">
        <v>74573.403047463085</v>
      </c>
      <c r="BQ31" s="14">
        <v>75441.291949836275</v>
      </c>
      <c r="BR31" s="14">
        <v>76352.575297328076</v>
      </c>
      <c r="BS31" s="14">
        <v>77309.422812194491</v>
      </c>
      <c r="BT31" s="14">
        <v>78314.112702804181</v>
      </c>
    </row>
    <row r="32" spans="1:304" x14ac:dyDescent="0.3">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row>
    <row r="33" spans="1:304" s="68" customFormat="1" ht="15" thickBot="1" x14ac:dyDescent="0.35">
      <c r="A33"/>
      <c r="B33"/>
      <c r="C33"/>
      <c r="D33"/>
      <c r="E33"/>
      <c r="F33"/>
      <c r="G33"/>
      <c r="H33"/>
      <c r="I33"/>
      <c r="J33" t="s">
        <v>78</v>
      </c>
      <c r="K33"/>
      <c r="L33"/>
      <c r="M33" s="92">
        <f ca="1">SUM(M28:M32)</f>
        <v>128508.33333333333</v>
      </c>
      <c r="N33" s="92">
        <f t="shared" ref="N33:BT33" ca="1" si="9">SUM(N28:N32)</f>
        <v>128508.33333333333</v>
      </c>
      <c r="O33" s="92">
        <f t="shared" ca="1" si="9"/>
        <v>128508.33333333333</v>
      </c>
      <c r="P33" s="92">
        <f t="shared" ca="1" si="9"/>
        <v>143025</v>
      </c>
      <c r="Q33" s="92">
        <f t="shared" ca="1" si="9"/>
        <v>143025</v>
      </c>
      <c r="R33" s="92">
        <f t="shared" ca="1" si="9"/>
        <v>157541.66666666666</v>
      </c>
      <c r="S33" s="92">
        <f t="shared" ca="1" si="9"/>
        <v>157541.66666666666</v>
      </c>
      <c r="T33" s="92">
        <f t="shared" ca="1" si="9"/>
        <v>157541.66666666666</v>
      </c>
      <c r="U33" s="92">
        <f t="shared" ca="1" si="9"/>
        <v>162015</v>
      </c>
      <c r="V33" s="92">
        <f t="shared" ca="1" si="9"/>
        <v>162015</v>
      </c>
      <c r="W33" s="92">
        <f t="shared" ca="1" si="9"/>
        <v>162015</v>
      </c>
      <c r="X33" s="92">
        <f t="shared" ca="1" si="9"/>
        <v>165598.33333333331</v>
      </c>
      <c r="Y33" s="92">
        <f t="shared" ca="1" si="9"/>
        <v>238150</v>
      </c>
      <c r="Z33" s="92">
        <f t="shared" ca="1" si="9"/>
        <v>238675</v>
      </c>
      <c r="AA33" s="92">
        <f t="shared" ca="1" si="9"/>
        <v>261926.25</v>
      </c>
      <c r="AB33" s="92">
        <f t="shared" ca="1" si="9"/>
        <v>299853.8125</v>
      </c>
      <c r="AC33" s="92">
        <f t="shared" ca="1" si="9"/>
        <v>302882.75312499999</v>
      </c>
      <c r="AD33" s="92">
        <f t="shared" ca="1" si="9"/>
        <v>317734.8074479166</v>
      </c>
      <c r="AE33" s="92">
        <f t="shared" ca="1" si="9"/>
        <v>330533.38115364581</v>
      </c>
      <c r="AF33" s="92">
        <f t="shared" ca="1" si="9"/>
        <v>330566.88354466145</v>
      </c>
      <c r="AG33" s="92">
        <f t="shared" ca="1" si="9"/>
        <v>329852.06105522788</v>
      </c>
      <c r="AH33" s="92">
        <f t="shared" ca="1" si="9"/>
        <v>329888.9974413226</v>
      </c>
      <c r="AI33" s="92">
        <f t="shared" ca="1" si="9"/>
        <v>334927.78064672201</v>
      </c>
      <c r="AJ33" s="92">
        <f t="shared" ca="1" si="9"/>
        <v>339968.50301239145</v>
      </c>
      <c r="AK33" s="92">
        <f t="shared" ca="1" si="9"/>
        <v>374603.76149634441</v>
      </c>
      <c r="AL33" s="92">
        <f t="shared" ca="1" si="9"/>
        <v>385969.13571126637</v>
      </c>
      <c r="AM33" s="92">
        <f t="shared" ca="1" si="9"/>
        <v>400576.46749682963</v>
      </c>
      <c r="AN33" s="92">
        <f t="shared" ca="1" si="9"/>
        <v>400671.66587167111</v>
      </c>
      <c r="AO33" s="92">
        <f t="shared" ca="1" si="9"/>
        <v>422401.62416525465</v>
      </c>
      <c r="AP33" s="92">
        <f t="shared" ca="1" si="9"/>
        <v>439056.58037351741</v>
      </c>
      <c r="AQ33" s="92">
        <f t="shared" ca="1" si="9"/>
        <v>439166.78439219325</v>
      </c>
      <c r="AR33" s="92">
        <f t="shared" ca="1" si="9"/>
        <v>453799.16527846968</v>
      </c>
      <c r="AS33" s="92">
        <f t="shared" ca="1" si="9"/>
        <v>462845.66520905984</v>
      </c>
      <c r="AT33" s="92">
        <f t="shared" ca="1" si="9"/>
        <v>473343.24013617949</v>
      </c>
      <c r="AU33" s="92">
        <f t="shared" ca="1" si="9"/>
        <v>473477.19380965515</v>
      </c>
      <c r="AV33" s="92">
        <f t="shared" ca="1" si="9"/>
        <v>473617.84516680456</v>
      </c>
      <c r="AW33" s="92">
        <f t="shared" ca="1" si="9"/>
        <v>593752.99784181139</v>
      </c>
      <c r="AX33" s="92">
        <f t="shared" ca="1" si="9"/>
        <v>595878.53718860436</v>
      </c>
      <c r="AY33" s="92">
        <f t="shared" ca="1" si="9"/>
        <v>596139.88227720128</v>
      </c>
      <c r="AZ33" s="92">
        <f t="shared" ca="1" si="9"/>
        <v>596414.294620228</v>
      </c>
      <c r="BA33" s="92">
        <f t="shared" ca="1" si="9"/>
        <v>598219.0942470727</v>
      </c>
      <c r="BB33" s="92">
        <f t="shared" ca="1" si="9"/>
        <v>583521.63385525974</v>
      </c>
      <c r="BC33" s="92">
        <f t="shared" ca="1" si="9"/>
        <v>604880.96711052267</v>
      </c>
      <c r="BD33" s="92">
        <f t="shared" ca="1" si="9"/>
        <v>620747.85036188201</v>
      </c>
      <c r="BE33" s="92">
        <f t="shared" ca="1" si="9"/>
        <v>635919.74444247619</v>
      </c>
      <c r="BF33" s="92">
        <f t="shared" ca="1" si="9"/>
        <v>636287.48322709999</v>
      </c>
      <c r="BG33" s="92">
        <f t="shared" ca="1" si="9"/>
        <v>651190.27561762172</v>
      </c>
      <c r="BH33" s="92">
        <f t="shared" ca="1" si="9"/>
        <v>651595.70762766956</v>
      </c>
      <c r="BI33" s="92">
        <f t="shared" ca="1" si="9"/>
        <v>680561.99300905294</v>
      </c>
      <c r="BJ33" s="92">
        <f t="shared" ca="1" si="9"/>
        <v>684574.85841791821</v>
      </c>
      <c r="BK33" s="92">
        <f t="shared" ca="1" si="9"/>
        <v>685222.49047943915</v>
      </c>
      <c r="BL33" s="92">
        <f t="shared" ca="1" si="9"/>
        <v>685902.50414403609</v>
      </c>
      <c r="BM33" s="92">
        <f t="shared" ca="1" si="9"/>
        <v>686616.51849186281</v>
      </c>
      <c r="BN33" s="92">
        <f t="shared" ca="1" si="9"/>
        <v>687366.23355708097</v>
      </c>
      <c r="BO33" s="92">
        <f t="shared" ca="1" si="9"/>
        <v>688153.43437556003</v>
      </c>
      <c r="BP33" s="92">
        <f t="shared" ca="1" si="9"/>
        <v>688979.99523496302</v>
      </c>
      <c r="BQ33" s="92">
        <f t="shared" ca="1" si="9"/>
        <v>689847.88413733628</v>
      </c>
      <c r="BR33" s="92">
        <f t="shared" ca="1" si="9"/>
        <v>690759.16748482804</v>
      </c>
      <c r="BS33" s="92">
        <f t="shared" ca="1" si="9"/>
        <v>691716.01499969442</v>
      </c>
      <c r="BT33" s="92">
        <f t="shared" ca="1" si="9"/>
        <v>692720.70489030413</v>
      </c>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row>
    <row r="34" spans="1:304" x14ac:dyDescent="0.3">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row>
    <row r="35" spans="1:304" x14ac:dyDescent="0.3">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row>
    <row r="36" spans="1:304" x14ac:dyDescent="0.3">
      <c r="I36" t="s">
        <v>79</v>
      </c>
      <c r="M36" s="93">
        <f t="shared" ref="M36:AR36" ca="1" si="10">M25-M33</f>
        <v>-128508.33333333333</v>
      </c>
      <c r="N36" s="93">
        <f t="shared" ca="1" si="10"/>
        <v>-128508.33333333333</v>
      </c>
      <c r="O36" s="93">
        <f t="shared" ca="1" si="10"/>
        <v>-128508.33333333333</v>
      </c>
      <c r="P36" s="93">
        <f t="shared" ca="1" si="10"/>
        <v>-143025</v>
      </c>
      <c r="Q36" s="93">
        <f t="shared" ca="1" si="10"/>
        <v>-143025</v>
      </c>
      <c r="R36" s="93">
        <f t="shared" ca="1" si="10"/>
        <v>-158541.66666666666</v>
      </c>
      <c r="S36" s="93">
        <f t="shared" ca="1" si="10"/>
        <v>-154683.66666666666</v>
      </c>
      <c r="T36" s="93">
        <f t="shared" ca="1" si="10"/>
        <v>-153825.66666666666</v>
      </c>
      <c r="U36" s="93">
        <f t="shared" ca="1" si="10"/>
        <v>-157535.5</v>
      </c>
      <c r="V36" s="93">
        <f t="shared" ca="1" si="10"/>
        <v>-156917.5</v>
      </c>
      <c r="W36" s="93">
        <f t="shared" ca="1" si="10"/>
        <v>-155559.5</v>
      </c>
      <c r="X36" s="93">
        <f t="shared" ca="1" si="10"/>
        <v>-158190.33333333331</v>
      </c>
      <c r="Y36" s="93">
        <f t="shared" ca="1" si="10"/>
        <v>-192831.25</v>
      </c>
      <c r="Z36" s="93">
        <f t="shared" ca="1" si="10"/>
        <v>-188381.25</v>
      </c>
      <c r="AA36" s="93">
        <f t="shared" ca="1" si="10"/>
        <v>-203251.25</v>
      </c>
      <c r="AB36" s="93">
        <f t="shared" ca="1" si="10"/>
        <v>-235472.5625</v>
      </c>
      <c r="AC36" s="93">
        <f t="shared" ca="1" si="10"/>
        <v>-235339.00312499999</v>
      </c>
      <c r="AD36" s="93">
        <f t="shared" ca="1" si="10"/>
        <v>-247097.3074479166</v>
      </c>
      <c r="AE36" s="93">
        <f t="shared" ca="1" si="10"/>
        <v>-251620.88115364581</v>
      </c>
      <c r="AF36" s="93">
        <f t="shared" ca="1" si="10"/>
        <v>-245441.88354466145</v>
      </c>
      <c r="AG36" s="93">
        <f t="shared" ca="1" si="10"/>
        <v>-235614.56105522788</v>
      </c>
      <c r="AH36" s="93">
        <f t="shared" ca="1" si="10"/>
        <v>-231651.4974413226</v>
      </c>
      <c r="AI36" s="93">
        <f t="shared" ca="1" si="10"/>
        <v>-227465.28064672201</v>
      </c>
      <c r="AJ36" s="93">
        <f t="shared" ca="1" si="10"/>
        <v>-225674.75301239145</v>
      </c>
      <c r="AK36" s="93">
        <f t="shared" ca="1" si="10"/>
        <v>-176898.51149634441</v>
      </c>
      <c r="AL36" s="93">
        <f t="shared" ca="1" si="10"/>
        <v>-173601.01071126637</v>
      </c>
      <c r="AM36" s="93">
        <f t="shared" ca="1" si="10"/>
        <v>-174827.34249682963</v>
      </c>
      <c r="AN36" s="93">
        <f t="shared" ca="1" si="10"/>
        <v>-152571.66587167111</v>
      </c>
      <c r="AO36" s="93">
        <f t="shared" ca="1" si="10"/>
        <v>-151124.24916525465</v>
      </c>
      <c r="AP36" s="93">
        <f t="shared" ca="1" si="10"/>
        <v>-147001.20537351741</v>
      </c>
      <c r="AQ36" s="93">
        <f t="shared" ca="1" si="10"/>
        <v>-126746.03439219325</v>
      </c>
      <c r="AR36" s="93">
        <f t="shared" ca="1" si="10"/>
        <v>-121570.54027846968</v>
      </c>
      <c r="AS36" s="93">
        <f t="shared" ref="AS36:BT36" ca="1" si="11">AS25-AS33</f>
        <v>-105029.04020905984</v>
      </c>
      <c r="AT36" s="93">
        <f t="shared" ca="1" si="11"/>
        <v>-85211.115136179491</v>
      </c>
      <c r="AU36" s="93">
        <f t="shared" ca="1" si="11"/>
        <v>-65864.568809655146</v>
      </c>
      <c r="AV36" s="93">
        <f t="shared" ca="1" si="11"/>
        <v>-26317.59516680456</v>
      </c>
      <c r="AW36" s="93">
        <f t="shared" ca="1" si="11"/>
        <v>12872.62715818861</v>
      </c>
      <c r="AX36" s="93">
        <f t="shared" ca="1" si="11"/>
        <v>64862.087811395642</v>
      </c>
      <c r="AY36" s="93">
        <f t="shared" ca="1" si="11"/>
        <v>124041.99272279872</v>
      </c>
      <c r="AZ36" s="93">
        <f t="shared" ca="1" si="11"/>
        <v>165029.455379772</v>
      </c>
      <c r="BA36" s="93">
        <f t="shared" ca="1" si="11"/>
        <v>221556.5307529273</v>
      </c>
      <c r="BB36" s="93">
        <f t="shared" ca="1" si="11"/>
        <v>292406.49114474026</v>
      </c>
      <c r="BC36" s="93">
        <f t="shared" ca="1" si="11"/>
        <v>356965.90788947733</v>
      </c>
      <c r="BD36" s="93">
        <f t="shared" ca="1" si="11"/>
        <v>407289.02463811799</v>
      </c>
      <c r="BE36" s="93">
        <f t="shared" ca="1" si="11"/>
        <v>454307.13055752381</v>
      </c>
      <c r="BF36" s="93">
        <f t="shared" ca="1" si="11"/>
        <v>533275.64177290001</v>
      </c>
      <c r="BG36" s="93">
        <f t="shared" ca="1" si="11"/>
        <v>588344.72438237828</v>
      </c>
      <c r="BH36" s="93">
        <f t="shared" ca="1" si="11"/>
        <v>677405.54237233044</v>
      </c>
      <c r="BI36" s="93">
        <f t="shared" ca="1" si="11"/>
        <v>1001238.0069909471</v>
      </c>
      <c r="BJ36" s="93">
        <f t="shared" ca="1" si="11"/>
        <v>1128610.1415820818</v>
      </c>
      <c r="BK36" s="93">
        <f t="shared" ca="1" si="11"/>
        <v>1255120.009520561</v>
      </c>
      <c r="BL36" s="93">
        <f t="shared" ca="1" si="11"/>
        <v>1395051.2458559638</v>
      </c>
      <c r="BM36" s="93">
        <f t="shared" ca="1" si="11"/>
        <v>1539214.7315081372</v>
      </c>
      <c r="BN36" s="93">
        <f t="shared" ca="1" si="11"/>
        <v>1683802.5164429191</v>
      </c>
      <c r="BO36" s="93">
        <f t="shared" ca="1" si="11"/>
        <v>1842560.3156244401</v>
      </c>
      <c r="BP36" s="93">
        <f t="shared" ca="1" si="11"/>
        <v>2012712.504765037</v>
      </c>
      <c r="BQ36" s="93">
        <f t="shared" ca="1" si="11"/>
        <v>2177587.1158626638</v>
      </c>
      <c r="BR36" s="93">
        <f t="shared" ca="1" si="11"/>
        <v>2369138.3325151717</v>
      </c>
      <c r="BS36" s="93">
        <f t="shared" ca="1" si="11"/>
        <v>2560518.9850003058</v>
      </c>
      <c r="BT36" s="93">
        <f t="shared" ca="1" si="11"/>
        <v>2763780.5451096958</v>
      </c>
    </row>
    <row r="37" spans="1:304" x14ac:dyDescent="0.3">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row>
    <row r="38" spans="1:304" x14ac:dyDescent="0.3">
      <c r="H38" s="15">
        <f>M38</f>
        <v>466.66666666666663</v>
      </c>
      <c r="I38" t="s">
        <v>80</v>
      </c>
      <c r="M38" s="14">
        <f>CapEx!M9</f>
        <v>466.66666666666663</v>
      </c>
      <c r="N38" s="14">
        <f>CapEx!N9</f>
        <v>466.66666666666663</v>
      </c>
      <c r="O38" s="14">
        <f>CapEx!O9</f>
        <v>466.66666666666663</v>
      </c>
      <c r="P38" s="14">
        <f>CapEx!P9</f>
        <v>466.66666666666663</v>
      </c>
      <c r="Q38" s="14">
        <f>CapEx!Q9</f>
        <v>466.66666666666663</v>
      </c>
      <c r="R38" s="14">
        <f>CapEx!R9</f>
        <v>466.66666666666663</v>
      </c>
      <c r="S38" s="14">
        <f>CapEx!S9</f>
        <v>466.66666666666663</v>
      </c>
      <c r="T38" s="14">
        <f>CapEx!T9</f>
        <v>466.66666666666663</v>
      </c>
      <c r="U38" s="14">
        <f>CapEx!U9</f>
        <v>466.66666666666663</v>
      </c>
      <c r="V38" s="14">
        <f>CapEx!V9</f>
        <v>466.66666666666663</v>
      </c>
      <c r="W38" s="14">
        <f>CapEx!W9</f>
        <v>466.66666666666663</v>
      </c>
      <c r="X38" s="14">
        <f>CapEx!X9</f>
        <v>466.66666666666663</v>
      </c>
      <c r="Y38" s="14">
        <f ca="1">CapEx!Y9</f>
        <v>716.66666666666652</v>
      </c>
      <c r="Z38" s="14">
        <f ca="1">CapEx!Z9</f>
        <v>716.66666666666652</v>
      </c>
      <c r="AA38" s="14">
        <f ca="1">CapEx!AA9</f>
        <v>716.66666666666652</v>
      </c>
      <c r="AB38" s="14">
        <f ca="1">CapEx!AB9</f>
        <v>716.66666666666652</v>
      </c>
      <c r="AC38" s="14">
        <f ca="1">CapEx!AC9</f>
        <v>716.66666666666652</v>
      </c>
      <c r="AD38" s="14">
        <f ca="1">CapEx!AD9</f>
        <v>716.66666666666652</v>
      </c>
      <c r="AE38" s="14">
        <f ca="1">CapEx!AE9</f>
        <v>716.66666666666652</v>
      </c>
      <c r="AF38" s="14">
        <f ca="1">CapEx!AF9</f>
        <v>716.66666666666652</v>
      </c>
      <c r="AG38" s="14">
        <f ca="1">CapEx!AG9</f>
        <v>716.66666666666652</v>
      </c>
      <c r="AH38" s="14">
        <f ca="1">CapEx!AH9</f>
        <v>716.66666666666652</v>
      </c>
      <c r="AI38" s="14">
        <f ca="1">CapEx!AI9</f>
        <v>716.66666666666652</v>
      </c>
      <c r="AJ38" s="14">
        <f ca="1">CapEx!AJ9</f>
        <v>716.66666666666652</v>
      </c>
      <c r="AK38" s="14">
        <f ca="1">CapEx!AK9</f>
        <v>1116.6666666666665</v>
      </c>
      <c r="AL38" s="14">
        <f ca="1">CapEx!AL9</f>
        <v>1116.6666666666665</v>
      </c>
      <c r="AM38" s="14">
        <f ca="1">CapEx!AM9</f>
        <v>1116.6666666666665</v>
      </c>
      <c r="AN38" s="14">
        <f ca="1">CapEx!AN9</f>
        <v>1116.6666666666665</v>
      </c>
      <c r="AO38" s="14">
        <f ca="1">CapEx!AO9</f>
        <v>1116.6666666666665</v>
      </c>
      <c r="AP38" s="14">
        <f ca="1">CapEx!AP9</f>
        <v>1116.6666666666665</v>
      </c>
      <c r="AQ38" s="14">
        <f ca="1">CapEx!AQ9</f>
        <v>1116.6666666666665</v>
      </c>
      <c r="AR38" s="14">
        <f ca="1">CapEx!AR9</f>
        <v>1116.6666666666665</v>
      </c>
      <c r="AS38" s="14">
        <f ca="1">CapEx!AS9</f>
        <v>1116.6666666666665</v>
      </c>
      <c r="AT38" s="14">
        <f ca="1">CapEx!AT9</f>
        <v>1116.6666666666665</v>
      </c>
      <c r="AU38" s="14">
        <f ca="1">CapEx!AU9</f>
        <v>1116.6666666666665</v>
      </c>
      <c r="AV38" s="14">
        <f ca="1">CapEx!AV9</f>
        <v>1116.6666666666665</v>
      </c>
      <c r="AW38" s="14">
        <f ca="1">CapEx!AW9</f>
        <v>1466.6666666666667</v>
      </c>
      <c r="AX38" s="14">
        <f ca="1">CapEx!AX9</f>
        <v>1466.6666666666667</v>
      </c>
      <c r="AY38" s="14">
        <f ca="1">CapEx!AY9</f>
        <v>1466.6666666666667</v>
      </c>
      <c r="AZ38" s="14">
        <f ca="1">CapEx!AZ9</f>
        <v>1466.6666666666667</v>
      </c>
      <c r="BA38" s="14">
        <f ca="1">CapEx!BA9</f>
        <v>1466.6666666666667</v>
      </c>
      <c r="BB38" s="14">
        <f ca="1">CapEx!BB9</f>
        <v>1466.6666666666667</v>
      </c>
      <c r="BC38" s="14">
        <f ca="1">CapEx!BC9</f>
        <v>1466.6666666666667</v>
      </c>
      <c r="BD38" s="14">
        <f ca="1">CapEx!BD9</f>
        <v>1466.6666666666667</v>
      </c>
      <c r="BE38" s="14">
        <f ca="1">CapEx!BE9</f>
        <v>1466.6666666666667</v>
      </c>
      <c r="BF38" s="14">
        <f ca="1">CapEx!BF9</f>
        <v>1466.6666666666667</v>
      </c>
      <c r="BG38" s="14">
        <f ca="1">CapEx!BG9</f>
        <v>1466.6666666666667</v>
      </c>
      <c r="BH38" s="14">
        <f ca="1">CapEx!BH9</f>
        <v>1466.6666666666667</v>
      </c>
      <c r="BI38" s="14">
        <f ca="1">CapEx!BI9</f>
        <v>1466.6666666666667</v>
      </c>
      <c r="BJ38" s="14">
        <f ca="1">CapEx!BJ9</f>
        <v>1466.6666666666667</v>
      </c>
      <c r="BK38" s="14">
        <f ca="1">CapEx!BK9</f>
        <v>1466.6666666666667</v>
      </c>
      <c r="BL38" s="14">
        <f ca="1">CapEx!BL9</f>
        <v>1466.6666666666667</v>
      </c>
      <c r="BM38" s="14">
        <f ca="1">CapEx!BM9</f>
        <v>1466.6666666666667</v>
      </c>
      <c r="BN38" s="14">
        <f ca="1">CapEx!BN9</f>
        <v>1466.6666666666667</v>
      </c>
      <c r="BO38" s="14">
        <f ca="1">CapEx!BO9</f>
        <v>1466.6666666666667</v>
      </c>
      <c r="BP38" s="14">
        <f ca="1">CapEx!BP9</f>
        <v>1466.6666666666667</v>
      </c>
      <c r="BQ38" s="14">
        <f ca="1">CapEx!BQ9</f>
        <v>1466.6666666666667</v>
      </c>
      <c r="BR38" s="14">
        <f ca="1">CapEx!BR9</f>
        <v>1466.6666666666667</v>
      </c>
      <c r="BS38" s="14">
        <f ca="1">CapEx!BS9</f>
        <v>1466.6666666666667</v>
      </c>
      <c r="BT38" s="14">
        <f ca="1">CapEx!BT9</f>
        <v>1466.6666666666667</v>
      </c>
    </row>
    <row r="39" spans="1:304" x14ac:dyDescent="0.3">
      <c r="H39" s="15">
        <f t="shared" ref="H39:H43" si="12">M39</f>
        <v>1666.6666666666667</v>
      </c>
      <c r="I39" t="s">
        <v>81</v>
      </c>
      <c r="M39" s="14">
        <f>Loan!M7</f>
        <v>1666.6666666666667</v>
      </c>
      <c r="N39" s="14">
        <f>Loan!N7</f>
        <v>1643.9837872970884</v>
      </c>
      <c r="O39" s="14">
        <f>Loan!O7</f>
        <v>1621.1496887317128</v>
      </c>
      <c r="P39" s="14">
        <f>Loan!P7</f>
        <v>1598.1633628425679</v>
      </c>
      <c r="Q39" s="14">
        <f>Loan!Q7</f>
        <v>1575.0237947808291</v>
      </c>
      <c r="R39" s="14">
        <f>Loan!R7</f>
        <v>1551.7299629320119</v>
      </c>
      <c r="S39" s="14">
        <f>Loan!S7</f>
        <v>1528.280838870869</v>
      </c>
      <c r="T39" s="14">
        <f>Loan!T7</f>
        <v>1504.6753873159853</v>
      </c>
      <c r="U39" s="14">
        <f>Loan!U7</f>
        <v>1480.9125660840691</v>
      </c>
      <c r="V39" s="14">
        <f>Loan!V7</f>
        <v>1456.99132604394</v>
      </c>
      <c r="W39" s="14">
        <f>Loan!W7</f>
        <v>1432.9106110702101</v>
      </c>
      <c r="X39" s="14">
        <f>Loan!X7</f>
        <v>1408.6693579966554</v>
      </c>
      <c r="Y39" s="14">
        <f>Loan!Y7</f>
        <v>1384.266496569277</v>
      </c>
      <c r="Z39" s="14">
        <f>Loan!Z7</f>
        <v>1359.7009493990495</v>
      </c>
      <c r="AA39" s="14">
        <f>Loan!AA7</f>
        <v>1334.9716319143536</v>
      </c>
      <c r="AB39" s="14">
        <f>Loan!AB7</f>
        <v>1310.0774523130931</v>
      </c>
      <c r="AC39" s="14">
        <f>Loan!AC7</f>
        <v>1285.017311514491</v>
      </c>
      <c r="AD39" s="14">
        <f>Loan!AD7</f>
        <v>1259.7901031105648</v>
      </c>
      <c r="AE39" s="14">
        <f>Loan!AE7</f>
        <v>1234.3947133172792</v>
      </c>
      <c r="AF39" s="14">
        <f>Loan!AF7</f>
        <v>1208.8300209253714</v>
      </c>
      <c r="AG39" s="14">
        <f>Loan!AG7</f>
        <v>1183.0948972508511</v>
      </c>
      <c r="AH39" s="14">
        <f>Loan!AH7</f>
        <v>1157.1882060851674</v>
      </c>
      <c r="AI39" s="14">
        <f>Loan!AI7</f>
        <v>1131.1088036450458</v>
      </c>
      <c r="AJ39" s="14">
        <f>Loan!AJ7</f>
        <v>1104.8555385219897</v>
      </c>
      <c r="AK39" s="14">
        <f>Loan!AK7</f>
        <v>1078.4272516314468</v>
      </c>
      <c r="AL39" s="14">
        <f>Loan!AL7</f>
        <v>1051.8227761616338</v>
      </c>
      <c r="AM39" s="14">
        <f>Loan!AM7</f>
        <v>1025.0409375220217</v>
      </c>
      <c r="AN39" s="14">
        <f>Loan!AN7</f>
        <v>998.08055329147908</v>
      </c>
      <c r="AO39" s="14">
        <f>Loan!AO7</f>
        <v>970.9404331660661</v>
      </c>
      <c r="AP39" s="14">
        <f>Loan!AP7</f>
        <v>943.6193789064838</v>
      </c>
      <c r="AQ39" s="14">
        <f>Loan!AQ7</f>
        <v>916.11618428517102</v>
      </c>
      <c r="AR39" s="14">
        <f>Loan!AR7</f>
        <v>888.42963503304929</v>
      </c>
      <c r="AS39" s="14">
        <f>Loan!AS7</f>
        <v>860.55850878591355</v>
      </c>
      <c r="AT39" s="14">
        <f>Loan!AT7</f>
        <v>832.50157503046353</v>
      </c>
      <c r="AU39" s="14">
        <f>Loan!AU7</f>
        <v>804.25759504997723</v>
      </c>
      <c r="AV39" s="14">
        <f>Loan!AV7</f>
        <v>775.82532186962089</v>
      </c>
      <c r="AW39" s="14">
        <f>Loan!AW7</f>
        <v>747.20350020139551</v>
      </c>
      <c r="AX39" s="14">
        <f>Loan!AX7</f>
        <v>718.39086638871538</v>
      </c>
      <c r="AY39" s="14">
        <f>Loan!AY7</f>
        <v>689.3861483506173</v>
      </c>
      <c r="AZ39" s="14">
        <f>Loan!AZ7</f>
        <v>660.18806552559863</v>
      </c>
      <c r="BA39" s="14">
        <f>Loan!BA7</f>
        <v>630.79532881507976</v>
      </c>
      <c r="BB39" s="14">
        <f>Loan!BB7</f>
        <v>601.20664052649079</v>
      </c>
      <c r="BC39" s="14">
        <f>Loan!BC7</f>
        <v>571.42069431597793</v>
      </c>
      <c r="BD39" s="14">
        <f>Loan!BD7</f>
        <v>541.43617513072832</v>
      </c>
      <c r="BE39" s="14">
        <f>Loan!BE7</f>
        <v>511.25175915091029</v>
      </c>
      <c r="BF39" s="14">
        <f>Loan!BF7</f>
        <v>480.8661137312269</v>
      </c>
      <c r="BG39" s="14">
        <f>Loan!BG7</f>
        <v>450.27789734207892</v>
      </c>
      <c r="BH39" s="14">
        <f>Loan!BH7</f>
        <v>419.48575951033661</v>
      </c>
      <c r="BI39" s="14">
        <f>Loan!BI7</f>
        <v>388.48834075971604</v>
      </c>
      <c r="BJ39" s="14">
        <f>Loan!BJ7</f>
        <v>357.28427255075803</v>
      </c>
      <c r="BK39" s="14">
        <f>Loan!BK7</f>
        <v>325.87217722040697</v>
      </c>
      <c r="BL39" s="14">
        <f>Loan!BL7</f>
        <v>294.25066792118685</v>
      </c>
      <c r="BM39" s="14">
        <f>Loan!BM7</f>
        <v>262.41834855997195</v>
      </c>
      <c r="BN39" s="14">
        <f>Loan!BN7</f>
        <v>230.37381373634892</v>
      </c>
      <c r="BO39" s="14">
        <f>Loan!BO7</f>
        <v>198.11564868056846</v>
      </c>
      <c r="BP39" s="14">
        <f>Loan!BP7</f>
        <v>165.64242919108275</v>
      </c>
      <c r="BQ39" s="14">
        <f>Loan!BQ7</f>
        <v>132.95272157166715</v>
      </c>
      <c r="BR39" s="14">
        <f>Loan!BR7</f>
        <v>100.04508256812214</v>
      </c>
      <c r="BS39" s="14">
        <f>Loan!BS7</f>
        <v>66.918059304553495</v>
      </c>
      <c r="BT39" s="14">
        <f>Loan!BT7</f>
        <v>33.570189219227714</v>
      </c>
    </row>
    <row r="40" spans="1:304" x14ac:dyDescent="0.3">
      <c r="H40" s="15">
        <f t="shared" si="12"/>
        <v>0</v>
      </c>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row>
    <row r="41" spans="1:304" x14ac:dyDescent="0.3">
      <c r="H41" s="15">
        <f t="shared" ca="1" si="12"/>
        <v>-130641.66666666667</v>
      </c>
      <c r="I41" t="s">
        <v>82</v>
      </c>
      <c r="M41" s="14">
        <f t="shared" ref="M41:AR41" ca="1" si="13">M36-M38-M39</f>
        <v>-130641.66666666667</v>
      </c>
      <c r="N41" s="14">
        <f t="shared" ca="1" si="13"/>
        <v>-130618.98378729708</v>
      </c>
      <c r="O41" s="14">
        <f t="shared" ca="1" si="13"/>
        <v>-130596.14968873172</v>
      </c>
      <c r="P41" s="14">
        <f t="shared" ca="1" si="13"/>
        <v>-145089.83002950923</v>
      </c>
      <c r="Q41" s="14">
        <f t="shared" ca="1" si="13"/>
        <v>-145066.69046144749</v>
      </c>
      <c r="R41" s="14">
        <f t="shared" ca="1" si="13"/>
        <v>-160560.06329626532</v>
      </c>
      <c r="S41" s="14">
        <f t="shared" ca="1" si="13"/>
        <v>-156678.61417220419</v>
      </c>
      <c r="T41" s="14">
        <f t="shared" ca="1" si="13"/>
        <v>-155797.00872064929</v>
      </c>
      <c r="U41" s="14">
        <f t="shared" ca="1" si="13"/>
        <v>-159483.07923275072</v>
      </c>
      <c r="V41" s="14">
        <f t="shared" ca="1" si="13"/>
        <v>-158841.15799271059</v>
      </c>
      <c r="W41" s="14">
        <f t="shared" ca="1" si="13"/>
        <v>-157459.07727773685</v>
      </c>
      <c r="X41" s="14">
        <f t="shared" ca="1" si="13"/>
        <v>-160065.66935799664</v>
      </c>
      <c r="Y41" s="14">
        <f t="shared" ca="1" si="13"/>
        <v>-194932.18316323592</v>
      </c>
      <c r="Z41" s="14">
        <f t="shared" ca="1" si="13"/>
        <v>-190457.61761606572</v>
      </c>
      <c r="AA41" s="14">
        <f t="shared" ca="1" si="13"/>
        <v>-205302.88829858101</v>
      </c>
      <c r="AB41" s="14">
        <f t="shared" ca="1" si="13"/>
        <v>-237499.30661897975</v>
      </c>
      <c r="AC41" s="14">
        <f t="shared" ca="1" si="13"/>
        <v>-237340.68710318115</v>
      </c>
      <c r="AD41" s="14">
        <f t="shared" ca="1" si="13"/>
        <v>-249073.76421769382</v>
      </c>
      <c r="AE41" s="14">
        <f t="shared" ca="1" si="13"/>
        <v>-253571.94253362974</v>
      </c>
      <c r="AF41" s="14">
        <f t="shared" ca="1" si="13"/>
        <v>-247367.38023225349</v>
      </c>
      <c r="AG41" s="14">
        <f t="shared" ca="1" si="13"/>
        <v>-237514.32261914539</v>
      </c>
      <c r="AH41" s="14">
        <f t="shared" ca="1" si="13"/>
        <v>-233525.35231407444</v>
      </c>
      <c r="AI41" s="14">
        <f t="shared" ca="1" si="13"/>
        <v>-229313.0561170337</v>
      </c>
      <c r="AJ41" s="14">
        <f t="shared" ca="1" si="13"/>
        <v>-227496.27521758009</v>
      </c>
      <c r="AK41" s="14">
        <f t="shared" ca="1" si="13"/>
        <v>-179093.60541464252</v>
      </c>
      <c r="AL41" s="14">
        <f t="shared" ca="1" si="13"/>
        <v>-175769.50015409465</v>
      </c>
      <c r="AM41" s="14">
        <f t="shared" ca="1" si="13"/>
        <v>-176969.05010101831</v>
      </c>
      <c r="AN41" s="14">
        <f t="shared" ca="1" si="13"/>
        <v>-154686.41309162925</v>
      </c>
      <c r="AO41" s="14">
        <f t="shared" ca="1" si="13"/>
        <v>-153211.85626508738</v>
      </c>
      <c r="AP41" s="14">
        <f t="shared" ca="1" si="13"/>
        <v>-149061.49141909054</v>
      </c>
      <c r="AQ41" s="14">
        <f t="shared" ca="1" si="13"/>
        <v>-128778.81724314509</v>
      </c>
      <c r="AR41" s="14">
        <f t="shared" ca="1" si="13"/>
        <v>-123575.6365801694</v>
      </c>
      <c r="AS41" s="14">
        <f t="shared" ref="AS41:BT41" ca="1" si="14">AS36-AS38-AS39</f>
        <v>-107006.26538451242</v>
      </c>
      <c r="AT41" s="14">
        <f t="shared" ca="1" si="14"/>
        <v>-87160.283377876622</v>
      </c>
      <c r="AU41" s="14">
        <f t="shared" ca="1" si="14"/>
        <v>-67785.493071371791</v>
      </c>
      <c r="AV41" s="14">
        <f t="shared" ca="1" si="14"/>
        <v>-28210.087155340851</v>
      </c>
      <c r="AW41" s="14">
        <f t="shared" ca="1" si="14"/>
        <v>10658.756991320548</v>
      </c>
      <c r="AX41" s="14">
        <f t="shared" ca="1" si="14"/>
        <v>62677.030278340266</v>
      </c>
      <c r="AY41" s="14">
        <f t="shared" ca="1" si="14"/>
        <v>121885.93990778143</v>
      </c>
      <c r="AZ41" s="14">
        <f t="shared" ca="1" si="14"/>
        <v>162902.60064757973</v>
      </c>
      <c r="BA41" s="14">
        <f t="shared" ca="1" si="14"/>
        <v>219459.06875744555</v>
      </c>
      <c r="BB41" s="14">
        <f t="shared" ca="1" si="14"/>
        <v>290338.61783754709</v>
      </c>
      <c r="BC41" s="14">
        <f t="shared" ca="1" si="14"/>
        <v>354927.82052849466</v>
      </c>
      <c r="BD41" s="14">
        <f t="shared" ca="1" si="14"/>
        <v>405280.92179632059</v>
      </c>
      <c r="BE41" s="14">
        <f t="shared" ca="1" si="14"/>
        <v>452329.21213170618</v>
      </c>
      <c r="BF41" s="14">
        <f t="shared" ca="1" si="14"/>
        <v>531328.10899250221</v>
      </c>
      <c r="BG41" s="14">
        <f t="shared" ca="1" si="14"/>
        <v>586427.77981836954</v>
      </c>
      <c r="BH41" s="14">
        <f t="shared" ca="1" si="14"/>
        <v>675519.3899461535</v>
      </c>
      <c r="BI41" s="14">
        <f t="shared" ca="1" si="14"/>
        <v>999382.85198352067</v>
      </c>
      <c r="BJ41" s="14">
        <f t="shared" ca="1" si="14"/>
        <v>1126786.1906428642</v>
      </c>
      <c r="BK41" s="14">
        <f t="shared" ca="1" si="14"/>
        <v>1253327.4706766738</v>
      </c>
      <c r="BL41" s="14">
        <f t="shared" ca="1" si="14"/>
        <v>1393290.3285213758</v>
      </c>
      <c r="BM41" s="14">
        <f t="shared" ca="1" si="14"/>
        <v>1537485.6464929106</v>
      </c>
      <c r="BN41" s="14">
        <f t="shared" ca="1" si="14"/>
        <v>1682105.4759625162</v>
      </c>
      <c r="BO41" s="14">
        <f t="shared" ca="1" si="14"/>
        <v>1840895.5333090927</v>
      </c>
      <c r="BP41" s="14">
        <f ca="1">BP36-BP38-BP39</f>
        <v>2011080.1956691791</v>
      </c>
      <c r="BQ41" s="14">
        <f t="shared" ca="1" si="14"/>
        <v>2175987.4964744258</v>
      </c>
      <c r="BR41" s="14">
        <f t="shared" ca="1" si="14"/>
        <v>2367571.620765937</v>
      </c>
      <c r="BS41" s="14">
        <f t="shared" ca="1" si="14"/>
        <v>2558985.4002743349</v>
      </c>
      <c r="BT41" s="14">
        <f t="shared" ca="1" si="14"/>
        <v>2762280.3082538098</v>
      </c>
    </row>
    <row r="42" spans="1:304" x14ac:dyDescent="0.3">
      <c r="H42" s="15">
        <f t="shared" ca="1" si="12"/>
        <v>0</v>
      </c>
      <c r="I42" t="s">
        <v>83</v>
      </c>
      <c r="J42">
        <v>0.2</v>
      </c>
      <c r="M42" s="14">
        <f ca="1">IF(M41&gt;0,$J42*M41,0)</f>
        <v>0</v>
      </c>
      <c r="N42" s="14">
        <f t="shared" ref="N42:BT42" ca="1" si="15">IF(N41&gt;0,$J42*N41,0)</f>
        <v>0</v>
      </c>
      <c r="O42" s="14">
        <f t="shared" ca="1" si="15"/>
        <v>0</v>
      </c>
      <c r="P42" s="14">
        <f t="shared" ca="1" si="15"/>
        <v>0</v>
      </c>
      <c r="Q42" s="14">
        <f t="shared" ca="1" si="15"/>
        <v>0</v>
      </c>
      <c r="R42" s="14">
        <f t="shared" ca="1" si="15"/>
        <v>0</v>
      </c>
      <c r="S42" s="14">
        <f t="shared" ca="1" si="15"/>
        <v>0</v>
      </c>
      <c r="T42" s="14">
        <f t="shared" ca="1" si="15"/>
        <v>0</v>
      </c>
      <c r="U42" s="14">
        <f t="shared" ca="1" si="15"/>
        <v>0</v>
      </c>
      <c r="V42" s="14">
        <f t="shared" ca="1" si="15"/>
        <v>0</v>
      </c>
      <c r="W42" s="14">
        <f t="shared" ca="1" si="15"/>
        <v>0</v>
      </c>
      <c r="X42" s="14">
        <f t="shared" ca="1" si="15"/>
        <v>0</v>
      </c>
      <c r="Y42" s="14">
        <f t="shared" ca="1" si="15"/>
        <v>0</v>
      </c>
      <c r="Z42" s="14">
        <f t="shared" ca="1" si="15"/>
        <v>0</v>
      </c>
      <c r="AA42" s="14">
        <f t="shared" ca="1" si="15"/>
        <v>0</v>
      </c>
      <c r="AB42" s="14">
        <f t="shared" ca="1" si="15"/>
        <v>0</v>
      </c>
      <c r="AC42" s="14">
        <f t="shared" ca="1" si="15"/>
        <v>0</v>
      </c>
      <c r="AD42" s="14">
        <f t="shared" ca="1" si="15"/>
        <v>0</v>
      </c>
      <c r="AE42" s="14">
        <f t="shared" ca="1" si="15"/>
        <v>0</v>
      </c>
      <c r="AF42" s="14">
        <f t="shared" ca="1" si="15"/>
        <v>0</v>
      </c>
      <c r="AG42" s="14">
        <f t="shared" ca="1" si="15"/>
        <v>0</v>
      </c>
      <c r="AH42" s="14">
        <f t="shared" ca="1" si="15"/>
        <v>0</v>
      </c>
      <c r="AI42" s="14">
        <f t="shared" ca="1" si="15"/>
        <v>0</v>
      </c>
      <c r="AJ42" s="14">
        <f t="shared" ca="1" si="15"/>
        <v>0</v>
      </c>
      <c r="AK42" s="14">
        <f t="shared" ca="1" si="15"/>
        <v>0</v>
      </c>
      <c r="AL42" s="14">
        <f t="shared" ca="1" si="15"/>
        <v>0</v>
      </c>
      <c r="AM42" s="14">
        <f t="shared" ca="1" si="15"/>
        <v>0</v>
      </c>
      <c r="AN42" s="14">
        <f t="shared" ca="1" si="15"/>
        <v>0</v>
      </c>
      <c r="AO42" s="14">
        <f t="shared" ca="1" si="15"/>
        <v>0</v>
      </c>
      <c r="AP42" s="14">
        <f t="shared" ca="1" si="15"/>
        <v>0</v>
      </c>
      <c r="AQ42" s="14">
        <f t="shared" ca="1" si="15"/>
        <v>0</v>
      </c>
      <c r="AR42" s="14">
        <f t="shared" ca="1" si="15"/>
        <v>0</v>
      </c>
      <c r="AS42" s="14">
        <f t="shared" ca="1" si="15"/>
        <v>0</v>
      </c>
      <c r="AT42" s="14">
        <f t="shared" ca="1" si="15"/>
        <v>0</v>
      </c>
      <c r="AU42" s="14">
        <f t="shared" ca="1" si="15"/>
        <v>0</v>
      </c>
      <c r="AV42" s="14">
        <f t="shared" ca="1" si="15"/>
        <v>0</v>
      </c>
      <c r="AW42" s="14">
        <f t="shared" ca="1" si="15"/>
        <v>2131.7513982641099</v>
      </c>
      <c r="AX42" s="14">
        <f t="shared" ca="1" si="15"/>
        <v>12535.406055668054</v>
      </c>
      <c r="AY42" s="14">
        <f t="shared" ca="1" si="15"/>
        <v>24377.187981556286</v>
      </c>
      <c r="AZ42" s="14">
        <f t="shared" ca="1" si="15"/>
        <v>32580.52012951595</v>
      </c>
      <c r="BA42" s="14">
        <f t="shared" ca="1" si="15"/>
        <v>43891.813751489113</v>
      </c>
      <c r="BB42" s="14">
        <f t="shared" ca="1" si="15"/>
        <v>58067.72356750942</v>
      </c>
      <c r="BC42" s="14">
        <f t="shared" ca="1" si="15"/>
        <v>70985.564105698941</v>
      </c>
      <c r="BD42" s="14">
        <f t="shared" ca="1" si="15"/>
        <v>81056.184359264123</v>
      </c>
      <c r="BE42" s="14">
        <f t="shared" ca="1" si="15"/>
        <v>90465.842426341245</v>
      </c>
      <c r="BF42" s="14">
        <f t="shared" ca="1" si="15"/>
        <v>106265.62179850045</v>
      </c>
      <c r="BG42" s="14">
        <f t="shared" ca="1" si="15"/>
        <v>117285.55596367392</v>
      </c>
      <c r="BH42" s="14">
        <f t="shared" ca="1" si="15"/>
        <v>135103.87798923071</v>
      </c>
      <c r="BI42" s="14">
        <f t="shared" ca="1" si="15"/>
        <v>199876.57039670413</v>
      </c>
      <c r="BJ42" s="14">
        <f t="shared" ca="1" si="15"/>
        <v>225357.23812857285</v>
      </c>
      <c r="BK42" s="14">
        <f t="shared" ca="1" si="15"/>
        <v>250665.49413533477</v>
      </c>
      <c r="BL42" s="14">
        <f t="shared" ca="1" si="15"/>
        <v>278658.06570427516</v>
      </c>
      <c r="BM42" s="14">
        <f t="shared" ca="1" si="15"/>
        <v>307497.12929858215</v>
      </c>
      <c r="BN42" s="14">
        <f t="shared" ca="1" si="15"/>
        <v>336421.09519250324</v>
      </c>
      <c r="BO42" s="14">
        <f t="shared" ca="1" si="15"/>
        <v>368179.10666181857</v>
      </c>
      <c r="BP42" s="14">
        <f t="shared" ca="1" si="15"/>
        <v>402216.03913383582</v>
      </c>
      <c r="BQ42" s="14">
        <f t="shared" ca="1" si="15"/>
        <v>435197.4992948852</v>
      </c>
      <c r="BR42" s="14">
        <f t="shared" ca="1" si="15"/>
        <v>473514.32415318745</v>
      </c>
      <c r="BS42" s="14">
        <f t="shared" ca="1" si="15"/>
        <v>511797.08005486702</v>
      </c>
      <c r="BT42" s="14">
        <f t="shared" ca="1" si="15"/>
        <v>552456.06165076199</v>
      </c>
    </row>
    <row r="43" spans="1:304" x14ac:dyDescent="0.3">
      <c r="H43" s="15">
        <f t="shared" si="12"/>
        <v>0</v>
      </c>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row>
    <row r="44" spans="1:304" s="68" customFormat="1" ht="15" thickBot="1" x14ac:dyDescent="0.35">
      <c r="A44"/>
      <c r="B44"/>
      <c r="C44"/>
      <c r="D44"/>
      <c r="E44"/>
      <c r="F44"/>
      <c r="G44"/>
      <c r="H44" s="15">
        <f ca="1">M44</f>
        <v>-130641.66666666667</v>
      </c>
      <c r="I44" t="s">
        <v>84</v>
      </c>
      <c r="J44" s="29"/>
      <c r="K44"/>
      <c r="L44"/>
      <c r="M44" s="92">
        <f ca="1">M41-M42</f>
        <v>-130641.66666666667</v>
      </c>
      <c r="N44" s="92">
        <f t="shared" ref="N44:BT44" ca="1" si="16">N41-N42</f>
        <v>-130618.98378729708</v>
      </c>
      <c r="O44" s="92">
        <f t="shared" ca="1" si="16"/>
        <v>-130596.14968873172</v>
      </c>
      <c r="P44" s="92">
        <f t="shared" ca="1" si="16"/>
        <v>-145089.83002950923</v>
      </c>
      <c r="Q44" s="92">
        <f t="shared" ca="1" si="16"/>
        <v>-145066.69046144749</v>
      </c>
      <c r="R44" s="92">
        <f t="shared" ca="1" si="16"/>
        <v>-160560.06329626532</v>
      </c>
      <c r="S44" s="92">
        <f t="shared" ca="1" si="16"/>
        <v>-156678.61417220419</v>
      </c>
      <c r="T44" s="92">
        <f t="shared" ca="1" si="16"/>
        <v>-155797.00872064929</v>
      </c>
      <c r="U44" s="92">
        <f t="shared" ca="1" si="16"/>
        <v>-159483.07923275072</v>
      </c>
      <c r="V44" s="92">
        <f t="shared" ca="1" si="16"/>
        <v>-158841.15799271059</v>
      </c>
      <c r="W44" s="92">
        <f t="shared" ca="1" si="16"/>
        <v>-157459.07727773685</v>
      </c>
      <c r="X44" s="92">
        <f t="shared" ca="1" si="16"/>
        <v>-160065.66935799664</v>
      </c>
      <c r="Y44" s="92">
        <f t="shared" ca="1" si="16"/>
        <v>-194932.18316323592</v>
      </c>
      <c r="Z44" s="92">
        <f t="shared" ca="1" si="16"/>
        <v>-190457.61761606572</v>
      </c>
      <c r="AA44" s="92">
        <f t="shared" ca="1" si="16"/>
        <v>-205302.88829858101</v>
      </c>
      <c r="AB44" s="92">
        <f t="shared" ca="1" si="16"/>
        <v>-237499.30661897975</v>
      </c>
      <c r="AC44" s="92">
        <f t="shared" ca="1" si="16"/>
        <v>-237340.68710318115</v>
      </c>
      <c r="AD44" s="92">
        <f t="shared" ca="1" si="16"/>
        <v>-249073.76421769382</v>
      </c>
      <c r="AE44" s="92">
        <f t="shared" ca="1" si="16"/>
        <v>-253571.94253362974</v>
      </c>
      <c r="AF44" s="92">
        <f t="shared" ca="1" si="16"/>
        <v>-247367.38023225349</v>
      </c>
      <c r="AG44" s="92">
        <f t="shared" ca="1" si="16"/>
        <v>-237514.32261914539</v>
      </c>
      <c r="AH44" s="92">
        <f t="shared" ca="1" si="16"/>
        <v>-233525.35231407444</v>
      </c>
      <c r="AI44" s="92">
        <f t="shared" ca="1" si="16"/>
        <v>-229313.0561170337</v>
      </c>
      <c r="AJ44" s="92">
        <f t="shared" ca="1" si="16"/>
        <v>-227496.27521758009</v>
      </c>
      <c r="AK44" s="92">
        <f t="shared" ca="1" si="16"/>
        <v>-179093.60541464252</v>
      </c>
      <c r="AL44" s="92">
        <f t="shared" ca="1" si="16"/>
        <v>-175769.50015409465</v>
      </c>
      <c r="AM44" s="92">
        <f t="shared" ca="1" si="16"/>
        <v>-176969.05010101831</v>
      </c>
      <c r="AN44" s="92">
        <f t="shared" ca="1" si="16"/>
        <v>-154686.41309162925</v>
      </c>
      <c r="AO44" s="92">
        <f t="shared" ca="1" si="16"/>
        <v>-153211.85626508738</v>
      </c>
      <c r="AP44" s="92">
        <f t="shared" ca="1" si="16"/>
        <v>-149061.49141909054</v>
      </c>
      <c r="AQ44" s="92">
        <f t="shared" ca="1" si="16"/>
        <v>-128778.81724314509</v>
      </c>
      <c r="AR44" s="92">
        <f t="shared" ca="1" si="16"/>
        <v>-123575.6365801694</v>
      </c>
      <c r="AS44" s="92">
        <f t="shared" ca="1" si="16"/>
        <v>-107006.26538451242</v>
      </c>
      <c r="AT44" s="92">
        <f t="shared" ca="1" si="16"/>
        <v>-87160.283377876622</v>
      </c>
      <c r="AU44" s="92">
        <f t="shared" ca="1" si="16"/>
        <v>-67785.493071371791</v>
      </c>
      <c r="AV44" s="92">
        <f t="shared" ca="1" si="16"/>
        <v>-28210.087155340851</v>
      </c>
      <c r="AW44" s="92">
        <f t="shared" ca="1" si="16"/>
        <v>8527.0055930564376</v>
      </c>
      <c r="AX44" s="92">
        <f t="shared" ca="1" si="16"/>
        <v>50141.62422267221</v>
      </c>
      <c r="AY44" s="92">
        <f t="shared" ca="1" si="16"/>
        <v>97508.751926225144</v>
      </c>
      <c r="AZ44" s="92">
        <f t="shared" ca="1" si="16"/>
        <v>130322.08051806378</v>
      </c>
      <c r="BA44" s="92">
        <f t="shared" ca="1" si="16"/>
        <v>175567.25500595645</v>
      </c>
      <c r="BB44" s="92">
        <f t="shared" ca="1" si="16"/>
        <v>232270.89427003768</v>
      </c>
      <c r="BC44" s="92">
        <f t="shared" ca="1" si="16"/>
        <v>283942.2564227957</v>
      </c>
      <c r="BD44" s="92">
        <f t="shared" ca="1" si="16"/>
        <v>324224.73743705649</v>
      </c>
      <c r="BE44" s="92">
        <f t="shared" ca="1" si="16"/>
        <v>361863.36970536492</v>
      </c>
      <c r="BF44" s="92">
        <f t="shared" ca="1" si="16"/>
        <v>425062.48719400179</v>
      </c>
      <c r="BG44" s="92">
        <f t="shared" ca="1" si="16"/>
        <v>469142.22385469562</v>
      </c>
      <c r="BH44" s="92">
        <f t="shared" ca="1" si="16"/>
        <v>540415.51195692283</v>
      </c>
      <c r="BI44" s="92">
        <f t="shared" ca="1" si="16"/>
        <v>799506.28158681653</v>
      </c>
      <c r="BJ44" s="92">
        <f t="shared" ca="1" si="16"/>
        <v>901428.95251429139</v>
      </c>
      <c r="BK44" s="92">
        <f t="shared" ca="1" si="16"/>
        <v>1002661.9765413391</v>
      </c>
      <c r="BL44" s="92">
        <f t="shared" ca="1" si="16"/>
        <v>1114632.2628171006</v>
      </c>
      <c r="BM44" s="92">
        <f t="shared" ca="1" si="16"/>
        <v>1229988.5171943284</v>
      </c>
      <c r="BN44" s="92">
        <f t="shared" ca="1" si="16"/>
        <v>1345684.380770013</v>
      </c>
      <c r="BO44" s="92">
        <f t="shared" ca="1" si="16"/>
        <v>1472716.4266472743</v>
      </c>
      <c r="BP44" s="92">
        <f t="shared" ca="1" si="16"/>
        <v>1608864.1565353433</v>
      </c>
      <c r="BQ44" s="92">
        <f t="shared" ca="1" si="16"/>
        <v>1740789.9971795406</v>
      </c>
      <c r="BR44" s="92">
        <f t="shared" ca="1" si="16"/>
        <v>1894057.2966127496</v>
      </c>
      <c r="BS44" s="92">
        <f t="shared" ca="1" si="16"/>
        <v>2047188.3202194679</v>
      </c>
      <c r="BT44" s="92">
        <f t="shared" ca="1" si="16"/>
        <v>2209824.2466030479</v>
      </c>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row>
    <row r="45" spans="1:304" x14ac:dyDescent="0.3">
      <c r="I45" s="28" t="s">
        <v>85</v>
      </c>
      <c r="M45" s="15">
        <f ca="1">M44+L45</f>
        <v>-130641.66666666667</v>
      </c>
      <c r="N45" s="15">
        <f t="shared" ref="N45:BT45" ca="1" si="17">N44+M45</f>
        <v>-261260.65045396375</v>
      </c>
      <c r="O45" s="15">
        <f t="shared" ca="1" si="17"/>
        <v>-391856.80014269549</v>
      </c>
      <c r="P45" s="15">
        <f t="shared" ca="1" si="17"/>
        <v>-536946.63017220469</v>
      </c>
      <c r="Q45" s="15">
        <f t="shared" ca="1" si="17"/>
        <v>-682013.32063365215</v>
      </c>
      <c r="R45" s="15">
        <f t="shared" ca="1" si="17"/>
        <v>-842573.38392991747</v>
      </c>
      <c r="S45" s="15">
        <f t="shared" ca="1" si="17"/>
        <v>-999251.99810212164</v>
      </c>
      <c r="T45" s="15">
        <f t="shared" ca="1" si="17"/>
        <v>-1155049.0068227709</v>
      </c>
      <c r="U45" s="15">
        <f t="shared" ca="1" si="17"/>
        <v>-1314532.0860555216</v>
      </c>
      <c r="V45" s="15">
        <f t="shared" ca="1" si="17"/>
        <v>-1473373.2440482322</v>
      </c>
      <c r="W45" s="15">
        <f t="shared" ca="1" si="17"/>
        <v>-1630832.321325969</v>
      </c>
      <c r="X45" s="15">
        <f t="shared" ca="1" si="17"/>
        <v>-1790897.9906839656</v>
      </c>
      <c r="Y45" s="15">
        <f t="shared" ca="1" si="17"/>
        <v>-1985830.1738472015</v>
      </c>
      <c r="Z45" s="15">
        <f t="shared" ca="1" si="17"/>
        <v>-2176287.7914632671</v>
      </c>
      <c r="AA45" s="15">
        <f t="shared" ca="1" si="17"/>
        <v>-2381590.6797618479</v>
      </c>
      <c r="AB45" s="15">
        <f t="shared" ca="1" si="17"/>
        <v>-2619089.9863808276</v>
      </c>
      <c r="AC45" s="15">
        <f t="shared" ca="1" si="17"/>
        <v>-2856430.6734840088</v>
      </c>
      <c r="AD45" s="15">
        <f t="shared" ca="1" si="17"/>
        <v>-3105504.4377017026</v>
      </c>
      <c r="AE45" s="15">
        <f t="shared" ca="1" si="17"/>
        <v>-3359076.3802353325</v>
      </c>
      <c r="AF45" s="15">
        <f t="shared" ca="1" si="17"/>
        <v>-3606443.7604675861</v>
      </c>
      <c r="AG45" s="15">
        <f t="shared" ca="1" si="17"/>
        <v>-3843958.0830867314</v>
      </c>
      <c r="AH45" s="15">
        <f t="shared" ca="1" si="17"/>
        <v>-4077483.4354008059</v>
      </c>
      <c r="AI45" s="15">
        <f t="shared" ca="1" si="17"/>
        <v>-4306796.49151784</v>
      </c>
      <c r="AJ45" s="15">
        <f t="shared" ca="1" si="17"/>
        <v>-4534292.7667354196</v>
      </c>
      <c r="AK45" s="15">
        <f t="shared" ca="1" si="17"/>
        <v>-4713386.3721500626</v>
      </c>
      <c r="AL45" s="15">
        <f t="shared" ca="1" si="17"/>
        <v>-4889155.8723041574</v>
      </c>
      <c r="AM45" s="15">
        <f t="shared" ca="1" si="17"/>
        <v>-5066124.9224051759</v>
      </c>
      <c r="AN45" s="15">
        <f t="shared" ca="1" si="17"/>
        <v>-5220811.3354968047</v>
      </c>
      <c r="AO45" s="15">
        <f t="shared" ca="1" si="17"/>
        <v>-5374023.1917618923</v>
      </c>
      <c r="AP45" s="15">
        <f t="shared" ca="1" si="17"/>
        <v>-5523084.6831809832</v>
      </c>
      <c r="AQ45" s="15">
        <f t="shared" ca="1" si="17"/>
        <v>-5651863.500424128</v>
      </c>
      <c r="AR45" s="15">
        <f t="shared" ca="1" si="17"/>
        <v>-5775439.1370042972</v>
      </c>
      <c r="AS45" s="15">
        <f t="shared" ca="1" si="17"/>
        <v>-5882445.4023888092</v>
      </c>
      <c r="AT45" s="15">
        <f t="shared" ca="1" si="17"/>
        <v>-5969605.6857666858</v>
      </c>
      <c r="AU45" s="15">
        <f t="shared" ca="1" si="17"/>
        <v>-6037391.1788380574</v>
      </c>
      <c r="AV45" s="15">
        <f t="shared" ca="1" si="17"/>
        <v>-6065601.2659933986</v>
      </c>
      <c r="AW45" s="15">
        <f t="shared" ca="1" si="17"/>
        <v>-6057074.2604003418</v>
      </c>
      <c r="AX45" s="15">
        <f t="shared" ca="1" si="17"/>
        <v>-6006932.6361776693</v>
      </c>
      <c r="AY45" s="15">
        <f t="shared" ca="1" si="17"/>
        <v>-5909423.8842514437</v>
      </c>
      <c r="AZ45" s="15">
        <f t="shared" ca="1" si="17"/>
        <v>-5779101.8037333796</v>
      </c>
      <c r="BA45" s="15">
        <f t="shared" ca="1" si="17"/>
        <v>-5603534.548727423</v>
      </c>
      <c r="BB45" s="15">
        <f t="shared" ca="1" si="17"/>
        <v>-5371263.6544573857</v>
      </c>
      <c r="BC45" s="15">
        <f t="shared" ca="1" si="17"/>
        <v>-5087321.3980345903</v>
      </c>
      <c r="BD45" s="15">
        <f t="shared" ca="1" si="17"/>
        <v>-4763096.6605975339</v>
      </c>
      <c r="BE45" s="15">
        <f t="shared" ca="1" si="17"/>
        <v>-4401233.2908921689</v>
      </c>
      <c r="BF45" s="15">
        <f t="shared" ca="1" si="17"/>
        <v>-3976170.8036981672</v>
      </c>
      <c r="BG45" s="15">
        <f t="shared" ca="1" si="17"/>
        <v>-3507028.5798434718</v>
      </c>
      <c r="BH45" s="15">
        <f t="shared" ca="1" si="17"/>
        <v>-2966613.067886549</v>
      </c>
      <c r="BI45" s="15">
        <f t="shared" ca="1" si="17"/>
        <v>-2167106.7862997325</v>
      </c>
      <c r="BJ45" s="15">
        <f t="shared" ca="1" si="17"/>
        <v>-1265677.8337854412</v>
      </c>
      <c r="BK45" s="15">
        <f t="shared" ca="1" si="17"/>
        <v>-263015.85724410217</v>
      </c>
      <c r="BL45" s="15">
        <f t="shared" ca="1" si="17"/>
        <v>851616.40557299845</v>
      </c>
      <c r="BM45" s="15">
        <f t="shared" ca="1" si="17"/>
        <v>2081604.9227673267</v>
      </c>
      <c r="BN45" s="15">
        <f t="shared" ca="1" si="17"/>
        <v>3427289.3035373399</v>
      </c>
      <c r="BO45" s="15">
        <f t="shared" ca="1" si="17"/>
        <v>4900005.7301846147</v>
      </c>
      <c r="BP45" s="15">
        <f t="shared" ca="1" si="17"/>
        <v>6508869.8867199579</v>
      </c>
      <c r="BQ45" s="15">
        <f t="shared" ca="1" si="17"/>
        <v>8249659.8838994987</v>
      </c>
      <c r="BR45" s="15">
        <f t="shared" ca="1" si="17"/>
        <v>10143717.180512248</v>
      </c>
      <c r="BS45" s="15">
        <f t="shared" ca="1" si="17"/>
        <v>12190905.500731716</v>
      </c>
      <c r="BT45" s="15">
        <f t="shared" ca="1" si="17"/>
        <v>14400729.747334763</v>
      </c>
    </row>
    <row r="48" spans="1:304" x14ac:dyDescent="0.3">
      <c r="I48" s="75" t="s">
        <v>86</v>
      </c>
    </row>
    <row r="50" spans="9:72" x14ac:dyDescent="0.3">
      <c r="I50" t="s">
        <v>87</v>
      </c>
    </row>
    <row r="51" spans="9:72" x14ac:dyDescent="0.3">
      <c r="J51" t="s">
        <v>88</v>
      </c>
      <c r="M51" s="107">
        <v>0</v>
      </c>
      <c r="N51" s="107">
        <f ca="1">M61</f>
        <v>617172.56809456309</v>
      </c>
      <c r="O51" s="107">
        <f t="shared" ref="O51:BT51" ca="1" si="18">N61</f>
        <v>512345.13618912635</v>
      </c>
      <c r="P51" s="107">
        <f t="shared" ca="1" si="18"/>
        <v>407517.70428368961</v>
      </c>
      <c r="Q51" s="107">
        <f t="shared" ca="1" si="18"/>
        <v>288173.60571158619</v>
      </c>
      <c r="R51" s="107">
        <f t="shared" ca="1" si="18"/>
        <v>168829.50713948277</v>
      </c>
      <c r="S51" s="107">
        <f t="shared" ca="1" si="18"/>
        <v>33968.74190071271</v>
      </c>
      <c r="T51" s="107">
        <f t="shared" ca="1" si="18"/>
        <v>-97229.023338057363</v>
      </c>
      <c r="U51" s="107">
        <f t="shared" ca="1" si="18"/>
        <v>-227457.78857682744</v>
      </c>
      <c r="V51" s="107">
        <f t="shared" ca="1" si="18"/>
        <v>-361361.38714893087</v>
      </c>
      <c r="W51" s="107">
        <f t="shared" ca="1" si="18"/>
        <v>2005361.5142789658</v>
      </c>
      <c r="X51" s="107">
        <f t="shared" ca="1" si="18"/>
        <v>1873406.4157068622</v>
      </c>
      <c r="Y51" s="107">
        <f t="shared" ca="1" si="18"/>
        <v>1738832.9838014254</v>
      </c>
      <c r="Z51" s="107">
        <f t="shared" ca="1" si="18"/>
        <v>1552694.1352293221</v>
      </c>
      <c r="AA51" s="107">
        <f t="shared" ca="1" si="18"/>
        <v>1387343.5866572189</v>
      </c>
      <c r="AB51" s="107">
        <f t="shared" ca="1" si="18"/>
        <v>1207295.3380851154</v>
      </c>
      <c r="AC51" s="107">
        <f t="shared" ca="1" si="18"/>
        <v>995125.27701301186</v>
      </c>
      <c r="AD51" s="107">
        <f t="shared" ca="1" si="18"/>
        <v>783243.07531590841</v>
      </c>
      <c r="AE51" s="107">
        <f t="shared" ca="1" si="18"/>
        <v>559631.56929588842</v>
      </c>
      <c r="AF51" s="107">
        <f t="shared" ca="1" si="18"/>
        <v>331237.68957013922</v>
      </c>
      <c r="AG51" s="107">
        <f t="shared" ca="1" si="18"/>
        <v>109072.90745337443</v>
      </c>
      <c r="AH51" s="107">
        <f t="shared" ca="1" si="18"/>
        <v>-132139.90217395689</v>
      </c>
      <c r="AI51" s="107">
        <f t="shared" ca="1" si="18"/>
        <v>8630837.2018126175</v>
      </c>
      <c r="AJ51" s="107">
        <f t="shared" ca="1" si="18"/>
        <v>8397789.4725937918</v>
      </c>
      <c r="AK51" s="107">
        <f t="shared" ca="1" si="18"/>
        <v>8166599.5710092979</v>
      </c>
      <c r="AL51" s="107">
        <f t="shared" ca="1" si="18"/>
        <v>7956205.8609408503</v>
      </c>
      <c r="AM51" s="107">
        <f t="shared" ca="1" si="18"/>
        <v>7775902.1016574809</v>
      </c>
      <c r="AN51" s="107">
        <f t="shared" ca="1" si="18"/>
        <v>7595158.1605885476</v>
      </c>
      <c r="AO51" s="107">
        <f t="shared" ca="1" si="18"/>
        <v>7436229.8961447738</v>
      </c>
      <c r="AP51" s="107">
        <f t="shared" ca="1" si="18"/>
        <v>7278614.8484074157</v>
      </c>
      <c r="AQ51" s="107">
        <f t="shared" ca="1" si="18"/>
        <v>7125230.6444617957</v>
      </c>
      <c r="AR51" s="107">
        <f t="shared" ca="1" si="18"/>
        <v>6992147.4114974989</v>
      </c>
      <c r="AS51" s="107">
        <f t="shared" ca="1" si="18"/>
        <v>6864273.1726469258</v>
      </c>
      <c r="AT51" s="107">
        <f t="shared" ca="1" si="18"/>
        <v>6752650.7338657631</v>
      </c>
      <c r="AU51" s="107">
        <f t="shared" ca="1" si="18"/>
        <v>6660548.1201574812</v>
      </c>
      <c r="AV51" s="107">
        <f t="shared" ca="1" si="18"/>
        <v>6588286.7527757231</v>
      </c>
      <c r="AW51" s="107">
        <f t="shared" ca="1" si="18"/>
        <v>6554663.3590368154</v>
      </c>
      <c r="AX51" s="107">
        <f t="shared" ca="1" si="18"/>
        <v>6530521.4362246366</v>
      </c>
      <c r="AY51" s="107">
        <f t="shared" ca="1" si="18"/>
        <v>6573280.619408261</v>
      </c>
      <c r="AZ51" s="107">
        <f t="shared" ca="1" si="18"/>
        <v>6664225.4255773993</v>
      </c>
      <c r="BA51" s="107">
        <f t="shared" ca="1" si="18"/>
        <v>6788803.2622555522</v>
      </c>
      <c r="BB51" s="107">
        <f t="shared" ca="1" si="18"/>
        <v>6957920.4806848876</v>
      </c>
      <c r="BC51" s="107">
        <f t="shared" ca="1" si="18"/>
        <v>7183643.3496900145</v>
      </c>
      <c r="BD51" s="107">
        <f t="shared" ca="1" si="18"/>
        <v>7459521.3949016901</v>
      </c>
      <c r="BE51" s="107">
        <f t="shared" ca="1" si="18"/>
        <v>7776336.0366084408</v>
      </c>
      <c r="BF51" s="107">
        <f t="shared" ca="1" si="18"/>
        <v>8131156.2261675205</v>
      </c>
      <c r="BG51" s="107">
        <f t="shared" ca="1" si="18"/>
        <v>8548310.6475698166</v>
      </c>
      <c r="BH51" s="107">
        <f t="shared" ca="1" si="18"/>
        <v>9009812.8174164165</v>
      </c>
      <c r="BI51" s="107">
        <f t="shared" ca="1" si="18"/>
        <v>9541652.6832274124</v>
      </c>
      <c r="BJ51" s="107">
        <f t="shared" ca="1" si="18"/>
        <v>10318233.42124955</v>
      </c>
      <c r="BK51" s="107">
        <f t="shared" ca="1" si="18"/>
        <v>11205780.326130956</v>
      </c>
      <c r="BL51" s="107">
        <f t="shared" ca="1" si="18"/>
        <v>12197102.542944079</v>
      </c>
      <c r="BM51" s="107">
        <f t="shared" ca="1" si="18"/>
        <v>13299713.724523665</v>
      </c>
      <c r="BN51" s="107">
        <f t="shared" ca="1" si="18"/>
        <v>14517283.128161116</v>
      </c>
      <c r="BO51" s="107">
        <f t="shared" ca="1" si="18"/>
        <v>15850429.650839426</v>
      </c>
      <c r="BP51" s="107">
        <f t="shared" ca="1" si="18"/>
        <v>17309838.261229947</v>
      </c>
      <c r="BQ51" s="107">
        <f t="shared" ca="1" si="18"/>
        <v>18904619.728289045</v>
      </c>
      <c r="BR51" s="107">
        <f t="shared" ca="1" si="18"/>
        <v>20631423.04628472</v>
      </c>
      <c r="BS51" s="107">
        <f t="shared" ca="1" si="18"/>
        <v>22510143.356074601</v>
      </c>
      <c r="BT51" s="107">
        <f t="shared" ca="1" si="18"/>
        <v>24541678.162447941</v>
      </c>
    </row>
    <row r="52" spans="9:72" x14ac:dyDescent="0.3">
      <c r="I52" s="105"/>
      <c r="J52" t="s">
        <v>84</v>
      </c>
      <c r="M52" s="105">
        <f ca="1">M44</f>
        <v>-130641.66666666667</v>
      </c>
      <c r="N52" s="105">
        <f t="shared" ref="N52:AR52" ca="1" si="19">N44</f>
        <v>-130618.98378729708</v>
      </c>
      <c r="O52" s="105">
        <f t="shared" ca="1" si="19"/>
        <v>-130596.14968873172</v>
      </c>
      <c r="P52" s="105">
        <f t="shared" ca="1" si="19"/>
        <v>-145089.83002950923</v>
      </c>
      <c r="Q52" s="105">
        <f t="shared" ca="1" si="19"/>
        <v>-145066.69046144749</v>
      </c>
      <c r="R52" s="105">
        <f t="shared" ca="1" si="19"/>
        <v>-160560.06329626532</v>
      </c>
      <c r="S52" s="105">
        <f t="shared" ca="1" si="19"/>
        <v>-156678.61417220419</v>
      </c>
      <c r="T52" s="105">
        <f t="shared" ca="1" si="19"/>
        <v>-155797.00872064929</v>
      </c>
      <c r="U52" s="105">
        <f t="shared" ca="1" si="19"/>
        <v>-159483.07923275072</v>
      </c>
      <c r="V52" s="105">
        <f t="shared" ca="1" si="19"/>
        <v>-158841.15799271059</v>
      </c>
      <c r="W52" s="105">
        <f t="shared" ca="1" si="19"/>
        <v>-157459.07727773685</v>
      </c>
      <c r="X52" s="105">
        <f t="shared" ca="1" si="19"/>
        <v>-160065.66935799664</v>
      </c>
      <c r="Y52" s="105">
        <f t="shared" ca="1" si="19"/>
        <v>-194932.18316323592</v>
      </c>
      <c r="Z52" s="105">
        <f t="shared" ca="1" si="19"/>
        <v>-190457.61761606572</v>
      </c>
      <c r="AA52" s="105">
        <f t="shared" ca="1" si="19"/>
        <v>-205302.88829858101</v>
      </c>
      <c r="AB52" s="105">
        <f t="shared" ca="1" si="19"/>
        <v>-237499.30661897975</v>
      </c>
      <c r="AC52" s="105">
        <f t="shared" ca="1" si="19"/>
        <v>-237340.68710318115</v>
      </c>
      <c r="AD52" s="105">
        <f t="shared" ca="1" si="19"/>
        <v>-249073.76421769382</v>
      </c>
      <c r="AE52" s="105">
        <f t="shared" ca="1" si="19"/>
        <v>-253571.94253362974</v>
      </c>
      <c r="AF52" s="105">
        <f t="shared" ca="1" si="19"/>
        <v>-247367.38023225349</v>
      </c>
      <c r="AG52" s="105">
        <f t="shared" ca="1" si="19"/>
        <v>-237514.32261914539</v>
      </c>
      <c r="AH52" s="105">
        <f t="shared" ca="1" si="19"/>
        <v>-233525.35231407444</v>
      </c>
      <c r="AI52" s="105">
        <f t="shared" ca="1" si="19"/>
        <v>-229313.0561170337</v>
      </c>
      <c r="AJ52" s="105">
        <f t="shared" ca="1" si="19"/>
        <v>-227496.27521758009</v>
      </c>
      <c r="AK52" s="105">
        <f t="shared" ca="1" si="19"/>
        <v>-179093.60541464252</v>
      </c>
      <c r="AL52" s="105">
        <f t="shared" ca="1" si="19"/>
        <v>-175769.50015409465</v>
      </c>
      <c r="AM52" s="105">
        <f t="shared" ca="1" si="19"/>
        <v>-176969.05010101831</v>
      </c>
      <c r="AN52" s="105">
        <f t="shared" ca="1" si="19"/>
        <v>-154686.41309162925</v>
      </c>
      <c r="AO52" s="105">
        <f t="shared" ca="1" si="19"/>
        <v>-153211.85626508738</v>
      </c>
      <c r="AP52" s="105">
        <f t="shared" ca="1" si="19"/>
        <v>-149061.49141909054</v>
      </c>
      <c r="AQ52" s="105">
        <f t="shared" ca="1" si="19"/>
        <v>-128778.81724314509</v>
      </c>
      <c r="AR52" s="105">
        <f t="shared" ca="1" si="19"/>
        <v>-123575.6365801694</v>
      </c>
      <c r="AS52" s="105">
        <f t="shared" ref="AS52:BT52" ca="1" si="20">AS44</f>
        <v>-107006.26538451242</v>
      </c>
      <c r="AT52" s="105">
        <f t="shared" ca="1" si="20"/>
        <v>-87160.283377876622</v>
      </c>
      <c r="AU52" s="105">
        <f t="shared" ca="1" si="20"/>
        <v>-67785.493071371791</v>
      </c>
      <c r="AV52" s="105">
        <f t="shared" ca="1" si="20"/>
        <v>-28210.087155340851</v>
      </c>
      <c r="AW52" s="105">
        <f t="shared" ca="1" si="20"/>
        <v>8527.0055930564376</v>
      </c>
      <c r="AX52" s="105">
        <f t="shared" ca="1" si="20"/>
        <v>50141.62422267221</v>
      </c>
      <c r="AY52" s="105">
        <f t="shared" ca="1" si="20"/>
        <v>97508.751926225144</v>
      </c>
      <c r="AZ52" s="105">
        <f t="shared" ca="1" si="20"/>
        <v>130322.08051806378</v>
      </c>
      <c r="BA52" s="105">
        <f t="shared" ca="1" si="20"/>
        <v>175567.25500595645</v>
      </c>
      <c r="BB52" s="105">
        <f t="shared" ca="1" si="20"/>
        <v>232270.89427003768</v>
      </c>
      <c r="BC52" s="105">
        <f t="shared" ca="1" si="20"/>
        <v>283942.2564227957</v>
      </c>
      <c r="BD52" s="105">
        <f t="shared" ca="1" si="20"/>
        <v>324224.73743705649</v>
      </c>
      <c r="BE52" s="105">
        <f t="shared" ca="1" si="20"/>
        <v>361863.36970536492</v>
      </c>
      <c r="BF52" s="105">
        <f t="shared" ca="1" si="20"/>
        <v>425062.48719400179</v>
      </c>
      <c r="BG52" s="105">
        <f t="shared" ca="1" si="20"/>
        <v>469142.22385469562</v>
      </c>
      <c r="BH52" s="105">
        <f t="shared" ca="1" si="20"/>
        <v>540415.51195692283</v>
      </c>
      <c r="BI52" s="105">
        <f t="shared" ca="1" si="20"/>
        <v>799506.28158681653</v>
      </c>
      <c r="BJ52" s="105">
        <f t="shared" ca="1" si="20"/>
        <v>901428.95251429139</v>
      </c>
      <c r="BK52" s="105">
        <f t="shared" ca="1" si="20"/>
        <v>1002661.9765413391</v>
      </c>
      <c r="BL52" s="105">
        <f t="shared" ca="1" si="20"/>
        <v>1114632.2628171006</v>
      </c>
      <c r="BM52" s="105">
        <f t="shared" ca="1" si="20"/>
        <v>1229988.5171943284</v>
      </c>
      <c r="BN52" s="105">
        <f t="shared" ca="1" si="20"/>
        <v>1345684.380770013</v>
      </c>
      <c r="BO52" s="105">
        <f t="shared" ca="1" si="20"/>
        <v>1472716.4266472743</v>
      </c>
      <c r="BP52" s="105">
        <f t="shared" ca="1" si="20"/>
        <v>1608864.1565353433</v>
      </c>
      <c r="BQ52" s="105">
        <f t="shared" ca="1" si="20"/>
        <v>1740789.9971795406</v>
      </c>
      <c r="BR52" s="105">
        <f t="shared" ca="1" si="20"/>
        <v>1894057.2966127496</v>
      </c>
      <c r="BS52" s="105">
        <f t="shared" ca="1" si="20"/>
        <v>2047188.3202194679</v>
      </c>
      <c r="BT52" s="105">
        <f t="shared" ca="1" si="20"/>
        <v>2209824.2466030479</v>
      </c>
    </row>
    <row r="53" spans="9:72" x14ac:dyDescent="0.3">
      <c r="I53" s="105"/>
      <c r="J53" t="s">
        <v>89</v>
      </c>
      <c r="M53" s="105">
        <f t="shared" ref="M53:AR53" si="21">M82</f>
        <v>500000</v>
      </c>
      <c r="N53" s="105">
        <f t="shared" si="21"/>
        <v>0</v>
      </c>
      <c r="O53" s="105">
        <f t="shared" si="21"/>
        <v>0</v>
      </c>
      <c r="P53" s="105">
        <f t="shared" si="21"/>
        <v>0</v>
      </c>
      <c r="Q53" s="105">
        <f t="shared" si="21"/>
        <v>0</v>
      </c>
      <c r="R53" s="105">
        <f t="shared" si="21"/>
        <v>0</v>
      </c>
      <c r="S53" s="105">
        <f t="shared" si="21"/>
        <v>0</v>
      </c>
      <c r="T53" s="105">
        <f t="shared" si="21"/>
        <v>0</v>
      </c>
      <c r="U53" s="105">
        <f t="shared" si="21"/>
        <v>0</v>
      </c>
      <c r="V53" s="105">
        <f>V82</f>
        <v>2500000</v>
      </c>
      <c r="W53" s="105">
        <f>W82</f>
        <v>0</v>
      </c>
      <c r="X53" s="105">
        <f t="shared" si="21"/>
        <v>0</v>
      </c>
      <c r="Y53" s="105">
        <f>Y82</f>
        <v>0</v>
      </c>
      <c r="Z53" s="105">
        <f t="shared" si="21"/>
        <v>0</v>
      </c>
      <c r="AA53" s="105">
        <f t="shared" si="21"/>
        <v>0</v>
      </c>
      <c r="AB53" s="105">
        <f t="shared" si="21"/>
        <v>0</v>
      </c>
      <c r="AC53" s="105">
        <f t="shared" si="21"/>
        <v>0</v>
      </c>
      <c r="AD53" s="105">
        <f t="shared" si="21"/>
        <v>0</v>
      </c>
      <c r="AE53" s="105">
        <f t="shared" si="21"/>
        <v>0</v>
      </c>
      <c r="AF53" s="105">
        <f t="shared" si="21"/>
        <v>0</v>
      </c>
      <c r="AG53" s="105">
        <f t="shared" si="21"/>
        <v>0</v>
      </c>
      <c r="AH53" s="105">
        <f t="shared" si="21"/>
        <v>9000000</v>
      </c>
      <c r="AI53" s="105">
        <f t="shared" si="21"/>
        <v>0</v>
      </c>
      <c r="AJ53" s="105">
        <f t="shared" si="21"/>
        <v>0</v>
      </c>
      <c r="AK53" s="105">
        <f t="shared" si="21"/>
        <v>0</v>
      </c>
      <c r="AL53" s="105">
        <f t="shared" si="21"/>
        <v>0</v>
      </c>
      <c r="AM53" s="105">
        <f t="shared" si="21"/>
        <v>0</v>
      </c>
      <c r="AN53" s="105">
        <f t="shared" si="21"/>
        <v>0</v>
      </c>
      <c r="AO53" s="105">
        <f t="shared" si="21"/>
        <v>0</v>
      </c>
      <c r="AP53" s="105">
        <f t="shared" si="21"/>
        <v>0</v>
      </c>
      <c r="AQ53" s="105">
        <f t="shared" si="21"/>
        <v>0</v>
      </c>
      <c r="AR53" s="105">
        <f t="shared" si="21"/>
        <v>0</v>
      </c>
      <c r="AS53" s="105">
        <f t="shared" ref="AS53:BT53" si="22">AS82</f>
        <v>0</v>
      </c>
      <c r="AT53" s="105">
        <f t="shared" si="22"/>
        <v>0</v>
      </c>
      <c r="AU53" s="105">
        <f t="shared" si="22"/>
        <v>0</v>
      </c>
      <c r="AV53" s="105">
        <f t="shared" si="22"/>
        <v>0</v>
      </c>
      <c r="AW53" s="105">
        <f t="shared" si="22"/>
        <v>0</v>
      </c>
      <c r="AX53" s="105">
        <f t="shared" si="22"/>
        <v>0</v>
      </c>
      <c r="AY53" s="105">
        <f t="shared" si="22"/>
        <v>0</v>
      </c>
      <c r="AZ53" s="105">
        <f t="shared" si="22"/>
        <v>0</v>
      </c>
      <c r="BA53" s="105">
        <f t="shared" si="22"/>
        <v>0</v>
      </c>
      <c r="BB53" s="105">
        <f t="shared" si="22"/>
        <v>0</v>
      </c>
      <c r="BC53" s="105">
        <f t="shared" si="22"/>
        <v>0</v>
      </c>
      <c r="BD53" s="105">
        <f t="shared" si="22"/>
        <v>0</v>
      </c>
      <c r="BE53" s="105">
        <f t="shared" si="22"/>
        <v>0</v>
      </c>
      <c r="BF53" s="105">
        <f t="shared" si="22"/>
        <v>0</v>
      </c>
      <c r="BG53" s="105">
        <f t="shared" si="22"/>
        <v>0</v>
      </c>
      <c r="BH53" s="105">
        <f t="shared" si="22"/>
        <v>0</v>
      </c>
      <c r="BI53" s="105">
        <f t="shared" si="22"/>
        <v>0</v>
      </c>
      <c r="BJ53" s="105">
        <f t="shared" si="22"/>
        <v>0</v>
      </c>
      <c r="BK53" s="105">
        <f t="shared" si="22"/>
        <v>0</v>
      </c>
      <c r="BL53" s="105">
        <f t="shared" si="22"/>
        <v>0</v>
      </c>
      <c r="BM53" s="105">
        <f t="shared" si="22"/>
        <v>0</v>
      </c>
      <c r="BN53" s="105">
        <f t="shared" si="22"/>
        <v>0</v>
      </c>
      <c r="BO53" s="105">
        <f t="shared" si="22"/>
        <v>0</v>
      </c>
      <c r="BP53" s="105">
        <f t="shared" si="22"/>
        <v>0</v>
      </c>
      <c r="BQ53" s="105">
        <f t="shared" si="22"/>
        <v>0</v>
      </c>
      <c r="BR53" s="105">
        <f t="shared" si="22"/>
        <v>0</v>
      </c>
      <c r="BS53" s="105">
        <f t="shared" si="22"/>
        <v>0</v>
      </c>
      <c r="BT53" s="105">
        <f t="shared" si="22"/>
        <v>0</v>
      </c>
    </row>
    <row r="54" spans="9:72" x14ac:dyDescent="0.3">
      <c r="I54" s="105"/>
      <c r="J54" t="s">
        <v>90</v>
      </c>
      <c r="M54" s="105">
        <f>-Rev!M87</f>
        <v>0</v>
      </c>
      <c r="N54" s="105">
        <f>-Rev!N87</f>
        <v>0</v>
      </c>
      <c r="O54" s="105">
        <f>-Rev!O87</f>
        <v>0</v>
      </c>
      <c r="P54" s="105">
        <f>-Rev!P87</f>
        <v>0</v>
      </c>
      <c r="Q54" s="105">
        <f>-Rev!Q87</f>
        <v>0</v>
      </c>
      <c r="R54" s="105">
        <f>-Rev!R87</f>
        <v>0</v>
      </c>
      <c r="S54" s="105">
        <f>-Rev!S87</f>
        <v>-195</v>
      </c>
      <c r="T54" s="105">
        <f>-Rev!T87</f>
        <v>-84</v>
      </c>
      <c r="U54" s="105">
        <f>-Rev!U87</f>
        <v>-49</v>
      </c>
      <c r="V54" s="105">
        <f>-Rev!V87</f>
        <v>-40.5</v>
      </c>
      <c r="W54" s="105">
        <f>-Rev!W87</f>
        <v>-76.5</v>
      </c>
      <c r="X54" s="105">
        <f>-Rev!X87</f>
        <v>-64</v>
      </c>
      <c r="Y54" s="105">
        <f>-Rev!Y87</f>
        <v>-1988.5</v>
      </c>
      <c r="Z54" s="105">
        <f>-Rev!Z87</f>
        <v>-650.20000000001164</v>
      </c>
      <c r="AA54" s="105">
        <f>-Rev!AA87</f>
        <v>-477.89999999999418</v>
      </c>
      <c r="AB54" s="105">
        <f>-Rev!AB87</f>
        <v>-378.39999999999418</v>
      </c>
      <c r="AC54" s="105">
        <f>-Rev!AC87</f>
        <v>-224.09999999997672</v>
      </c>
      <c r="AD54" s="105">
        <f>-Rev!AD87</f>
        <v>-195.09999999997672</v>
      </c>
      <c r="AE54" s="105">
        <f>-Rev!AE87</f>
        <v>-453.90000000002328</v>
      </c>
      <c r="AF54" s="105">
        <f>-Rev!AF87</f>
        <v>-403.79999999993015</v>
      </c>
      <c r="AG54" s="105">
        <f>-Rev!AG87</f>
        <v>-529.15000000002328</v>
      </c>
      <c r="AH54" s="105">
        <f>-Rev!AH87</f>
        <v>-302.30000000004657</v>
      </c>
      <c r="AI54" s="105">
        <f>-Rev!AI87</f>
        <v>-513.34999999997672</v>
      </c>
      <c r="AJ54" s="105">
        <f>-Rev!AJ87</f>
        <v>-446.05000000004657</v>
      </c>
      <c r="AK54" s="105">
        <f>-Rev!AK87</f>
        <v>-4426.1000000000931</v>
      </c>
      <c r="AL54" s="105">
        <f>-Rev!AL87</f>
        <v>-1633.6499999999069</v>
      </c>
      <c r="AM54" s="105">
        <f>-Rev!AM87</f>
        <v>-847.5</v>
      </c>
      <c r="AN54" s="105">
        <f>-Rev!AN87</f>
        <v>-1287.5</v>
      </c>
      <c r="AO54" s="105">
        <f>-Rev!AO87</f>
        <v>-1421.7000000001863</v>
      </c>
      <c r="AP54" s="105">
        <f>-Rev!AP87</f>
        <v>-1313.8999999999069</v>
      </c>
      <c r="AQ54" s="105">
        <f>-Rev!AQ87</f>
        <v>-1268.1000000000931</v>
      </c>
      <c r="AR54" s="105">
        <f>-Rev!AR87</f>
        <v>-1234.6000000000931</v>
      </c>
      <c r="AS54" s="105">
        <f>-Rev!AS87</f>
        <v>-1524.2999999998137</v>
      </c>
      <c r="AT54" s="105">
        <f>-Rev!AT87</f>
        <v>-1822.3999999999069</v>
      </c>
      <c r="AU54" s="105">
        <f>-Rev!AU87</f>
        <v>-1327.7000000001863</v>
      </c>
      <c r="AV54" s="105">
        <f>-Rev!AV87</f>
        <v>-2236.7000000001863</v>
      </c>
      <c r="AW54" s="105">
        <f>-Rev!AW87</f>
        <v>-8813.7000000001863</v>
      </c>
      <c r="AX54" s="105">
        <f>-Rev!AX87</f>
        <v>-4498.4000000003725</v>
      </c>
      <c r="AY54" s="105">
        <f>-Rev!AY87</f>
        <v>-3650.9000000003725</v>
      </c>
      <c r="AZ54" s="105">
        <f>-Rev!AZ87</f>
        <v>-2802</v>
      </c>
      <c r="BA54" s="105">
        <f>-Rev!BA87</f>
        <v>-3478.3999999994412</v>
      </c>
      <c r="BB54" s="105">
        <f>-Rev!BB87</f>
        <v>-3546.8000000007451</v>
      </c>
      <c r="BC54" s="105">
        <f>-Rev!BC87</f>
        <v>-5033.1999999992549</v>
      </c>
      <c r="BD54" s="105">
        <f>-Rev!BD87</f>
        <v>-4349.0999999996275</v>
      </c>
      <c r="BE54" s="105">
        <f>-Rev!BE87</f>
        <v>-3952</v>
      </c>
      <c r="BF54" s="105">
        <f>-Rev!BF87</f>
        <v>-4786.5</v>
      </c>
      <c r="BG54" s="105">
        <f>-Rev!BG87</f>
        <v>-4487.9000000003725</v>
      </c>
      <c r="BH54" s="105">
        <f>-Rev!BH87</f>
        <v>-5392.6999999992549</v>
      </c>
      <c r="BI54" s="105">
        <f>-Rev!BI87</f>
        <v>-19711.60000000149</v>
      </c>
      <c r="BJ54" s="105">
        <f>-Rev!BJ87</f>
        <v>-10636.89999999851</v>
      </c>
      <c r="BK54" s="105">
        <f>-Rev!BK87</f>
        <v>-8063.1999999992549</v>
      </c>
      <c r="BL54" s="105">
        <f>-Rev!BL87</f>
        <v>-8712.8999999985099</v>
      </c>
      <c r="BM54" s="105">
        <f>-Rev!BM87</f>
        <v>-9079.1000000014901</v>
      </c>
      <c r="BN54" s="105">
        <f>-Rev!BN87</f>
        <v>-9165.8000000007451</v>
      </c>
      <c r="BO54" s="105">
        <f>-Rev!BO87</f>
        <v>-9903.5</v>
      </c>
      <c r="BP54" s="105">
        <f>-Rev!BP87</f>
        <v>-10645.89999999851</v>
      </c>
      <c r="BQ54" s="105">
        <f>-Rev!BQ87</f>
        <v>-10517.20000000298</v>
      </c>
      <c r="BR54" s="105">
        <f>-Rev!BR87</f>
        <v>-11834.60000000149</v>
      </c>
      <c r="BS54" s="105">
        <f>-Rev!BS87</f>
        <v>-12118</v>
      </c>
      <c r="BT54" s="105">
        <f>-Rev!BT87</f>
        <v>-12743.5</v>
      </c>
    </row>
    <row r="55" spans="9:72" x14ac:dyDescent="0.3">
      <c r="I55" s="105"/>
      <c r="J55" t="s">
        <v>91</v>
      </c>
      <c r="M55" s="105">
        <f>-CapEx!M20</f>
        <v>-28000</v>
      </c>
      <c r="N55" s="105">
        <f>-CapEx!N20</f>
        <v>0</v>
      </c>
      <c r="O55" s="105">
        <f>CapEx!O20</f>
        <v>0</v>
      </c>
      <c r="P55" s="105">
        <f>-CapEx!P20</f>
        <v>0</v>
      </c>
      <c r="Q55" s="105">
        <f>-CapEx!Q20</f>
        <v>0</v>
      </c>
      <c r="R55" s="105">
        <f>-CapEx!R20</f>
        <v>0</v>
      </c>
      <c r="S55" s="105">
        <f>-CapEx!S20</f>
        <v>0</v>
      </c>
      <c r="T55" s="105">
        <f>-CapEx!T20</f>
        <v>0</v>
      </c>
      <c r="U55" s="105">
        <f>-CapEx!U20</f>
        <v>0</v>
      </c>
      <c r="V55" s="105">
        <f>-CapEx!V20</f>
        <v>0</v>
      </c>
      <c r="W55" s="105">
        <f>-CapEx!W20</f>
        <v>0</v>
      </c>
      <c r="X55" s="105">
        <f>-CapEx!X20</f>
        <v>0</v>
      </c>
      <c r="Y55" s="105">
        <f>-CapEx!Y20</f>
        <v>-15000</v>
      </c>
      <c r="Z55" s="105">
        <f>-CapEx!Z20</f>
        <v>0</v>
      </c>
      <c r="AA55" s="105">
        <f>-CapEx!AA20</f>
        <v>0</v>
      </c>
      <c r="AB55" s="105">
        <f>-CapEx!AB20</f>
        <v>0</v>
      </c>
      <c r="AC55" s="105">
        <f>-CapEx!AC20</f>
        <v>0</v>
      </c>
      <c r="AD55" s="105">
        <f>-CapEx!AD20</f>
        <v>0</v>
      </c>
      <c r="AE55" s="105">
        <f>-CapEx!AE20</f>
        <v>0</v>
      </c>
      <c r="AF55" s="105">
        <f>-CapEx!AF20</f>
        <v>0</v>
      </c>
      <c r="AG55" s="105">
        <f>-CapEx!AG20</f>
        <v>0</v>
      </c>
      <c r="AH55" s="105">
        <f>-CapEx!AH20</f>
        <v>0</v>
      </c>
      <c r="AI55" s="105">
        <f>-CapEx!AI20</f>
        <v>0</v>
      </c>
      <c r="AJ55" s="105">
        <f>-CapEx!AJ20</f>
        <v>0</v>
      </c>
      <c r="AK55" s="105">
        <f>-CapEx!AK20</f>
        <v>-24000</v>
      </c>
      <c r="AL55" s="105">
        <f>-CapEx!AL20</f>
        <v>0</v>
      </c>
      <c r="AM55" s="105">
        <f>-CapEx!AM20</f>
        <v>0</v>
      </c>
      <c r="AN55" s="105">
        <f>-CapEx!AN20</f>
        <v>0</v>
      </c>
      <c r="AO55" s="105">
        <f>-CapEx!AO20</f>
        <v>0</v>
      </c>
      <c r="AP55" s="105">
        <f>-CapEx!AP20</f>
        <v>0</v>
      </c>
      <c r="AQ55" s="105">
        <f>-CapEx!AQ20</f>
        <v>0</v>
      </c>
      <c r="AR55" s="105">
        <f>-CapEx!AR20</f>
        <v>0</v>
      </c>
      <c r="AS55" s="105">
        <f>-CapEx!AS20</f>
        <v>0</v>
      </c>
      <c r="AT55" s="105">
        <f>-CapEx!AT20</f>
        <v>0</v>
      </c>
      <c r="AU55" s="105">
        <f>-CapEx!AU20</f>
        <v>0</v>
      </c>
      <c r="AV55" s="105">
        <f>-CapEx!AV20</f>
        <v>0</v>
      </c>
      <c r="AW55" s="105">
        <f>-CapEx!AW20</f>
        <v>-21000</v>
      </c>
      <c r="AX55" s="105">
        <f>-CapEx!AX20</f>
        <v>0</v>
      </c>
      <c r="AY55" s="105">
        <f>-CapEx!AY20</f>
        <v>0</v>
      </c>
      <c r="AZ55" s="105">
        <f>-CapEx!AZ20</f>
        <v>0</v>
      </c>
      <c r="BA55" s="105">
        <f>-CapEx!BA20</f>
        <v>0</v>
      </c>
      <c r="BB55" s="105">
        <f>-CapEx!BB20</f>
        <v>0</v>
      </c>
      <c r="BC55" s="105">
        <f>-CapEx!BC20</f>
        <v>0</v>
      </c>
      <c r="BD55" s="105">
        <f>-CapEx!BD20</f>
        <v>0</v>
      </c>
      <c r="BE55" s="105">
        <f>-CapEx!BE20</f>
        <v>0</v>
      </c>
      <c r="BF55" s="105">
        <f>-CapEx!BF20</f>
        <v>0</v>
      </c>
      <c r="BG55" s="105">
        <f>-CapEx!BG20</f>
        <v>0</v>
      </c>
      <c r="BH55" s="105">
        <f>-CapEx!BH20</f>
        <v>0</v>
      </c>
      <c r="BI55" s="105">
        <f>-CapEx!BI20</f>
        <v>0</v>
      </c>
      <c r="BJ55" s="105">
        <f>-CapEx!BJ20</f>
        <v>0</v>
      </c>
      <c r="BK55" s="105">
        <f>-CapEx!BK20</f>
        <v>0</v>
      </c>
      <c r="BL55" s="105">
        <f>-CapEx!BL20</f>
        <v>0</v>
      </c>
      <c r="BM55" s="105">
        <f>-CapEx!BM20</f>
        <v>0</v>
      </c>
      <c r="BN55" s="105">
        <f>-CapEx!BN20</f>
        <v>0</v>
      </c>
      <c r="BO55" s="105">
        <f>-CapEx!BO20</f>
        <v>0</v>
      </c>
      <c r="BP55" s="105">
        <f>-CapEx!BP20</f>
        <v>0</v>
      </c>
      <c r="BQ55" s="105">
        <f>-CapEx!BQ20</f>
        <v>0</v>
      </c>
      <c r="BR55" s="105">
        <f>-CapEx!BR20</f>
        <v>0</v>
      </c>
      <c r="BS55" s="105">
        <f>-CapEx!BS20</f>
        <v>0</v>
      </c>
      <c r="BT55" s="105">
        <f>-CapEx!BT20</f>
        <v>0</v>
      </c>
    </row>
    <row r="56" spans="9:72" x14ac:dyDescent="0.3">
      <c r="I56" s="105"/>
      <c r="J56" t="s">
        <v>92</v>
      </c>
      <c r="M56" s="105">
        <f>Loan!M13</f>
        <v>250000</v>
      </c>
      <c r="N56" s="105">
        <f>Loan!N13</f>
        <v>0</v>
      </c>
      <c r="O56" s="105">
        <f>Loan!O13</f>
        <v>0</v>
      </c>
      <c r="P56" s="105">
        <f>Loan!P13</f>
        <v>0</v>
      </c>
      <c r="Q56" s="105">
        <f>Loan!Q13</f>
        <v>0</v>
      </c>
      <c r="R56" s="105">
        <f>Loan!R13</f>
        <v>0</v>
      </c>
      <c r="S56" s="105">
        <f>Loan!S13</f>
        <v>0</v>
      </c>
      <c r="T56" s="105">
        <f>Loan!T13</f>
        <v>0</v>
      </c>
      <c r="U56" s="105">
        <f>Loan!U13</f>
        <v>0</v>
      </c>
      <c r="V56" s="105">
        <f>Loan!V13</f>
        <v>0</v>
      </c>
      <c r="W56" s="105">
        <f>Loan!W13</f>
        <v>0</v>
      </c>
      <c r="X56" s="105">
        <f>Loan!X13</f>
        <v>0</v>
      </c>
      <c r="Y56" s="105">
        <f>Loan!Y13</f>
        <v>0</v>
      </c>
      <c r="Z56" s="105">
        <f>Loan!Z13</f>
        <v>0</v>
      </c>
      <c r="AA56" s="105">
        <f>Loan!AA13</f>
        <v>0</v>
      </c>
      <c r="AB56" s="105">
        <f>Loan!AB13</f>
        <v>0</v>
      </c>
      <c r="AC56" s="105">
        <f>Loan!AC13</f>
        <v>0</v>
      </c>
      <c r="AD56" s="105">
        <f>Loan!AD13</f>
        <v>0</v>
      </c>
      <c r="AE56" s="105">
        <f>Loan!AE13</f>
        <v>0</v>
      </c>
      <c r="AF56" s="105">
        <f>Loan!AF13</f>
        <v>0</v>
      </c>
      <c r="AG56" s="105">
        <f>Loan!AG13</f>
        <v>0</v>
      </c>
      <c r="AH56" s="105">
        <f>Loan!AH13</f>
        <v>0</v>
      </c>
      <c r="AI56" s="105">
        <f>Loan!AI13</f>
        <v>0</v>
      </c>
      <c r="AJ56" s="105">
        <f>Loan!AJ13</f>
        <v>0</v>
      </c>
      <c r="AK56" s="105">
        <f>Loan!AK13</f>
        <v>0</v>
      </c>
      <c r="AL56" s="105">
        <f>Loan!AL13</f>
        <v>0</v>
      </c>
      <c r="AM56" s="105">
        <f>Loan!AM13</f>
        <v>0</v>
      </c>
      <c r="AN56" s="105">
        <f>Loan!AN13</f>
        <v>0</v>
      </c>
      <c r="AO56" s="105">
        <f>Loan!AO13</f>
        <v>0</v>
      </c>
      <c r="AP56" s="105">
        <f>Loan!AP13</f>
        <v>0</v>
      </c>
      <c r="AQ56" s="105">
        <f>Loan!AQ13</f>
        <v>0</v>
      </c>
      <c r="AR56" s="105">
        <f>Loan!AR13</f>
        <v>0</v>
      </c>
      <c r="AS56" s="105">
        <f>Loan!AS13</f>
        <v>0</v>
      </c>
      <c r="AT56" s="105">
        <f>Loan!AT13</f>
        <v>0</v>
      </c>
      <c r="AU56" s="105">
        <f>Loan!AU13</f>
        <v>0</v>
      </c>
      <c r="AV56" s="105">
        <f>Loan!AV13</f>
        <v>0</v>
      </c>
      <c r="AW56" s="105">
        <f>Loan!AW13</f>
        <v>0</v>
      </c>
      <c r="AX56" s="105">
        <f>Loan!AX13</f>
        <v>0</v>
      </c>
      <c r="AY56" s="105">
        <f>Loan!AY13</f>
        <v>0</v>
      </c>
      <c r="AZ56" s="105">
        <f>Loan!AZ13</f>
        <v>0</v>
      </c>
      <c r="BA56" s="105">
        <f>Loan!BA13</f>
        <v>0</v>
      </c>
      <c r="BB56" s="105">
        <f>Loan!BB13</f>
        <v>0</v>
      </c>
      <c r="BC56" s="105">
        <f>Loan!BC13</f>
        <v>0</v>
      </c>
      <c r="BD56" s="105">
        <f>Loan!BD13</f>
        <v>0</v>
      </c>
      <c r="BE56" s="105">
        <f>Loan!BE13</f>
        <v>0</v>
      </c>
      <c r="BF56" s="105">
        <f>Loan!BF13</f>
        <v>0</v>
      </c>
      <c r="BG56" s="105">
        <f>Loan!BG13</f>
        <v>0</v>
      </c>
      <c r="BH56" s="105">
        <f>Loan!BH13</f>
        <v>0</v>
      </c>
      <c r="BI56" s="105">
        <f>Loan!BI13</f>
        <v>0</v>
      </c>
      <c r="BJ56" s="105">
        <f>Loan!BJ13</f>
        <v>0</v>
      </c>
      <c r="BK56" s="105">
        <f>Loan!BK13</f>
        <v>0</v>
      </c>
      <c r="BL56" s="105">
        <f>Loan!BL13</f>
        <v>0</v>
      </c>
      <c r="BM56" s="105">
        <f>Loan!BM13</f>
        <v>0</v>
      </c>
      <c r="BN56" s="105">
        <f>Loan!BN13</f>
        <v>0</v>
      </c>
      <c r="BO56" s="105">
        <f>Loan!BO13</f>
        <v>0</v>
      </c>
      <c r="BP56" s="105">
        <f>Loan!BP13</f>
        <v>0</v>
      </c>
      <c r="BQ56" s="105">
        <f>Loan!BQ13</f>
        <v>0</v>
      </c>
      <c r="BR56" s="105">
        <f>Loan!BR13</f>
        <v>0</v>
      </c>
      <c r="BS56" s="105">
        <f>Loan!BS13</f>
        <v>0</v>
      </c>
      <c r="BT56" s="105">
        <f>Loan!BT13</f>
        <v>0</v>
      </c>
    </row>
    <row r="57" spans="9:72" x14ac:dyDescent="0.3">
      <c r="I57" s="105"/>
      <c r="J57" t="s">
        <v>93</v>
      </c>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c r="AZ57" s="106"/>
      <c r="BA57" s="106"/>
      <c r="BB57" s="106"/>
      <c r="BC57" s="106"/>
      <c r="BD57" s="106"/>
      <c r="BE57" s="106"/>
      <c r="BF57" s="106"/>
      <c r="BG57" s="106"/>
      <c r="BH57" s="106"/>
      <c r="BI57" s="106"/>
      <c r="BJ57" s="106"/>
      <c r="BK57" s="106"/>
      <c r="BL57" s="106"/>
      <c r="BM57" s="106"/>
      <c r="BN57" s="106"/>
      <c r="BO57" s="106"/>
      <c r="BP57" s="106"/>
      <c r="BQ57" s="106"/>
      <c r="BR57" s="106"/>
      <c r="BS57" s="106"/>
      <c r="BT57" s="106"/>
    </row>
    <row r="58" spans="9:72" x14ac:dyDescent="0.3">
      <c r="I58" s="105"/>
      <c r="J58" t="s">
        <v>94</v>
      </c>
      <c r="M58" s="105">
        <f>CapEx!M9</f>
        <v>466.66666666666663</v>
      </c>
      <c r="N58" s="105">
        <f>CapEx!N9</f>
        <v>466.66666666666663</v>
      </c>
      <c r="O58" s="105">
        <f>CapEx!O9</f>
        <v>466.66666666666663</v>
      </c>
      <c r="P58" s="105">
        <f>CapEx!P9</f>
        <v>466.66666666666663</v>
      </c>
      <c r="Q58" s="105">
        <f>CapEx!Q9</f>
        <v>466.66666666666663</v>
      </c>
      <c r="R58" s="105">
        <f>CapEx!R9</f>
        <v>466.66666666666663</v>
      </c>
      <c r="S58" s="105">
        <f>CapEx!S9</f>
        <v>466.66666666666663</v>
      </c>
      <c r="T58" s="105">
        <f>CapEx!T9</f>
        <v>466.66666666666663</v>
      </c>
      <c r="U58" s="105">
        <f>CapEx!U9</f>
        <v>466.66666666666663</v>
      </c>
      <c r="V58" s="105">
        <f>CapEx!V9</f>
        <v>466.66666666666663</v>
      </c>
      <c r="W58" s="105">
        <f>CapEx!W9</f>
        <v>466.66666666666663</v>
      </c>
      <c r="X58" s="105">
        <f>CapEx!X9</f>
        <v>466.66666666666663</v>
      </c>
      <c r="Y58" s="105">
        <f ca="1">CapEx!Y9</f>
        <v>716.66666666666652</v>
      </c>
      <c r="Z58" s="105">
        <f ca="1">CapEx!Z9</f>
        <v>716.66666666666652</v>
      </c>
      <c r="AA58" s="105">
        <f ca="1">CapEx!AA9</f>
        <v>716.66666666666652</v>
      </c>
      <c r="AB58" s="105">
        <f ca="1">CapEx!AB9</f>
        <v>716.66666666666652</v>
      </c>
      <c r="AC58" s="105">
        <f ca="1">CapEx!AC9</f>
        <v>716.66666666666652</v>
      </c>
      <c r="AD58" s="105">
        <f ca="1">CapEx!AD9</f>
        <v>716.66666666666652</v>
      </c>
      <c r="AE58" s="105">
        <f ca="1">CapEx!AE9</f>
        <v>716.66666666666652</v>
      </c>
      <c r="AF58" s="105">
        <f ca="1">CapEx!AF9</f>
        <v>716.66666666666652</v>
      </c>
      <c r="AG58" s="105">
        <f ca="1">CapEx!AG9</f>
        <v>716.66666666666652</v>
      </c>
      <c r="AH58" s="105">
        <f ca="1">CapEx!AH9</f>
        <v>716.66666666666652</v>
      </c>
      <c r="AI58" s="105">
        <f ca="1">CapEx!AI9</f>
        <v>716.66666666666652</v>
      </c>
      <c r="AJ58" s="105">
        <f ca="1">CapEx!AJ9</f>
        <v>716.66666666666652</v>
      </c>
      <c r="AK58" s="105">
        <f ca="1">CapEx!AK9</f>
        <v>1116.6666666666665</v>
      </c>
      <c r="AL58" s="105">
        <f ca="1">CapEx!AL9</f>
        <v>1116.6666666666665</v>
      </c>
      <c r="AM58" s="105">
        <f ca="1">CapEx!AM9</f>
        <v>1116.6666666666665</v>
      </c>
      <c r="AN58" s="105">
        <f ca="1">CapEx!AN9</f>
        <v>1116.6666666666665</v>
      </c>
      <c r="AO58" s="105">
        <f ca="1">CapEx!AO9</f>
        <v>1116.6666666666665</v>
      </c>
      <c r="AP58" s="105">
        <f ca="1">CapEx!AP9</f>
        <v>1116.6666666666665</v>
      </c>
      <c r="AQ58" s="105">
        <f ca="1">CapEx!AQ9</f>
        <v>1116.6666666666665</v>
      </c>
      <c r="AR58" s="105">
        <f ca="1">CapEx!AR9</f>
        <v>1116.6666666666665</v>
      </c>
      <c r="AS58" s="105">
        <f ca="1">CapEx!AS9</f>
        <v>1116.6666666666665</v>
      </c>
      <c r="AT58" s="105">
        <f ca="1">CapEx!AT9</f>
        <v>1116.6666666666665</v>
      </c>
      <c r="AU58" s="105">
        <f ca="1">CapEx!AU9</f>
        <v>1116.6666666666665</v>
      </c>
      <c r="AV58" s="105">
        <f ca="1">CapEx!AV9</f>
        <v>1116.6666666666665</v>
      </c>
      <c r="AW58" s="105">
        <f ca="1">CapEx!AW9</f>
        <v>1466.6666666666667</v>
      </c>
      <c r="AX58" s="105">
        <f ca="1">CapEx!AX9</f>
        <v>1466.6666666666667</v>
      </c>
      <c r="AY58" s="105">
        <f ca="1">CapEx!AY9</f>
        <v>1466.6666666666667</v>
      </c>
      <c r="AZ58" s="105">
        <f ca="1">CapEx!AZ9</f>
        <v>1466.6666666666667</v>
      </c>
      <c r="BA58" s="105">
        <f ca="1">CapEx!BA9</f>
        <v>1466.6666666666667</v>
      </c>
      <c r="BB58" s="105">
        <f ca="1">CapEx!BB9</f>
        <v>1466.6666666666667</v>
      </c>
      <c r="BC58" s="105">
        <f ca="1">CapEx!BC9</f>
        <v>1466.6666666666667</v>
      </c>
      <c r="BD58" s="105">
        <f ca="1">CapEx!BD9</f>
        <v>1466.6666666666667</v>
      </c>
      <c r="BE58" s="105">
        <f ca="1">CapEx!BE9</f>
        <v>1466.6666666666667</v>
      </c>
      <c r="BF58" s="105">
        <f ca="1">CapEx!BF9</f>
        <v>1466.6666666666667</v>
      </c>
      <c r="BG58" s="105">
        <f ca="1">CapEx!BG9</f>
        <v>1466.6666666666667</v>
      </c>
      <c r="BH58" s="105">
        <f ca="1">CapEx!BH9</f>
        <v>1466.6666666666667</v>
      </c>
      <c r="BI58" s="105">
        <f ca="1">CapEx!BI9</f>
        <v>1466.6666666666667</v>
      </c>
      <c r="BJ58" s="105">
        <f ca="1">CapEx!BJ9</f>
        <v>1466.6666666666667</v>
      </c>
      <c r="BK58" s="105">
        <f ca="1">CapEx!BK9</f>
        <v>1466.6666666666667</v>
      </c>
      <c r="BL58" s="105">
        <f ca="1">CapEx!BL9</f>
        <v>1466.6666666666667</v>
      </c>
      <c r="BM58" s="105">
        <f ca="1">CapEx!BM9</f>
        <v>1466.6666666666667</v>
      </c>
      <c r="BN58" s="105">
        <f ca="1">CapEx!BN9</f>
        <v>1466.6666666666667</v>
      </c>
      <c r="BO58" s="105">
        <f ca="1">CapEx!BO9</f>
        <v>1466.6666666666667</v>
      </c>
      <c r="BP58" s="105">
        <f ca="1">CapEx!BP9</f>
        <v>1466.6666666666667</v>
      </c>
      <c r="BQ58" s="105">
        <f ca="1">CapEx!BQ9</f>
        <v>1466.6666666666667</v>
      </c>
      <c r="BR58" s="105">
        <f ca="1">CapEx!BR9</f>
        <v>1466.6666666666667</v>
      </c>
      <c r="BS58" s="105">
        <f ca="1">CapEx!BS9</f>
        <v>1466.6666666666667</v>
      </c>
      <c r="BT58" s="105">
        <f ca="1">CapEx!BT9</f>
        <v>1466.6666666666667</v>
      </c>
    </row>
    <row r="59" spans="9:72" x14ac:dyDescent="0.3">
      <c r="I59" s="105"/>
      <c r="J59" t="s">
        <v>95</v>
      </c>
      <c r="M59" s="105">
        <f>-Loan!M8</f>
        <v>-3402.4319054367534</v>
      </c>
      <c r="N59" s="105">
        <f>-Loan!N8</f>
        <v>-3425.114784806332</v>
      </c>
      <c r="O59" s="105">
        <f>-Loan!O8</f>
        <v>-3447.9488833717078</v>
      </c>
      <c r="P59" s="105">
        <f>-Loan!P8</f>
        <v>-3470.9352092608524</v>
      </c>
      <c r="Q59" s="105">
        <f>-Loan!Q8</f>
        <v>-3494.0747773225912</v>
      </c>
      <c r="R59" s="105">
        <f>-Loan!R8</f>
        <v>-3517.3686091714085</v>
      </c>
      <c r="S59" s="105">
        <f>-Loan!S8</f>
        <v>-3540.8177332325513</v>
      </c>
      <c r="T59" s="105">
        <f>-Loan!T8</f>
        <v>-3564.4231847874353</v>
      </c>
      <c r="U59" s="105">
        <f>-Loan!U8</f>
        <v>-3588.1860060193512</v>
      </c>
      <c r="V59" s="105">
        <f>-Loan!V8</f>
        <v>-3612.1072460594805</v>
      </c>
      <c r="W59" s="105">
        <f>-Loan!W8</f>
        <v>-3636.1879610332103</v>
      </c>
      <c r="X59" s="105">
        <f>-Loan!X8</f>
        <v>-3660.4292141067649</v>
      </c>
      <c r="Y59" s="105">
        <f>-Loan!Y8</f>
        <v>-3684.8320755341433</v>
      </c>
      <c r="Z59" s="105">
        <f>-Loan!Z8</f>
        <v>-3709.3976227043709</v>
      </c>
      <c r="AA59" s="105">
        <f>-Loan!AA8</f>
        <v>-3734.1269401890668</v>
      </c>
      <c r="AB59" s="105">
        <f>-Loan!AB8</f>
        <v>-3759.0211197903272</v>
      </c>
      <c r="AC59" s="105">
        <f>-Loan!AC8</f>
        <v>-3784.0812605889296</v>
      </c>
      <c r="AD59" s="105">
        <f>-Loan!AD8</f>
        <v>-3809.3084689928555</v>
      </c>
      <c r="AE59" s="105">
        <f>-Loan!AE8</f>
        <v>-3834.7038587861412</v>
      </c>
      <c r="AF59" s="105">
        <f>-Loan!AF8</f>
        <v>-3860.2685511780492</v>
      </c>
      <c r="AG59" s="105">
        <f>-Loan!AG8</f>
        <v>-3886.003674852569</v>
      </c>
      <c r="AH59" s="105">
        <f>-Loan!AH8</f>
        <v>-3911.9103660182527</v>
      </c>
      <c r="AI59" s="105">
        <f>-Loan!AI8</f>
        <v>-3937.9897684583748</v>
      </c>
      <c r="AJ59" s="105">
        <f>-Loan!AJ8</f>
        <v>-3964.2430335814306</v>
      </c>
      <c r="AK59" s="105">
        <f>-Loan!AK8</f>
        <v>-3990.6713204719736</v>
      </c>
      <c r="AL59" s="105">
        <f>-Loan!AL8</f>
        <v>-4017.2757959417868</v>
      </c>
      <c r="AM59" s="105">
        <f>-Loan!AM8</f>
        <v>-4044.0576345813988</v>
      </c>
      <c r="AN59" s="105">
        <f>-Loan!AN8</f>
        <v>-4071.0180188119411</v>
      </c>
      <c r="AO59" s="105">
        <f>-Loan!AO8</f>
        <v>-4098.1581389373541</v>
      </c>
      <c r="AP59" s="105">
        <f>-Loan!AP8</f>
        <v>-4125.4791931969366</v>
      </c>
      <c r="AQ59" s="105">
        <f>-Loan!AQ8</f>
        <v>-4152.9823878182497</v>
      </c>
      <c r="AR59" s="105">
        <f>-Loan!AR8</f>
        <v>-4180.6689370703707</v>
      </c>
      <c r="AS59" s="105">
        <f>-Loan!AS8</f>
        <v>-4208.5400633175068</v>
      </c>
      <c r="AT59" s="105">
        <f>-Loan!AT8</f>
        <v>-4236.5969970729566</v>
      </c>
      <c r="AU59" s="105">
        <f>-Loan!AU8</f>
        <v>-4264.8409770534436</v>
      </c>
      <c r="AV59" s="105">
        <f>-Loan!AV8</f>
        <v>-4293.2732502337994</v>
      </c>
      <c r="AW59" s="105">
        <f>-Loan!AW8</f>
        <v>-4321.8950719020249</v>
      </c>
      <c r="AX59" s="105">
        <f>-Loan!AX8</f>
        <v>-4350.7077057147053</v>
      </c>
      <c r="AY59" s="105">
        <f>-Loan!AY8</f>
        <v>-4379.7124237528033</v>
      </c>
      <c r="AZ59" s="105">
        <f>-Loan!AZ8</f>
        <v>-4408.9105065778222</v>
      </c>
      <c r="BA59" s="105">
        <f>-Loan!BA8</f>
        <v>-4438.303243288341</v>
      </c>
      <c r="BB59" s="105">
        <f>-Loan!BB8</f>
        <v>-4467.8919315769299</v>
      </c>
      <c r="BC59" s="105">
        <f>-Loan!BC8</f>
        <v>-4497.6778777874424</v>
      </c>
      <c r="BD59" s="105">
        <f>-Loan!BD8</f>
        <v>-4527.6623969726916</v>
      </c>
      <c r="BE59" s="105">
        <f>-Loan!BE8</f>
        <v>-4557.8468129525099</v>
      </c>
      <c r="BF59" s="105">
        <f>-Loan!BF8</f>
        <v>-4588.2324583721938</v>
      </c>
      <c r="BG59" s="105">
        <f>-Loan!BG8</f>
        <v>-4618.8206747613413</v>
      </c>
      <c r="BH59" s="105">
        <f>-Loan!BH8</f>
        <v>-4649.6128125930836</v>
      </c>
      <c r="BI59" s="105">
        <f>-Loan!BI8</f>
        <v>-4680.6102313437041</v>
      </c>
      <c r="BJ59" s="105">
        <f>-Loan!BJ8</f>
        <v>-4711.8142995526623</v>
      </c>
      <c r="BK59" s="105">
        <f>-Loan!BK8</f>
        <v>-4743.2263948830132</v>
      </c>
      <c r="BL59" s="105">
        <f>-Loan!BL8</f>
        <v>-4774.8479041822338</v>
      </c>
      <c r="BM59" s="105">
        <f>-Loan!BM8</f>
        <v>-4806.6802235434479</v>
      </c>
      <c r="BN59" s="105">
        <f>-Loan!BN8</f>
        <v>-4838.7247583670714</v>
      </c>
      <c r="BO59" s="105">
        <f>-Loan!BO8</f>
        <v>-4870.9829234228519</v>
      </c>
      <c r="BP59" s="105">
        <f>-Loan!BP8</f>
        <v>-4903.4561429123378</v>
      </c>
      <c r="BQ59" s="105">
        <f>-Loan!BQ8</f>
        <v>-4936.1458505317532</v>
      </c>
      <c r="BR59" s="105">
        <f>-Loan!BR8</f>
        <v>-4969.0534895352985</v>
      </c>
      <c r="BS59" s="105">
        <f>-Loan!BS8</f>
        <v>-5002.1805127988664</v>
      </c>
      <c r="BT59" s="105">
        <f>-Loan!BT8</f>
        <v>-5035.528382884193</v>
      </c>
    </row>
    <row r="60" spans="9:72" x14ac:dyDescent="0.3">
      <c r="I60" s="105"/>
      <c r="J60" t="s">
        <v>255</v>
      </c>
      <c r="M60" s="105">
        <f>'G&amp;A'!M62</f>
        <v>28750</v>
      </c>
      <c r="N60" s="105">
        <f>'G&amp;A'!N62</f>
        <v>28750</v>
      </c>
      <c r="O60" s="105">
        <f>'G&amp;A'!O62</f>
        <v>28750</v>
      </c>
      <c r="P60" s="105">
        <f>'G&amp;A'!P62</f>
        <v>28750</v>
      </c>
      <c r="Q60" s="105">
        <f>'G&amp;A'!Q62</f>
        <v>28750</v>
      </c>
      <c r="R60" s="105">
        <f>'G&amp;A'!R62</f>
        <v>28750</v>
      </c>
      <c r="S60" s="105">
        <f>'G&amp;A'!S62</f>
        <v>28750</v>
      </c>
      <c r="T60" s="105">
        <f>'G&amp;A'!T62</f>
        <v>28750</v>
      </c>
      <c r="U60" s="105">
        <f>'G&amp;A'!U62</f>
        <v>28750</v>
      </c>
      <c r="V60" s="105">
        <f>'G&amp;A'!V62</f>
        <v>28750</v>
      </c>
      <c r="W60" s="105">
        <f>'G&amp;A'!W62</f>
        <v>28750</v>
      </c>
      <c r="X60" s="105">
        <f>'G&amp;A'!X62</f>
        <v>28750</v>
      </c>
      <c r="Y60" s="105">
        <f>'G&amp;A'!Y62</f>
        <v>28750</v>
      </c>
      <c r="Z60" s="105">
        <f>'G&amp;A'!Z62</f>
        <v>28750</v>
      </c>
      <c r="AA60" s="105">
        <f>'G&amp;A'!AA62</f>
        <v>28750</v>
      </c>
      <c r="AB60" s="105">
        <f>'G&amp;A'!AB62</f>
        <v>28750</v>
      </c>
      <c r="AC60" s="105">
        <f>'G&amp;A'!AC62</f>
        <v>28750</v>
      </c>
      <c r="AD60" s="105">
        <f>'G&amp;A'!AD62</f>
        <v>28750</v>
      </c>
      <c r="AE60" s="105">
        <f>'G&amp;A'!AE62</f>
        <v>28750</v>
      </c>
      <c r="AF60" s="105">
        <f>'G&amp;A'!AF62</f>
        <v>28750</v>
      </c>
      <c r="AG60" s="105">
        <f>'G&amp;A'!AG62</f>
        <v>0</v>
      </c>
      <c r="AH60" s="105">
        <f>'G&amp;A'!AH62</f>
        <v>0</v>
      </c>
      <c r="AI60" s="105">
        <f>'G&amp;A'!AI62</f>
        <v>0</v>
      </c>
      <c r="AJ60" s="105">
        <f>'G&amp;A'!AJ62</f>
        <v>0</v>
      </c>
      <c r="AK60" s="105">
        <f>'G&amp;A'!AK62</f>
        <v>0</v>
      </c>
      <c r="AL60" s="105">
        <f>'G&amp;A'!AL62</f>
        <v>0</v>
      </c>
      <c r="AM60" s="105">
        <f>'G&amp;A'!AM62</f>
        <v>0</v>
      </c>
      <c r="AN60" s="105">
        <f>'G&amp;A'!AN62</f>
        <v>0</v>
      </c>
      <c r="AO60" s="105">
        <f>'G&amp;A'!AO62</f>
        <v>0</v>
      </c>
      <c r="AP60" s="105">
        <f>'G&amp;A'!AP62</f>
        <v>0</v>
      </c>
      <c r="AQ60" s="105">
        <f>'G&amp;A'!AQ62</f>
        <v>0</v>
      </c>
      <c r="AR60" s="105">
        <f>'G&amp;A'!AR62</f>
        <v>0</v>
      </c>
      <c r="AS60" s="105">
        <f>'G&amp;A'!AS62</f>
        <v>0</v>
      </c>
      <c r="AT60" s="105">
        <f>'G&amp;A'!AT62</f>
        <v>0</v>
      </c>
      <c r="AU60" s="105">
        <f>'G&amp;A'!AU62</f>
        <v>0</v>
      </c>
      <c r="AV60" s="105">
        <f>'G&amp;A'!AV62</f>
        <v>0</v>
      </c>
      <c r="AW60" s="105">
        <f>'G&amp;A'!AW62</f>
        <v>0</v>
      </c>
      <c r="AX60" s="105">
        <f>'G&amp;A'!AX62</f>
        <v>0</v>
      </c>
      <c r="AY60" s="105">
        <f>'G&amp;A'!AY62</f>
        <v>0</v>
      </c>
      <c r="AZ60" s="105">
        <f>'G&amp;A'!AZ62</f>
        <v>0</v>
      </c>
      <c r="BA60" s="105">
        <f>'G&amp;A'!BA62</f>
        <v>0</v>
      </c>
      <c r="BB60" s="105">
        <f>'G&amp;A'!BB62</f>
        <v>0</v>
      </c>
      <c r="BC60" s="105">
        <f>'G&amp;A'!BC62</f>
        <v>0</v>
      </c>
      <c r="BD60" s="105">
        <f>'G&amp;A'!BD62</f>
        <v>0</v>
      </c>
      <c r="BE60" s="105">
        <f>'G&amp;A'!BE62</f>
        <v>0</v>
      </c>
      <c r="BF60" s="105">
        <f>'G&amp;A'!BF62</f>
        <v>0</v>
      </c>
      <c r="BG60" s="105">
        <f>'G&amp;A'!BG62</f>
        <v>0</v>
      </c>
      <c r="BH60" s="105">
        <f>'G&amp;A'!BH62</f>
        <v>0</v>
      </c>
      <c r="BI60" s="105">
        <f>'G&amp;A'!BI62</f>
        <v>0</v>
      </c>
      <c r="BJ60" s="105">
        <f>'G&amp;A'!BJ62</f>
        <v>0</v>
      </c>
      <c r="BK60" s="105">
        <f>'G&amp;A'!BK62</f>
        <v>0</v>
      </c>
      <c r="BL60" s="105">
        <f>'G&amp;A'!BL62</f>
        <v>0</v>
      </c>
      <c r="BM60" s="105">
        <f>'G&amp;A'!BM62</f>
        <v>0</v>
      </c>
      <c r="BN60" s="105">
        <f>'G&amp;A'!BN62</f>
        <v>0</v>
      </c>
      <c r="BO60" s="105">
        <f>'G&amp;A'!BO62</f>
        <v>0</v>
      </c>
      <c r="BP60" s="105">
        <f>'G&amp;A'!BP62</f>
        <v>0</v>
      </c>
      <c r="BQ60" s="105">
        <f>'G&amp;A'!BQ62</f>
        <v>0</v>
      </c>
      <c r="BR60" s="105">
        <f>'G&amp;A'!BR62</f>
        <v>0</v>
      </c>
      <c r="BS60" s="105">
        <f>'G&amp;A'!BS62</f>
        <v>0</v>
      </c>
      <c r="BT60" s="105">
        <f>'G&amp;A'!BT62</f>
        <v>0</v>
      </c>
    </row>
    <row r="61" spans="9:72" ht="15" thickBot="1" x14ac:dyDescent="0.35">
      <c r="J61" t="s">
        <v>97</v>
      </c>
      <c r="M61" s="32">
        <f ca="1">SUM(M51:M60)</f>
        <v>617172.56809456309</v>
      </c>
      <c r="N61" s="32">
        <f t="shared" ref="N61:AR61" ca="1" si="23">SUM(N51:N60)</f>
        <v>512345.13618912635</v>
      </c>
      <c r="O61" s="32">
        <f t="shared" ca="1" si="23"/>
        <v>407517.70428368961</v>
      </c>
      <c r="P61" s="32">
        <f t="shared" ca="1" si="23"/>
        <v>288173.60571158619</v>
      </c>
      <c r="Q61" s="32">
        <f t="shared" ca="1" si="23"/>
        <v>168829.50713948277</v>
      </c>
      <c r="R61" s="32">
        <f t="shared" ca="1" si="23"/>
        <v>33968.74190071271</v>
      </c>
      <c r="S61" s="32">
        <f t="shared" ca="1" si="23"/>
        <v>-97229.023338057363</v>
      </c>
      <c r="T61" s="32">
        <f t="shared" ca="1" si="23"/>
        <v>-227457.78857682744</v>
      </c>
      <c r="U61" s="32">
        <f t="shared" ca="1" si="23"/>
        <v>-361361.38714893087</v>
      </c>
      <c r="V61" s="32">
        <f t="shared" ca="1" si="23"/>
        <v>2005361.5142789658</v>
      </c>
      <c r="W61" s="32">
        <f t="shared" ca="1" si="23"/>
        <v>1873406.4157068622</v>
      </c>
      <c r="X61" s="32">
        <f t="shared" ca="1" si="23"/>
        <v>1738832.9838014254</v>
      </c>
      <c r="Y61" s="32">
        <f t="shared" ca="1" si="23"/>
        <v>1552694.1352293221</v>
      </c>
      <c r="Z61" s="32">
        <f t="shared" ca="1" si="23"/>
        <v>1387343.5866572189</v>
      </c>
      <c r="AA61" s="32">
        <f t="shared" ca="1" si="23"/>
        <v>1207295.3380851154</v>
      </c>
      <c r="AB61" s="32">
        <f t="shared" ca="1" si="23"/>
        <v>995125.27701301186</v>
      </c>
      <c r="AC61" s="32">
        <f t="shared" ca="1" si="23"/>
        <v>783243.07531590841</v>
      </c>
      <c r="AD61" s="32">
        <f t="shared" ca="1" si="23"/>
        <v>559631.56929588842</v>
      </c>
      <c r="AE61" s="32">
        <f t="shared" ca="1" si="23"/>
        <v>331237.68957013922</v>
      </c>
      <c r="AF61" s="32">
        <f t="shared" ca="1" si="23"/>
        <v>109072.90745337443</v>
      </c>
      <c r="AG61" s="32">
        <f t="shared" ca="1" si="23"/>
        <v>-132139.90217395689</v>
      </c>
      <c r="AH61" s="32">
        <f t="shared" ca="1" si="23"/>
        <v>8630837.2018126175</v>
      </c>
      <c r="AI61" s="32">
        <f t="shared" ca="1" si="23"/>
        <v>8397789.4725937918</v>
      </c>
      <c r="AJ61" s="32">
        <f t="shared" ca="1" si="23"/>
        <v>8166599.5710092979</v>
      </c>
      <c r="AK61" s="32">
        <f t="shared" ca="1" si="23"/>
        <v>7956205.8609408503</v>
      </c>
      <c r="AL61" s="32">
        <f t="shared" ca="1" si="23"/>
        <v>7775902.1016574809</v>
      </c>
      <c r="AM61" s="32">
        <f t="shared" ca="1" si="23"/>
        <v>7595158.1605885476</v>
      </c>
      <c r="AN61" s="32">
        <f t="shared" ca="1" si="23"/>
        <v>7436229.8961447738</v>
      </c>
      <c r="AO61" s="32">
        <f t="shared" ca="1" si="23"/>
        <v>7278614.8484074157</v>
      </c>
      <c r="AP61" s="32">
        <f t="shared" ca="1" si="23"/>
        <v>7125230.6444617957</v>
      </c>
      <c r="AQ61" s="32">
        <f t="shared" ca="1" si="23"/>
        <v>6992147.4114974989</v>
      </c>
      <c r="AR61" s="32">
        <f t="shared" ca="1" si="23"/>
        <v>6864273.1726469258</v>
      </c>
      <c r="AS61" s="32">
        <f t="shared" ref="AS61:BT61" ca="1" si="24">SUM(AS51:AS60)</f>
        <v>6752650.7338657631</v>
      </c>
      <c r="AT61" s="32">
        <f t="shared" ca="1" si="24"/>
        <v>6660548.1201574812</v>
      </c>
      <c r="AU61" s="32">
        <f t="shared" ca="1" si="24"/>
        <v>6588286.7527757231</v>
      </c>
      <c r="AV61" s="32">
        <f t="shared" ca="1" si="24"/>
        <v>6554663.3590368154</v>
      </c>
      <c r="AW61" s="32">
        <f t="shared" ca="1" si="24"/>
        <v>6530521.4362246366</v>
      </c>
      <c r="AX61" s="32">
        <f t="shared" ca="1" si="24"/>
        <v>6573280.619408261</v>
      </c>
      <c r="AY61" s="32">
        <f t="shared" ca="1" si="24"/>
        <v>6664225.4255773993</v>
      </c>
      <c r="AZ61" s="32">
        <f t="shared" ca="1" si="24"/>
        <v>6788803.2622555522</v>
      </c>
      <c r="BA61" s="32">
        <f t="shared" ca="1" si="24"/>
        <v>6957920.4806848876</v>
      </c>
      <c r="BB61" s="32">
        <f t="shared" ca="1" si="24"/>
        <v>7183643.3496900145</v>
      </c>
      <c r="BC61" s="32">
        <f t="shared" ca="1" si="24"/>
        <v>7459521.3949016901</v>
      </c>
      <c r="BD61" s="32">
        <f t="shared" ca="1" si="24"/>
        <v>7776336.0366084408</v>
      </c>
      <c r="BE61" s="32">
        <f t="shared" ca="1" si="24"/>
        <v>8131156.2261675205</v>
      </c>
      <c r="BF61" s="32">
        <f t="shared" ca="1" si="24"/>
        <v>8548310.6475698166</v>
      </c>
      <c r="BG61" s="32">
        <f t="shared" ca="1" si="24"/>
        <v>9009812.8174164165</v>
      </c>
      <c r="BH61" s="32">
        <f t="shared" ca="1" si="24"/>
        <v>9541652.6832274124</v>
      </c>
      <c r="BI61" s="32">
        <f t="shared" ca="1" si="24"/>
        <v>10318233.42124955</v>
      </c>
      <c r="BJ61" s="32">
        <f t="shared" ca="1" si="24"/>
        <v>11205780.326130956</v>
      </c>
      <c r="BK61" s="32">
        <f t="shared" ca="1" si="24"/>
        <v>12197102.542944079</v>
      </c>
      <c r="BL61" s="32">
        <f t="shared" ca="1" si="24"/>
        <v>13299713.724523665</v>
      </c>
      <c r="BM61" s="32">
        <f t="shared" ca="1" si="24"/>
        <v>14517283.128161116</v>
      </c>
      <c r="BN61" s="32">
        <f t="shared" ca="1" si="24"/>
        <v>15850429.650839426</v>
      </c>
      <c r="BO61" s="32">
        <f t="shared" ca="1" si="24"/>
        <v>17309838.261229947</v>
      </c>
      <c r="BP61" s="32">
        <f t="shared" ca="1" si="24"/>
        <v>18904619.728289045</v>
      </c>
      <c r="BQ61" s="32">
        <f t="shared" ca="1" si="24"/>
        <v>20631423.04628472</v>
      </c>
      <c r="BR61" s="32">
        <f t="shared" ca="1" si="24"/>
        <v>22510143.356074601</v>
      </c>
      <c r="BS61" s="32">
        <f t="shared" ca="1" si="24"/>
        <v>24541678.162447941</v>
      </c>
      <c r="BT61" s="32">
        <f t="shared" ca="1" si="24"/>
        <v>26735190.047334775</v>
      </c>
    </row>
    <row r="62" spans="9:72" ht="15" thickTop="1" x14ac:dyDescent="0.3">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row>
    <row r="63" spans="9:72" x14ac:dyDescent="0.3">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row>
    <row r="64" spans="9:72" x14ac:dyDescent="0.3">
      <c r="I64" t="s">
        <v>98</v>
      </c>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row>
    <row r="65" spans="8:75" x14ac:dyDescent="0.3">
      <c r="H65" s="105"/>
      <c r="J65" t="s">
        <v>88</v>
      </c>
      <c r="M65" s="107">
        <v>0</v>
      </c>
      <c r="N65" s="107">
        <f ca="1">M75</f>
        <v>617172.5680945632</v>
      </c>
      <c r="O65" s="107">
        <f t="shared" ref="O65:BT65" ca="1" si="25">N75</f>
        <v>512345.13618912647</v>
      </c>
      <c r="P65" s="107">
        <f t="shared" ca="1" si="25"/>
        <v>407517.70428368973</v>
      </c>
      <c r="Q65" s="107">
        <f t="shared" ca="1" si="25"/>
        <v>288173.60571158631</v>
      </c>
      <c r="R65" s="107">
        <f t="shared" ca="1" si="25"/>
        <v>168829.50713948288</v>
      </c>
      <c r="S65" s="107">
        <f t="shared" ca="1" si="25"/>
        <v>33968.741900712805</v>
      </c>
      <c r="T65" s="107">
        <f t="shared" ca="1" si="25"/>
        <v>-97229.023338057275</v>
      </c>
      <c r="U65" s="107">
        <f t="shared" ca="1" si="25"/>
        <v>-227457.78857682736</v>
      </c>
      <c r="V65" s="107">
        <f t="shared" ca="1" si="25"/>
        <v>-361361.38714893081</v>
      </c>
      <c r="W65" s="107">
        <f t="shared" ca="1" si="25"/>
        <v>2005361.514278966</v>
      </c>
      <c r="X65" s="107">
        <f t="shared" ca="1" si="25"/>
        <v>1873406.4157068627</v>
      </c>
      <c r="Y65" s="107">
        <f t="shared" ca="1" si="25"/>
        <v>1738832.9838014261</v>
      </c>
      <c r="Z65" s="107">
        <f t="shared" ca="1" si="25"/>
        <v>1552694.1352293228</v>
      </c>
      <c r="AA65" s="107">
        <f t="shared" ca="1" si="25"/>
        <v>1387343.5866572196</v>
      </c>
      <c r="AB65" s="107">
        <f t="shared" ca="1" si="25"/>
        <v>1207295.3380851164</v>
      </c>
      <c r="AC65" s="107">
        <f t="shared" ca="1" si="25"/>
        <v>995125.27701301302</v>
      </c>
      <c r="AD65" s="107">
        <f t="shared" ca="1" si="25"/>
        <v>783243.07531590958</v>
      </c>
      <c r="AE65" s="107">
        <f t="shared" ca="1" si="25"/>
        <v>559631.56929588958</v>
      </c>
      <c r="AF65" s="107">
        <f t="shared" ca="1" si="25"/>
        <v>331237.68957014033</v>
      </c>
      <c r="AG65" s="107">
        <f t="shared" ca="1" si="25"/>
        <v>109072.90745337546</v>
      </c>
      <c r="AH65" s="107">
        <f t="shared" ca="1" si="25"/>
        <v>-132139.90217395587</v>
      </c>
      <c r="AI65" s="107">
        <f t="shared" ca="1" si="25"/>
        <v>8630837.2018126175</v>
      </c>
      <c r="AJ65" s="107">
        <f t="shared" ca="1" si="25"/>
        <v>8397789.4725937918</v>
      </c>
      <c r="AK65" s="107">
        <f t="shared" ca="1" si="25"/>
        <v>8166599.571009296</v>
      </c>
      <c r="AL65" s="107">
        <f t="shared" ca="1" si="25"/>
        <v>7956205.8609408485</v>
      </c>
      <c r="AM65" s="107">
        <f t="shared" ca="1" si="25"/>
        <v>7775902.1016574781</v>
      </c>
      <c r="AN65" s="107">
        <f t="shared" ca="1" si="25"/>
        <v>7595158.1605885448</v>
      </c>
      <c r="AO65" s="107">
        <f t="shared" ca="1" si="25"/>
        <v>7436229.8961447701</v>
      </c>
      <c r="AP65" s="107">
        <f t="shared" ca="1" si="25"/>
        <v>7278614.8484074119</v>
      </c>
      <c r="AQ65" s="107">
        <f t="shared" ca="1" si="25"/>
        <v>7125230.644461791</v>
      </c>
      <c r="AR65" s="107">
        <f t="shared" ca="1" si="25"/>
        <v>6992147.4114974951</v>
      </c>
      <c r="AS65" s="107">
        <f t="shared" ca="1" si="25"/>
        <v>6864273.172646923</v>
      </c>
      <c r="AT65" s="107">
        <f t="shared" ca="1" si="25"/>
        <v>6752650.7338657603</v>
      </c>
      <c r="AU65" s="107">
        <f t="shared" ca="1" si="25"/>
        <v>6660548.1201574774</v>
      </c>
      <c r="AV65" s="107">
        <f t="shared" ca="1" si="25"/>
        <v>6588286.7527757185</v>
      </c>
      <c r="AW65" s="107">
        <f t="shared" ca="1" si="25"/>
        <v>6554663.3590368107</v>
      </c>
      <c r="AX65" s="107">
        <f t="shared" ca="1" si="25"/>
        <v>6530521.436224631</v>
      </c>
      <c r="AY65" s="107">
        <f t="shared" ca="1" si="25"/>
        <v>6573280.6194082545</v>
      </c>
      <c r="AZ65" s="107">
        <f t="shared" ca="1" si="25"/>
        <v>6664225.4255773937</v>
      </c>
      <c r="BA65" s="107">
        <f t="shared" ca="1" si="25"/>
        <v>6788803.2622555466</v>
      </c>
      <c r="BB65" s="107">
        <f t="shared" ca="1" si="25"/>
        <v>6957920.4806848811</v>
      </c>
      <c r="BC65" s="107">
        <f t="shared" ca="1" si="25"/>
        <v>7183643.3496900089</v>
      </c>
      <c r="BD65" s="107">
        <f t="shared" ca="1" si="25"/>
        <v>7459521.3949016836</v>
      </c>
      <c r="BE65" s="107">
        <f t="shared" ca="1" si="25"/>
        <v>7776336.0366084343</v>
      </c>
      <c r="BF65" s="107">
        <f t="shared" ca="1" si="25"/>
        <v>8131156.2261675149</v>
      </c>
      <c r="BG65" s="107">
        <f t="shared" ca="1" si="25"/>
        <v>8548310.647569811</v>
      </c>
      <c r="BH65" s="107">
        <f t="shared" ca="1" si="25"/>
        <v>9009812.8174164109</v>
      </c>
      <c r="BI65" s="107">
        <f t="shared" ca="1" si="25"/>
        <v>9541652.6832274087</v>
      </c>
      <c r="BJ65" s="107">
        <f t="shared" ca="1" si="25"/>
        <v>10318233.421249548</v>
      </c>
      <c r="BK65" s="107">
        <f t="shared" ca="1" si="25"/>
        <v>11205780.326130953</v>
      </c>
      <c r="BL65" s="107">
        <f t="shared" ca="1" si="25"/>
        <v>12197102.542944076</v>
      </c>
      <c r="BM65" s="107">
        <f t="shared" ca="1" si="25"/>
        <v>13299713.724523662</v>
      </c>
      <c r="BN65" s="107">
        <f t="shared" ca="1" si="25"/>
        <v>14517283.128161114</v>
      </c>
      <c r="BO65" s="107">
        <f t="shared" ca="1" si="25"/>
        <v>15850429.650839426</v>
      </c>
      <c r="BP65" s="107">
        <f t="shared" ca="1" si="25"/>
        <v>17309838.26122994</v>
      </c>
      <c r="BQ65" s="107">
        <f t="shared" ca="1" si="25"/>
        <v>18904619.728289038</v>
      </c>
      <c r="BR65" s="107">
        <f t="shared" ca="1" si="25"/>
        <v>20631423.046284713</v>
      </c>
      <c r="BS65" s="107">
        <f t="shared" ca="1" si="25"/>
        <v>22510143.35607459</v>
      </c>
      <c r="BT65" s="107">
        <f t="shared" ca="1" si="25"/>
        <v>24541678.162447922</v>
      </c>
    </row>
    <row r="66" spans="8:75" x14ac:dyDescent="0.3">
      <c r="H66" s="105"/>
      <c r="J66" t="s">
        <v>41</v>
      </c>
      <c r="M66" s="105">
        <f>Rev!M81</f>
        <v>0</v>
      </c>
      <c r="N66" s="105">
        <f>Rev!N81</f>
        <v>0</v>
      </c>
      <c r="O66" s="105">
        <f>Rev!O81</f>
        <v>0</v>
      </c>
      <c r="P66" s="105">
        <f>Rev!P81</f>
        <v>0</v>
      </c>
      <c r="Q66" s="105">
        <f>Rev!Q81</f>
        <v>0</v>
      </c>
      <c r="R66" s="105">
        <f>Rev!R81</f>
        <v>0</v>
      </c>
      <c r="S66" s="105">
        <f>Rev!S81</f>
        <v>3705</v>
      </c>
      <c r="T66" s="105">
        <f>Rev!T81</f>
        <v>4716</v>
      </c>
      <c r="U66" s="105">
        <f>Rev!U81</f>
        <v>5551</v>
      </c>
      <c r="V66" s="105">
        <f>Rev!V81</f>
        <v>6209.5</v>
      </c>
      <c r="W66" s="105">
        <f>Rev!W81</f>
        <v>7573.5</v>
      </c>
      <c r="X66" s="105">
        <f>Rev!X81</f>
        <v>8586</v>
      </c>
      <c r="Y66" s="105">
        <f>Rev!Y81</f>
        <v>46231.5</v>
      </c>
      <c r="Z66" s="105">
        <f>Rev!Z81</f>
        <v>52659.8</v>
      </c>
      <c r="AA66" s="105">
        <f>Rev!AA81</f>
        <v>61372.1</v>
      </c>
      <c r="AB66" s="105">
        <f>Rev!AB81</f>
        <v>67331.600000000006</v>
      </c>
      <c r="AC66" s="105">
        <f>Rev!AC81</f>
        <v>70795.899999999994</v>
      </c>
      <c r="AD66" s="105">
        <f>Rev!AD81</f>
        <v>74064.900000000009</v>
      </c>
      <c r="AE66" s="105">
        <f>Rev!AE81</f>
        <v>82236.099999999991</v>
      </c>
      <c r="AF66" s="105">
        <f>Rev!AF81</f>
        <v>88676.200000000012</v>
      </c>
      <c r="AG66" s="105">
        <f>Rev!AG81</f>
        <v>97855.849999999991</v>
      </c>
      <c r="AH66" s="105">
        <f>Rev!AH81</f>
        <v>102267.7</v>
      </c>
      <c r="AI66" s="105">
        <f>Rev!AI81</f>
        <v>111486.65000000001</v>
      </c>
      <c r="AJ66" s="105">
        <f>Rev!AJ81</f>
        <v>118588.95</v>
      </c>
      <c r="AK66" s="105">
        <f>Rev!AK81</f>
        <v>201723.9</v>
      </c>
      <c r="AL66" s="105">
        <f>Rev!AL81</f>
        <v>219766.35</v>
      </c>
      <c r="AM66" s="105">
        <f>Rev!AM81</f>
        <v>234452.5</v>
      </c>
      <c r="AN66" s="105">
        <f>Rev!AN81</f>
        <v>256982.5</v>
      </c>
      <c r="AO66" s="105">
        <f>Rev!AO81</f>
        <v>280688.3</v>
      </c>
      <c r="AP66" s="105">
        <f>Rev!AP81</f>
        <v>302306.10000000003</v>
      </c>
      <c r="AQ66" s="105">
        <f>Rev!AQ81</f>
        <v>323411.89999999997</v>
      </c>
      <c r="AR66" s="105">
        <f>Rev!AR81</f>
        <v>343925.4</v>
      </c>
      <c r="AS66" s="105">
        <f>Rev!AS81</f>
        <v>370025.7</v>
      </c>
      <c r="AT66" s="105">
        <f>Rev!AT81</f>
        <v>400897.6</v>
      </c>
      <c r="AU66" s="105">
        <f>Rev!AU81</f>
        <v>421712.3</v>
      </c>
      <c r="AV66" s="105">
        <f>Rev!AV81</f>
        <v>461473.3</v>
      </c>
      <c r="AW66" s="105">
        <f>Rev!AW81</f>
        <v>623036.30000000005</v>
      </c>
      <c r="AX66" s="105">
        <f>Rev!AX81</f>
        <v>683691.6</v>
      </c>
      <c r="AY66" s="105">
        <f>Rev!AY81</f>
        <v>746289.1</v>
      </c>
      <c r="AZ66" s="105">
        <f>Rev!AZ81</f>
        <v>790828</v>
      </c>
      <c r="BA66" s="105">
        <f>Rev!BA81</f>
        <v>850981.6</v>
      </c>
      <c r="BB66" s="105">
        <f>Rev!BB81</f>
        <v>909683.20000000007</v>
      </c>
      <c r="BC66" s="105">
        <f>Rev!BC81</f>
        <v>997106.79999999993</v>
      </c>
      <c r="BD66" s="105">
        <f>Rev!BD81</f>
        <v>1066990.9000000001</v>
      </c>
      <c r="BE66" s="105">
        <f>Rev!BE81</f>
        <v>1132588</v>
      </c>
      <c r="BF66" s="105">
        <f>Rev!BF81</f>
        <v>1214443.5</v>
      </c>
      <c r="BG66" s="105">
        <f>Rev!BG81</f>
        <v>1287962.0999999999</v>
      </c>
      <c r="BH66" s="105">
        <f>Rev!BH81</f>
        <v>1380267.3</v>
      </c>
      <c r="BI66" s="105">
        <f>Rev!BI81</f>
        <v>1741538.4</v>
      </c>
      <c r="BJ66" s="105">
        <f>Rev!BJ81</f>
        <v>1888233.1</v>
      </c>
      <c r="BK66" s="105">
        <f>Rev!BK81</f>
        <v>2024546.8</v>
      </c>
      <c r="BL66" s="105">
        <f>Rev!BL81</f>
        <v>2171407.1</v>
      </c>
      <c r="BM66" s="105">
        <f>Rev!BM81</f>
        <v>2323120.9</v>
      </c>
      <c r="BN66" s="105">
        <f>Rev!BN81</f>
        <v>2475934.2000000002</v>
      </c>
      <c r="BO66" s="105">
        <f>Rev!BO81</f>
        <v>2642686.5</v>
      </c>
      <c r="BP66" s="105">
        <f>Rev!BP81</f>
        <v>2821364.1</v>
      </c>
      <c r="BQ66" s="105">
        <f>Rev!BQ81</f>
        <v>2995952.8</v>
      </c>
      <c r="BR66" s="105">
        <f>Rev!BR81</f>
        <v>3196435.4</v>
      </c>
      <c r="BS66" s="105">
        <f>Rev!BS81</f>
        <v>3398152</v>
      </c>
      <c r="BT66" s="105">
        <f>Rev!BT81</f>
        <v>3611996.5</v>
      </c>
      <c r="BU66" s="19"/>
      <c r="BV66" s="19"/>
      <c r="BW66" s="19"/>
    </row>
    <row r="67" spans="8:75" x14ac:dyDescent="0.3">
      <c r="H67" s="105"/>
      <c r="J67" t="s">
        <v>91</v>
      </c>
      <c r="M67" s="105" cm="1">
        <f t="array" ref="M67:BT67">-CapEx!M20:BT20</f>
        <v>-28000</v>
      </c>
      <c r="N67" s="105">
        <v>0</v>
      </c>
      <c r="O67" s="105">
        <v>0</v>
      </c>
      <c r="P67" s="105">
        <v>0</v>
      </c>
      <c r="Q67" s="105">
        <v>0</v>
      </c>
      <c r="R67" s="105">
        <v>0</v>
      </c>
      <c r="S67" s="105">
        <v>0</v>
      </c>
      <c r="T67" s="105">
        <v>0</v>
      </c>
      <c r="U67" s="105">
        <v>0</v>
      </c>
      <c r="V67" s="105">
        <v>0</v>
      </c>
      <c r="W67" s="105">
        <v>0</v>
      </c>
      <c r="X67" s="105">
        <v>0</v>
      </c>
      <c r="Y67" s="105">
        <v>-15000</v>
      </c>
      <c r="Z67" s="105">
        <v>0</v>
      </c>
      <c r="AA67" s="105">
        <v>0</v>
      </c>
      <c r="AB67" s="105">
        <v>0</v>
      </c>
      <c r="AC67" s="105">
        <v>0</v>
      </c>
      <c r="AD67" s="105">
        <v>0</v>
      </c>
      <c r="AE67" s="105">
        <v>0</v>
      </c>
      <c r="AF67" s="105">
        <v>0</v>
      </c>
      <c r="AG67" s="105">
        <v>0</v>
      </c>
      <c r="AH67" s="105">
        <v>0</v>
      </c>
      <c r="AI67" s="105">
        <v>0</v>
      </c>
      <c r="AJ67" s="105">
        <v>0</v>
      </c>
      <c r="AK67" s="105">
        <v>-24000</v>
      </c>
      <c r="AL67" s="105">
        <v>0</v>
      </c>
      <c r="AM67" s="105">
        <v>0</v>
      </c>
      <c r="AN67" s="105">
        <v>0</v>
      </c>
      <c r="AO67" s="105">
        <v>0</v>
      </c>
      <c r="AP67" s="105">
        <v>0</v>
      </c>
      <c r="AQ67" s="105">
        <v>0</v>
      </c>
      <c r="AR67" s="105">
        <v>0</v>
      </c>
      <c r="AS67" s="105">
        <v>0</v>
      </c>
      <c r="AT67" s="105">
        <v>0</v>
      </c>
      <c r="AU67" s="105">
        <v>0</v>
      </c>
      <c r="AV67" s="105">
        <v>0</v>
      </c>
      <c r="AW67" s="105">
        <v>-21000</v>
      </c>
      <c r="AX67" s="105">
        <v>0</v>
      </c>
      <c r="AY67" s="105">
        <v>0</v>
      </c>
      <c r="AZ67" s="105">
        <v>0</v>
      </c>
      <c r="BA67" s="105">
        <v>0</v>
      </c>
      <c r="BB67" s="105">
        <v>0</v>
      </c>
      <c r="BC67" s="105">
        <v>0</v>
      </c>
      <c r="BD67" s="105">
        <v>0</v>
      </c>
      <c r="BE67" s="105">
        <v>0</v>
      </c>
      <c r="BF67" s="105">
        <v>0</v>
      </c>
      <c r="BG67" s="105">
        <v>0</v>
      </c>
      <c r="BH67" s="105">
        <v>0</v>
      </c>
      <c r="BI67" s="105">
        <v>0</v>
      </c>
      <c r="BJ67" s="105">
        <v>0</v>
      </c>
      <c r="BK67" s="105">
        <v>0</v>
      </c>
      <c r="BL67" s="105">
        <v>0</v>
      </c>
      <c r="BM67" s="105">
        <v>0</v>
      </c>
      <c r="BN67" s="105">
        <v>0</v>
      </c>
      <c r="BO67" s="105">
        <v>0</v>
      </c>
      <c r="BP67" s="105">
        <v>0</v>
      </c>
      <c r="BQ67" s="105">
        <v>0</v>
      </c>
      <c r="BR67" s="105">
        <v>0</v>
      </c>
      <c r="BS67" s="105">
        <v>0</v>
      </c>
      <c r="BT67" s="105">
        <v>0</v>
      </c>
    </row>
    <row r="68" spans="8:75" x14ac:dyDescent="0.3">
      <c r="H68" s="105"/>
      <c r="J68" t="s">
        <v>99</v>
      </c>
      <c r="M68" s="105">
        <f>M82</f>
        <v>500000</v>
      </c>
      <c r="N68" s="105">
        <f t="shared" ref="N68:AR68" si="26">N82</f>
        <v>0</v>
      </c>
      <c r="O68" s="105">
        <f t="shared" si="26"/>
        <v>0</v>
      </c>
      <c r="P68" s="105">
        <f t="shared" si="26"/>
        <v>0</v>
      </c>
      <c r="Q68" s="105">
        <f t="shared" si="26"/>
        <v>0</v>
      </c>
      <c r="R68" s="105">
        <f t="shared" si="26"/>
        <v>0</v>
      </c>
      <c r="S68" s="105">
        <f t="shared" si="26"/>
        <v>0</v>
      </c>
      <c r="T68" s="105">
        <f t="shared" si="26"/>
        <v>0</v>
      </c>
      <c r="U68" s="105">
        <f t="shared" si="26"/>
        <v>0</v>
      </c>
      <c r="V68" s="105">
        <f>V82</f>
        <v>2500000</v>
      </c>
      <c r="W68" s="105">
        <f>W82</f>
        <v>0</v>
      </c>
      <c r="X68" s="105">
        <f t="shared" si="26"/>
        <v>0</v>
      </c>
      <c r="Y68" s="105">
        <f>Y82</f>
        <v>0</v>
      </c>
      <c r="Z68" s="105">
        <f t="shared" si="26"/>
        <v>0</v>
      </c>
      <c r="AA68" s="105">
        <f t="shared" si="26"/>
        <v>0</v>
      </c>
      <c r="AB68" s="105">
        <f t="shared" si="26"/>
        <v>0</v>
      </c>
      <c r="AC68" s="105">
        <f t="shared" si="26"/>
        <v>0</v>
      </c>
      <c r="AD68" s="105">
        <f t="shared" si="26"/>
        <v>0</v>
      </c>
      <c r="AE68" s="105">
        <f t="shared" si="26"/>
        <v>0</v>
      </c>
      <c r="AF68" s="105">
        <f t="shared" si="26"/>
        <v>0</v>
      </c>
      <c r="AG68" s="105">
        <f t="shared" si="26"/>
        <v>0</v>
      </c>
      <c r="AH68" s="105">
        <f t="shared" si="26"/>
        <v>9000000</v>
      </c>
      <c r="AI68" s="105">
        <f t="shared" si="26"/>
        <v>0</v>
      </c>
      <c r="AJ68" s="105">
        <f t="shared" si="26"/>
        <v>0</v>
      </c>
      <c r="AK68" s="105">
        <f t="shared" si="26"/>
        <v>0</v>
      </c>
      <c r="AL68" s="105">
        <f t="shared" si="26"/>
        <v>0</v>
      </c>
      <c r="AM68" s="105">
        <f t="shared" si="26"/>
        <v>0</v>
      </c>
      <c r="AN68" s="105">
        <f t="shared" si="26"/>
        <v>0</v>
      </c>
      <c r="AO68" s="105">
        <f t="shared" si="26"/>
        <v>0</v>
      </c>
      <c r="AP68" s="105">
        <f t="shared" si="26"/>
        <v>0</v>
      </c>
      <c r="AQ68" s="105">
        <f t="shared" si="26"/>
        <v>0</v>
      </c>
      <c r="AR68" s="105">
        <f t="shared" si="26"/>
        <v>0</v>
      </c>
      <c r="AS68" s="105">
        <f t="shared" ref="AS68:BT68" si="27">AS82</f>
        <v>0</v>
      </c>
      <c r="AT68" s="105">
        <f t="shared" si="27"/>
        <v>0</v>
      </c>
      <c r="AU68" s="105">
        <f t="shared" si="27"/>
        <v>0</v>
      </c>
      <c r="AV68" s="105">
        <f t="shared" si="27"/>
        <v>0</v>
      </c>
      <c r="AW68" s="105">
        <f t="shared" si="27"/>
        <v>0</v>
      </c>
      <c r="AX68" s="105">
        <f t="shared" si="27"/>
        <v>0</v>
      </c>
      <c r="AY68" s="105">
        <f t="shared" si="27"/>
        <v>0</v>
      </c>
      <c r="AZ68" s="105">
        <f t="shared" si="27"/>
        <v>0</v>
      </c>
      <c r="BA68" s="105">
        <f t="shared" si="27"/>
        <v>0</v>
      </c>
      <c r="BB68" s="105">
        <f t="shared" si="27"/>
        <v>0</v>
      </c>
      <c r="BC68" s="105">
        <f t="shared" si="27"/>
        <v>0</v>
      </c>
      <c r="BD68" s="105">
        <f t="shared" si="27"/>
        <v>0</v>
      </c>
      <c r="BE68" s="105">
        <f t="shared" si="27"/>
        <v>0</v>
      </c>
      <c r="BF68" s="105">
        <f t="shared" si="27"/>
        <v>0</v>
      </c>
      <c r="BG68" s="105">
        <f t="shared" si="27"/>
        <v>0</v>
      </c>
      <c r="BH68" s="105">
        <f t="shared" si="27"/>
        <v>0</v>
      </c>
      <c r="BI68" s="105">
        <f t="shared" si="27"/>
        <v>0</v>
      </c>
      <c r="BJ68" s="105">
        <f t="shared" si="27"/>
        <v>0</v>
      </c>
      <c r="BK68" s="105">
        <f t="shared" si="27"/>
        <v>0</v>
      </c>
      <c r="BL68" s="105">
        <f t="shared" si="27"/>
        <v>0</v>
      </c>
      <c r="BM68" s="105">
        <f t="shared" si="27"/>
        <v>0</v>
      </c>
      <c r="BN68" s="105">
        <f t="shared" si="27"/>
        <v>0</v>
      </c>
      <c r="BO68" s="105">
        <f t="shared" si="27"/>
        <v>0</v>
      </c>
      <c r="BP68" s="105">
        <f t="shared" si="27"/>
        <v>0</v>
      </c>
      <c r="BQ68" s="105">
        <f t="shared" si="27"/>
        <v>0</v>
      </c>
      <c r="BR68" s="105">
        <f t="shared" si="27"/>
        <v>0</v>
      </c>
      <c r="BS68" s="105">
        <f t="shared" si="27"/>
        <v>0</v>
      </c>
      <c r="BT68" s="105">
        <f t="shared" si="27"/>
        <v>0</v>
      </c>
    </row>
    <row r="69" spans="8:75" x14ac:dyDescent="0.3">
      <c r="H69" s="105"/>
      <c r="J69" t="s">
        <v>92</v>
      </c>
      <c r="M69" s="105">
        <f>Loan!M13</f>
        <v>250000</v>
      </c>
      <c r="N69" s="105">
        <v>0</v>
      </c>
      <c r="O69" s="105">
        <v>0</v>
      </c>
      <c r="P69" s="105">
        <v>0</v>
      </c>
      <c r="Q69" s="105">
        <v>0</v>
      </c>
      <c r="R69" s="105">
        <v>0</v>
      </c>
      <c r="S69" s="105">
        <v>0</v>
      </c>
      <c r="T69" s="105">
        <v>0</v>
      </c>
      <c r="U69" s="105">
        <v>0</v>
      </c>
      <c r="V69" s="105">
        <v>0</v>
      </c>
      <c r="W69" s="105">
        <v>0</v>
      </c>
      <c r="X69" s="105">
        <v>0</v>
      </c>
      <c r="Y69" s="105">
        <v>0</v>
      </c>
      <c r="Z69" s="105">
        <v>0</v>
      </c>
      <c r="AA69" s="105">
        <v>0</v>
      </c>
      <c r="AB69" s="105">
        <v>0</v>
      </c>
      <c r="AC69" s="105">
        <v>0</v>
      </c>
      <c r="AD69" s="105">
        <v>0</v>
      </c>
      <c r="AE69" s="105">
        <v>0</v>
      </c>
      <c r="AF69" s="105">
        <v>0</v>
      </c>
      <c r="AG69" s="105">
        <v>0</v>
      </c>
      <c r="AH69" s="105">
        <v>0</v>
      </c>
      <c r="AI69" s="105">
        <v>0</v>
      </c>
      <c r="AJ69" s="105">
        <v>0</v>
      </c>
      <c r="AK69" s="105">
        <v>0</v>
      </c>
      <c r="AL69" s="105">
        <v>0</v>
      </c>
      <c r="AM69" s="105">
        <v>0</v>
      </c>
      <c r="AN69" s="105">
        <v>0</v>
      </c>
      <c r="AO69" s="105">
        <v>0</v>
      </c>
      <c r="AP69" s="105">
        <v>0</v>
      </c>
      <c r="AQ69" s="105">
        <v>0</v>
      </c>
      <c r="AR69" s="105">
        <v>0</v>
      </c>
      <c r="AS69" s="105">
        <v>0</v>
      </c>
      <c r="AT69" s="105">
        <v>0</v>
      </c>
      <c r="AU69" s="105">
        <v>0</v>
      </c>
      <c r="AV69" s="105">
        <v>0</v>
      </c>
      <c r="AW69" s="105">
        <v>0</v>
      </c>
      <c r="AX69" s="105">
        <v>0</v>
      </c>
      <c r="AY69" s="105">
        <v>0</v>
      </c>
      <c r="AZ69" s="105">
        <v>0</v>
      </c>
      <c r="BA69" s="105">
        <v>0</v>
      </c>
      <c r="BB69" s="105">
        <v>0</v>
      </c>
      <c r="BC69" s="105">
        <v>0</v>
      </c>
      <c r="BD69" s="105">
        <v>0</v>
      </c>
      <c r="BE69" s="105">
        <v>0</v>
      </c>
      <c r="BF69" s="105">
        <v>0</v>
      </c>
      <c r="BG69" s="105">
        <v>0</v>
      </c>
      <c r="BH69" s="105">
        <v>0</v>
      </c>
      <c r="BI69" s="105">
        <v>0</v>
      </c>
      <c r="BJ69" s="105">
        <v>0</v>
      </c>
      <c r="BK69" s="105">
        <v>0</v>
      </c>
      <c r="BL69" s="105">
        <v>0</v>
      </c>
      <c r="BM69" s="105">
        <v>0</v>
      </c>
      <c r="BN69" s="105">
        <v>0</v>
      </c>
      <c r="BO69" s="105">
        <v>0</v>
      </c>
      <c r="BP69" s="105">
        <v>0</v>
      </c>
      <c r="BQ69" s="105">
        <v>0</v>
      </c>
      <c r="BR69" s="105">
        <v>0</v>
      </c>
      <c r="BS69" s="105">
        <v>0</v>
      </c>
      <c r="BT69" s="105">
        <v>0</v>
      </c>
    </row>
    <row r="70" spans="8:75" x14ac:dyDescent="0.3">
      <c r="H70" s="105"/>
      <c r="J70" t="s">
        <v>100</v>
      </c>
      <c r="M70" s="105" cm="1">
        <f t="array" aca="1" ref="M70:BT70" ca="1">-'P&amp;L'!M33:BT33</f>
        <v>-128508.33333333333</v>
      </c>
      <c r="N70" s="105">
        <f ca="1"/>
        <v>-128508.33333333333</v>
      </c>
      <c r="O70" s="105">
        <f ca="1"/>
        <v>-128508.33333333333</v>
      </c>
      <c r="P70" s="105">
        <f ca="1"/>
        <v>-143025</v>
      </c>
      <c r="Q70" s="105">
        <f ca="1"/>
        <v>-143025</v>
      </c>
      <c r="R70" s="105">
        <f ca="1"/>
        <v>-157541.66666666666</v>
      </c>
      <c r="S70" s="105">
        <f ca="1"/>
        <v>-157541.66666666666</v>
      </c>
      <c r="T70" s="105">
        <f ca="1"/>
        <v>-157541.66666666666</v>
      </c>
      <c r="U70" s="105">
        <f ca="1"/>
        <v>-162015</v>
      </c>
      <c r="V70" s="105">
        <f ca="1"/>
        <v>-162015</v>
      </c>
      <c r="W70" s="105">
        <f ca="1"/>
        <v>-162015</v>
      </c>
      <c r="X70" s="105">
        <f ca="1"/>
        <v>-165598.33333333331</v>
      </c>
      <c r="Y70" s="105">
        <f ca="1"/>
        <v>-238150</v>
      </c>
      <c r="Z70" s="105">
        <f ca="1"/>
        <v>-238675</v>
      </c>
      <c r="AA70" s="105">
        <f ca="1"/>
        <v>-261926.25</v>
      </c>
      <c r="AB70" s="105">
        <f ca="1"/>
        <v>-299853.8125</v>
      </c>
      <c r="AC70" s="105">
        <f ca="1"/>
        <v>-302882.75312499999</v>
      </c>
      <c r="AD70" s="105">
        <f ca="1"/>
        <v>-317734.8074479166</v>
      </c>
      <c r="AE70" s="105">
        <f ca="1"/>
        <v>-330533.38115364581</v>
      </c>
      <c r="AF70" s="105">
        <f ca="1"/>
        <v>-330566.88354466145</v>
      </c>
      <c r="AG70" s="105">
        <f ca="1"/>
        <v>-329852.06105522788</v>
      </c>
      <c r="AH70" s="105">
        <f ca="1"/>
        <v>-329888.9974413226</v>
      </c>
      <c r="AI70" s="105">
        <f ca="1"/>
        <v>-334927.78064672201</v>
      </c>
      <c r="AJ70" s="105">
        <f ca="1"/>
        <v>-339968.50301239145</v>
      </c>
      <c r="AK70" s="105">
        <f ca="1"/>
        <v>-374603.76149634441</v>
      </c>
      <c r="AL70" s="105">
        <f ca="1"/>
        <v>-385969.13571126637</v>
      </c>
      <c r="AM70" s="105">
        <f ca="1"/>
        <v>-400576.46749682963</v>
      </c>
      <c r="AN70" s="105">
        <f ca="1"/>
        <v>-400671.66587167111</v>
      </c>
      <c r="AO70" s="105">
        <f ca="1"/>
        <v>-422401.62416525465</v>
      </c>
      <c r="AP70" s="105">
        <f ca="1"/>
        <v>-439056.58037351741</v>
      </c>
      <c r="AQ70" s="105">
        <f ca="1"/>
        <v>-439166.78439219325</v>
      </c>
      <c r="AR70" s="105">
        <f ca="1"/>
        <v>-453799.16527846968</v>
      </c>
      <c r="AS70" s="105">
        <f ca="1"/>
        <v>-462845.66520905984</v>
      </c>
      <c r="AT70" s="105">
        <f ca="1"/>
        <v>-473343.24013617949</v>
      </c>
      <c r="AU70" s="105">
        <f ca="1"/>
        <v>-473477.19380965515</v>
      </c>
      <c r="AV70" s="105">
        <f ca="1"/>
        <v>-473617.84516680456</v>
      </c>
      <c r="AW70" s="105">
        <f ca="1"/>
        <v>-593752.99784181139</v>
      </c>
      <c r="AX70" s="105">
        <f ca="1"/>
        <v>-595878.53718860436</v>
      </c>
      <c r="AY70" s="105">
        <f ca="1"/>
        <v>-596139.88227720128</v>
      </c>
      <c r="AZ70" s="105">
        <f ca="1"/>
        <v>-596414.294620228</v>
      </c>
      <c r="BA70" s="105">
        <f ca="1"/>
        <v>-598219.0942470727</v>
      </c>
      <c r="BB70" s="105">
        <f ca="1"/>
        <v>-583521.63385525974</v>
      </c>
      <c r="BC70" s="105">
        <f ca="1"/>
        <v>-604880.96711052267</v>
      </c>
      <c r="BD70" s="105">
        <f ca="1"/>
        <v>-620747.85036188201</v>
      </c>
      <c r="BE70" s="105">
        <f ca="1"/>
        <v>-635919.74444247619</v>
      </c>
      <c r="BF70" s="105">
        <f ca="1"/>
        <v>-636287.48322709999</v>
      </c>
      <c r="BG70" s="105">
        <f ca="1"/>
        <v>-651190.27561762172</v>
      </c>
      <c r="BH70" s="105">
        <f ca="1"/>
        <v>-651595.70762766956</v>
      </c>
      <c r="BI70" s="105">
        <f ca="1"/>
        <v>-680561.99300905294</v>
      </c>
      <c r="BJ70" s="105">
        <f ca="1"/>
        <v>-684574.85841791821</v>
      </c>
      <c r="BK70" s="105">
        <f ca="1"/>
        <v>-685222.49047943915</v>
      </c>
      <c r="BL70" s="105">
        <f ca="1"/>
        <v>-685902.50414403609</v>
      </c>
      <c r="BM70" s="105">
        <f ca="1"/>
        <v>-686616.51849186281</v>
      </c>
      <c r="BN70" s="105">
        <f ca="1"/>
        <v>-687366.23355708097</v>
      </c>
      <c r="BO70" s="105">
        <f ca="1"/>
        <v>-688153.43437556003</v>
      </c>
      <c r="BP70" s="105">
        <f ca="1"/>
        <v>-688979.99523496302</v>
      </c>
      <c r="BQ70" s="105">
        <f ca="1"/>
        <v>-689847.88413733628</v>
      </c>
      <c r="BR70" s="105">
        <f ca="1"/>
        <v>-690759.16748482804</v>
      </c>
      <c r="BS70" s="105">
        <f ca="1"/>
        <v>-691716.01499969442</v>
      </c>
      <c r="BT70" s="105">
        <f ca="1"/>
        <v>-692720.70489030413</v>
      </c>
    </row>
    <row r="71" spans="8:75" x14ac:dyDescent="0.3">
      <c r="H71" s="105"/>
      <c r="J71" t="s">
        <v>101</v>
      </c>
      <c r="M71" s="105">
        <f>-M23</f>
        <v>0</v>
      </c>
      <c r="N71" s="105">
        <f t="shared" ref="N71:AR71" si="28">-N23</f>
        <v>0</v>
      </c>
      <c r="O71" s="105">
        <f t="shared" si="28"/>
        <v>0</v>
      </c>
      <c r="P71" s="105">
        <f t="shared" si="28"/>
        <v>0</v>
      </c>
      <c r="Q71" s="105">
        <f t="shared" si="28"/>
        <v>0</v>
      </c>
      <c r="R71" s="105">
        <f t="shared" si="28"/>
        <v>-1000</v>
      </c>
      <c r="S71" s="105">
        <f t="shared" si="28"/>
        <v>-1042</v>
      </c>
      <c r="T71" s="105">
        <f t="shared" si="28"/>
        <v>-1084</v>
      </c>
      <c r="U71" s="105">
        <f t="shared" si="28"/>
        <v>-1120.5</v>
      </c>
      <c r="V71" s="105">
        <f t="shared" si="28"/>
        <v>-1152.5</v>
      </c>
      <c r="W71" s="105">
        <f t="shared" si="28"/>
        <v>-1194.5</v>
      </c>
      <c r="X71" s="105">
        <f t="shared" si="28"/>
        <v>-1242</v>
      </c>
      <c r="Y71" s="105">
        <f t="shared" si="28"/>
        <v>-2901.25</v>
      </c>
      <c r="Z71" s="105">
        <f t="shared" si="28"/>
        <v>-3016.25</v>
      </c>
      <c r="AA71" s="105">
        <f t="shared" si="28"/>
        <v>-3175</v>
      </c>
      <c r="AB71" s="105">
        <f t="shared" si="28"/>
        <v>-3328.75</v>
      </c>
      <c r="AC71" s="105">
        <f t="shared" si="28"/>
        <v>-3476.25</v>
      </c>
      <c r="AD71" s="105">
        <f t="shared" si="28"/>
        <v>-3622.5</v>
      </c>
      <c r="AE71" s="105">
        <f t="shared" si="28"/>
        <v>-3777.5</v>
      </c>
      <c r="AF71" s="105">
        <f t="shared" si="28"/>
        <v>-3955</v>
      </c>
      <c r="AG71" s="105">
        <f t="shared" si="28"/>
        <v>-4147.5</v>
      </c>
      <c r="AH71" s="105">
        <f t="shared" si="28"/>
        <v>-4332.5</v>
      </c>
      <c r="AI71" s="105">
        <f t="shared" si="28"/>
        <v>-4537.5</v>
      </c>
      <c r="AJ71" s="105">
        <f t="shared" si="28"/>
        <v>-4741.25</v>
      </c>
      <c r="AK71" s="105">
        <f t="shared" si="28"/>
        <v>-8444.75</v>
      </c>
      <c r="AL71" s="105">
        <f t="shared" si="28"/>
        <v>-9031.875</v>
      </c>
      <c r="AM71" s="105">
        <f t="shared" si="28"/>
        <v>-9550.875</v>
      </c>
      <c r="AN71" s="105">
        <f t="shared" si="28"/>
        <v>-10170</v>
      </c>
      <c r="AO71" s="105">
        <f t="shared" si="28"/>
        <v>-10832.625</v>
      </c>
      <c r="AP71" s="105">
        <f t="shared" si="28"/>
        <v>-11564.625</v>
      </c>
      <c r="AQ71" s="105">
        <f t="shared" si="28"/>
        <v>-12259.25</v>
      </c>
      <c r="AR71" s="105">
        <f t="shared" si="28"/>
        <v>-12931.375</v>
      </c>
      <c r="AS71" s="105">
        <f t="shared" ref="AS71:BT71" si="29">-AS23</f>
        <v>-13733.375</v>
      </c>
      <c r="AT71" s="105">
        <f t="shared" si="29"/>
        <v>-14587.875</v>
      </c>
      <c r="AU71" s="105">
        <f t="shared" si="29"/>
        <v>-15427.375</v>
      </c>
      <c r="AV71" s="105">
        <f t="shared" si="29"/>
        <v>-16409.75</v>
      </c>
      <c r="AW71" s="105">
        <f t="shared" si="29"/>
        <v>-25224.375</v>
      </c>
      <c r="AX71" s="105">
        <f t="shared" si="29"/>
        <v>-27449.375</v>
      </c>
      <c r="AY71" s="105">
        <f t="shared" si="29"/>
        <v>-29758.125</v>
      </c>
      <c r="AZ71" s="105">
        <f t="shared" si="29"/>
        <v>-32186.25</v>
      </c>
      <c r="BA71" s="105">
        <f t="shared" si="29"/>
        <v>-34684.375</v>
      </c>
      <c r="BB71" s="105">
        <f t="shared" si="29"/>
        <v>-37301.875</v>
      </c>
      <c r="BC71" s="105">
        <f t="shared" si="29"/>
        <v>-40293.125</v>
      </c>
      <c r="BD71" s="105">
        <f t="shared" si="29"/>
        <v>-43303.125</v>
      </c>
      <c r="BE71" s="105">
        <f t="shared" si="29"/>
        <v>-46313.125</v>
      </c>
      <c r="BF71" s="105">
        <f t="shared" si="29"/>
        <v>-49666.875</v>
      </c>
      <c r="BG71" s="105">
        <f t="shared" si="29"/>
        <v>-52915</v>
      </c>
      <c r="BH71" s="105">
        <f t="shared" si="29"/>
        <v>-56658.75</v>
      </c>
      <c r="BI71" s="105">
        <f t="shared" si="29"/>
        <v>-79450</v>
      </c>
      <c r="BJ71" s="105">
        <f t="shared" si="29"/>
        <v>-85685</v>
      </c>
      <c r="BK71" s="105">
        <f t="shared" si="29"/>
        <v>-92267.5</v>
      </c>
      <c r="BL71" s="105">
        <f t="shared" si="29"/>
        <v>-99166.25</v>
      </c>
      <c r="BM71" s="105">
        <f t="shared" si="29"/>
        <v>-106368.75</v>
      </c>
      <c r="BN71" s="105">
        <f t="shared" si="29"/>
        <v>-113931.25</v>
      </c>
      <c r="BO71" s="105">
        <f t="shared" si="29"/>
        <v>-121876.25</v>
      </c>
      <c r="BP71" s="105">
        <f t="shared" si="29"/>
        <v>-130317.5</v>
      </c>
      <c r="BQ71" s="105">
        <f t="shared" si="29"/>
        <v>-139035</v>
      </c>
      <c r="BR71" s="105">
        <f t="shared" si="29"/>
        <v>-148372.5</v>
      </c>
      <c r="BS71" s="105">
        <f t="shared" si="29"/>
        <v>-158035</v>
      </c>
      <c r="BT71" s="105">
        <f t="shared" si="29"/>
        <v>-168238.75</v>
      </c>
    </row>
    <row r="72" spans="8:75" x14ac:dyDescent="0.3">
      <c r="H72" s="105"/>
      <c r="J72" t="s">
        <v>102</v>
      </c>
      <c r="M72" s="126" cm="1">
        <f t="array" ref="M72:BT72">-Loan!M6:BT6</f>
        <v>-5069.0985721034203</v>
      </c>
      <c r="N72" s="105">
        <v>-5069.0985721034203</v>
      </c>
      <c r="O72" s="105">
        <v>-5069.0985721034203</v>
      </c>
      <c r="P72" s="105">
        <v>-5069.0985721034203</v>
      </c>
      <c r="Q72" s="105">
        <v>-5069.0985721034203</v>
      </c>
      <c r="R72" s="105">
        <v>-5069.0985721034203</v>
      </c>
      <c r="S72" s="105">
        <v>-5069.0985721034203</v>
      </c>
      <c r="T72" s="105">
        <v>-5069.0985721034203</v>
      </c>
      <c r="U72" s="105">
        <v>-5069.0985721034203</v>
      </c>
      <c r="V72" s="105">
        <v>-5069.0985721034203</v>
      </c>
      <c r="W72" s="105">
        <v>-5069.0985721034203</v>
      </c>
      <c r="X72" s="105">
        <v>-5069.0985721034203</v>
      </c>
      <c r="Y72" s="105">
        <v>-5069.0985721034203</v>
      </c>
      <c r="Z72" s="105">
        <v>-5069.0985721034203</v>
      </c>
      <c r="AA72" s="105">
        <v>-5069.0985721034203</v>
      </c>
      <c r="AB72" s="105">
        <v>-5069.0985721034203</v>
      </c>
      <c r="AC72" s="105">
        <v>-5069.0985721034203</v>
      </c>
      <c r="AD72" s="105">
        <v>-5069.0985721034203</v>
      </c>
      <c r="AE72" s="105">
        <v>-5069.0985721034203</v>
      </c>
      <c r="AF72" s="105">
        <v>-5069.0985721034203</v>
      </c>
      <c r="AG72" s="105">
        <v>-5069.0985721034203</v>
      </c>
      <c r="AH72" s="105">
        <v>-5069.0985721034203</v>
      </c>
      <c r="AI72" s="105">
        <v>-5069.0985721034203</v>
      </c>
      <c r="AJ72" s="105">
        <v>-5069.0985721034203</v>
      </c>
      <c r="AK72" s="105">
        <v>-5069.0985721034203</v>
      </c>
      <c r="AL72" s="105">
        <v>-5069.0985721034203</v>
      </c>
      <c r="AM72" s="105">
        <v>-5069.0985721034203</v>
      </c>
      <c r="AN72" s="105">
        <v>-5069.0985721034203</v>
      </c>
      <c r="AO72" s="105">
        <v>-5069.0985721034203</v>
      </c>
      <c r="AP72" s="105">
        <v>-5069.0985721034203</v>
      </c>
      <c r="AQ72" s="105">
        <v>-5069.0985721034203</v>
      </c>
      <c r="AR72" s="105">
        <v>-5069.0985721034203</v>
      </c>
      <c r="AS72" s="105">
        <v>-5069.0985721034203</v>
      </c>
      <c r="AT72" s="105">
        <v>-5069.0985721034203</v>
      </c>
      <c r="AU72" s="105">
        <v>-5069.0985721034203</v>
      </c>
      <c r="AV72" s="105">
        <v>-5069.0985721034203</v>
      </c>
      <c r="AW72" s="105">
        <v>-5069.0985721034203</v>
      </c>
      <c r="AX72" s="105">
        <v>-5069.0985721034203</v>
      </c>
      <c r="AY72" s="105">
        <v>-5069.0985721034203</v>
      </c>
      <c r="AZ72" s="105">
        <v>-5069.0985721034203</v>
      </c>
      <c r="BA72" s="105">
        <v>-5069.0985721034203</v>
      </c>
      <c r="BB72" s="105">
        <v>-5069.0985721034203</v>
      </c>
      <c r="BC72" s="105">
        <v>-5069.0985721034203</v>
      </c>
      <c r="BD72" s="105">
        <v>-5069.0985721034203</v>
      </c>
      <c r="BE72" s="105">
        <v>-5069.0985721034203</v>
      </c>
      <c r="BF72" s="105">
        <v>-5069.0985721034203</v>
      </c>
      <c r="BG72" s="105">
        <v>-5069.0985721034203</v>
      </c>
      <c r="BH72" s="105">
        <v>-5069.0985721034203</v>
      </c>
      <c r="BI72" s="105">
        <v>-5069.0985721034203</v>
      </c>
      <c r="BJ72" s="105">
        <v>-5069.0985721034203</v>
      </c>
      <c r="BK72" s="105">
        <v>-5069.0985721034203</v>
      </c>
      <c r="BL72" s="105">
        <v>-5069.0985721034203</v>
      </c>
      <c r="BM72" s="105">
        <v>-5069.0985721034203</v>
      </c>
      <c r="BN72" s="105">
        <v>-5069.0985721034203</v>
      </c>
      <c r="BO72" s="105">
        <v>-5069.0985721034203</v>
      </c>
      <c r="BP72" s="105">
        <v>-5069.0985721034203</v>
      </c>
      <c r="BQ72" s="105">
        <v>-5069.0985721034203</v>
      </c>
      <c r="BR72" s="105">
        <v>-5069.0985721034203</v>
      </c>
      <c r="BS72" s="105">
        <v>-5069.0985721034203</v>
      </c>
      <c r="BT72" s="105">
        <v>-5069.0985721034203</v>
      </c>
    </row>
    <row r="73" spans="8:75" x14ac:dyDescent="0.3">
      <c r="H73" s="105"/>
      <c r="J73" t="s">
        <v>103</v>
      </c>
      <c r="M73" s="105">
        <f ca="1">-M42</f>
        <v>0</v>
      </c>
      <c r="N73" s="105">
        <f t="shared" ref="N73:BT73" ca="1" si="30">-N42</f>
        <v>0</v>
      </c>
      <c r="O73" s="105">
        <f t="shared" ca="1" si="30"/>
        <v>0</v>
      </c>
      <c r="P73" s="105">
        <f t="shared" ca="1" si="30"/>
        <v>0</v>
      </c>
      <c r="Q73" s="105">
        <f t="shared" ca="1" si="30"/>
        <v>0</v>
      </c>
      <c r="R73" s="105">
        <f t="shared" ca="1" si="30"/>
        <v>0</v>
      </c>
      <c r="S73" s="105">
        <f t="shared" ca="1" si="30"/>
        <v>0</v>
      </c>
      <c r="T73" s="105">
        <f t="shared" ca="1" si="30"/>
        <v>0</v>
      </c>
      <c r="U73" s="105">
        <f t="shared" ca="1" si="30"/>
        <v>0</v>
      </c>
      <c r="V73" s="105">
        <f t="shared" ca="1" si="30"/>
        <v>0</v>
      </c>
      <c r="W73" s="105">
        <f t="shared" ca="1" si="30"/>
        <v>0</v>
      </c>
      <c r="X73" s="105">
        <f t="shared" ca="1" si="30"/>
        <v>0</v>
      </c>
      <c r="Y73" s="105">
        <f t="shared" ca="1" si="30"/>
        <v>0</v>
      </c>
      <c r="Z73" s="105">
        <f t="shared" ca="1" si="30"/>
        <v>0</v>
      </c>
      <c r="AA73" s="105">
        <f t="shared" ca="1" si="30"/>
        <v>0</v>
      </c>
      <c r="AB73" s="105">
        <f t="shared" ca="1" si="30"/>
        <v>0</v>
      </c>
      <c r="AC73" s="105">
        <f t="shared" ca="1" si="30"/>
        <v>0</v>
      </c>
      <c r="AD73" s="105">
        <f t="shared" ca="1" si="30"/>
        <v>0</v>
      </c>
      <c r="AE73" s="105">
        <f t="shared" ca="1" si="30"/>
        <v>0</v>
      </c>
      <c r="AF73" s="105">
        <f t="shared" ca="1" si="30"/>
        <v>0</v>
      </c>
      <c r="AG73" s="105">
        <f t="shared" ca="1" si="30"/>
        <v>0</v>
      </c>
      <c r="AH73" s="105">
        <f t="shared" ca="1" si="30"/>
        <v>0</v>
      </c>
      <c r="AI73" s="105">
        <f t="shared" ca="1" si="30"/>
        <v>0</v>
      </c>
      <c r="AJ73" s="105">
        <f t="shared" ca="1" si="30"/>
        <v>0</v>
      </c>
      <c r="AK73" s="105">
        <f t="shared" ca="1" si="30"/>
        <v>0</v>
      </c>
      <c r="AL73" s="105">
        <f t="shared" ca="1" si="30"/>
        <v>0</v>
      </c>
      <c r="AM73" s="105">
        <f t="shared" ca="1" si="30"/>
        <v>0</v>
      </c>
      <c r="AN73" s="105">
        <f t="shared" ca="1" si="30"/>
        <v>0</v>
      </c>
      <c r="AO73" s="105">
        <f t="shared" ca="1" si="30"/>
        <v>0</v>
      </c>
      <c r="AP73" s="105">
        <f t="shared" ca="1" si="30"/>
        <v>0</v>
      </c>
      <c r="AQ73" s="105">
        <f t="shared" ca="1" si="30"/>
        <v>0</v>
      </c>
      <c r="AR73" s="105">
        <f t="shared" ca="1" si="30"/>
        <v>0</v>
      </c>
      <c r="AS73" s="105">
        <f t="shared" ca="1" si="30"/>
        <v>0</v>
      </c>
      <c r="AT73" s="105">
        <f t="shared" ca="1" si="30"/>
        <v>0</v>
      </c>
      <c r="AU73" s="105">
        <f t="shared" ca="1" si="30"/>
        <v>0</v>
      </c>
      <c r="AV73" s="105">
        <f t="shared" ca="1" si="30"/>
        <v>0</v>
      </c>
      <c r="AW73" s="105">
        <f t="shared" ca="1" si="30"/>
        <v>-2131.7513982641099</v>
      </c>
      <c r="AX73" s="105">
        <f t="shared" ca="1" si="30"/>
        <v>-12535.406055668054</v>
      </c>
      <c r="AY73" s="105">
        <f t="shared" ca="1" si="30"/>
        <v>-24377.187981556286</v>
      </c>
      <c r="AZ73" s="105">
        <f t="shared" ca="1" si="30"/>
        <v>-32580.52012951595</v>
      </c>
      <c r="BA73" s="105">
        <f t="shared" ca="1" si="30"/>
        <v>-43891.813751489113</v>
      </c>
      <c r="BB73" s="105">
        <f t="shared" ca="1" si="30"/>
        <v>-58067.72356750942</v>
      </c>
      <c r="BC73" s="105">
        <f t="shared" ca="1" si="30"/>
        <v>-70985.564105698941</v>
      </c>
      <c r="BD73" s="105">
        <f t="shared" ca="1" si="30"/>
        <v>-81056.184359264123</v>
      </c>
      <c r="BE73" s="105">
        <f t="shared" ca="1" si="30"/>
        <v>-90465.842426341245</v>
      </c>
      <c r="BF73" s="105">
        <f t="shared" ca="1" si="30"/>
        <v>-106265.62179850045</v>
      </c>
      <c r="BG73" s="105">
        <f t="shared" ca="1" si="30"/>
        <v>-117285.55596367392</v>
      </c>
      <c r="BH73" s="105">
        <f t="shared" ca="1" si="30"/>
        <v>-135103.87798923071</v>
      </c>
      <c r="BI73" s="105">
        <f t="shared" ca="1" si="30"/>
        <v>-199876.57039670413</v>
      </c>
      <c r="BJ73" s="105">
        <f t="shared" ca="1" si="30"/>
        <v>-225357.23812857285</v>
      </c>
      <c r="BK73" s="105">
        <f t="shared" ca="1" si="30"/>
        <v>-250665.49413533477</v>
      </c>
      <c r="BL73" s="105">
        <f t="shared" ca="1" si="30"/>
        <v>-278658.06570427516</v>
      </c>
      <c r="BM73" s="105">
        <f t="shared" ca="1" si="30"/>
        <v>-307497.12929858215</v>
      </c>
      <c r="BN73" s="105">
        <f t="shared" ca="1" si="30"/>
        <v>-336421.09519250324</v>
      </c>
      <c r="BO73" s="105">
        <f t="shared" ca="1" si="30"/>
        <v>-368179.10666181857</v>
      </c>
      <c r="BP73" s="105">
        <f t="shared" ca="1" si="30"/>
        <v>-402216.03913383582</v>
      </c>
      <c r="BQ73" s="105">
        <f t="shared" ca="1" si="30"/>
        <v>-435197.4992948852</v>
      </c>
      <c r="BR73" s="105">
        <f t="shared" ca="1" si="30"/>
        <v>-473514.32415318745</v>
      </c>
      <c r="BS73" s="105">
        <f t="shared" ca="1" si="30"/>
        <v>-511797.08005486702</v>
      </c>
      <c r="BT73" s="105">
        <f t="shared" ca="1" si="30"/>
        <v>-552456.06165076199</v>
      </c>
      <c r="BU73" s="105"/>
    </row>
    <row r="74" spans="8:75" x14ac:dyDescent="0.3">
      <c r="H74" s="105"/>
      <c r="I74" s="105">
        <f ca="1">M73</f>
        <v>0</v>
      </c>
      <c r="J74" t="s">
        <v>254</v>
      </c>
      <c r="M74" s="105">
        <f>'G&amp;A'!M62</f>
        <v>28750</v>
      </c>
      <c r="N74" s="105">
        <f>'G&amp;A'!N62</f>
        <v>28750</v>
      </c>
      <c r="O74" s="105">
        <f>'G&amp;A'!O62</f>
        <v>28750</v>
      </c>
      <c r="P74" s="105">
        <f>'G&amp;A'!P62</f>
        <v>28750</v>
      </c>
      <c r="Q74" s="105">
        <f>'G&amp;A'!Q62</f>
        <v>28750</v>
      </c>
      <c r="R74" s="105">
        <f>'G&amp;A'!R62</f>
        <v>28750</v>
      </c>
      <c r="S74" s="105">
        <f>'G&amp;A'!S62</f>
        <v>28750</v>
      </c>
      <c r="T74" s="105">
        <f>'G&amp;A'!T62</f>
        <v>28750</v>
      </c>
      <c r="U74" s="105">
        <f>'G&amp;A'!U62</f>
        <v>28750</v>
      </c>
      <c r="V74" s="105">
        <f>'G&amp;A'!V62</f>
        <v>28750</v>
      </c>
      <c r="W74" s="105">
        <f>'G&amp;A'!W62</f>
        <v>28750</v>
      </c>
      <c r="X74" s="105">
        <f>'G&amp;A'!X62</f>
        <v>28750</v>
      </c>
      <c r="Y74" s="105">
        <f>'G&amp;A'!Y62</f>
        <v>28750</v>
      </c>
      <c r="Z74" s="105">
        <f>'G&amp;A'!Z62</f>
        <v>28750</v>
      </c>
      <c r="AA74" s="105">
        <f>'G&amp;A'!AA62</f>
        <v>28750</v>
      </c>
      <c r="AB74" s="105">
        <f>'G&amp;A'!AB62</f>
        <v>28750</v>
      </c>
      <c r="AC74" s="105">
        <f>'G&amp;A'!AC62</f>
        <v>28750</v>
      </c>
      <c r="AD74" s="105">
        <f>'G&amp;A'!AD62</f>
        <v>28750</v>
      </c>
      <c r="AE74" s="105">
        <f>'G&amp;A'!AE62</f>
        <v>28750</v>
      </c>
      <c r="AF74" s="105">
        <f>'G&amp;A'!AF62</f>
        <v>28750</v>
      </c>
      <c r="AG74" s="105">
        <f>'G&amp;A'!AG62</f>
        <v>0</v>
      </c>
      <c r="AH74" s="105">
        <f>'G&amp;A'!AH62</f>
        <v>0</v>
      </c>
      <c r="AI74" s="105">
        <f>'G&amp;A'!AI62</f>
        <v>0</v>
      </c>
      <c r="AJ74" s="105">
        <f>'G&amp;A'!AJ62</f>
        <v>0</v>
      </c>
      <c r="AK74" s="105">
        <f>'G&amp;A'!AK62</f>
        <v>0</v>
      </c>
      <c r="AL74" s="105">
        <f>'G&amp;A'!AL62</f>
        <v>0</v>
      </c>
      <c r="AM74" s="105">
        <f>'G&amp;A'!AM62</f>
        <v>0</v>
      </c>
      <c r="AN74" s="105">
        <f>'G&amp;A'!AN62</f>
        <v>0</v>
      </c>
      <c r="AO74" s="105">
        <f>'G&amp;A'!AO62</f>
        <v>0</v>
      </c>
      <c r="AP74" s="105">
        <f>'G&amp;A'!AP62</f>
        <v>0</v>
      </c>
      <c r="AQ74" s="105">
        <f>'G&amp;A'!AQ62</f>
        <v>0</v>
      </c>
      <c r="AR74" s="105">
        <f>'G&amp;A'!AR62</f>
        <v>0</v>
      </c>
      <c r="AS74" s="105">
        <f>'G&amp;A'!AS62</f>
        <v>0</v>
      </c>
      <c r="AT74" s="105">
        <f>'G&amp;A'!AT62</f>
        <v>0</v>
      </c>
      <c r="AU74" s="105">
        <f>'G&amp;A'!AU62</f>
        <v>0</v>
      </c>
      <c r="AV74" s="105">
        <f>'G&amp;A'!AV62</f>
        <v>0</v>
      </c>
      <c r="AW74" s="105">
        <f>'G&amp;A'!AW62</f>
        <v>0</v>
      </c>
      <c r="AX74" s="105">
        <f>'G&amp;A'!AX62</f>
        <v>0</v>
      </c>
      <c r="AY74" s="105">
        <f>'G&amp;A'!AY62</f>
        <v>0</v>
      </c>
      <c r="AZ74" s="105">
        <f>'G&amp;A'!AZ62</f>
        <v>0</v>
      </c>
      <c r="BA74" s="105">
        <f>'G&amp;A'!BA62</f>
        <v>0</v>
      </c>
      <c r="BB74" s="105">
        <f>'G&amp;A'!BB62</f>
        <v>0</v>
      </c>
      <c r="BC74" s="105">
        <f>'G&amp;A'!BC62</f>
        <v>0</v>
      </c>
      <c r="BD74" s="105">
        <f>'G&amp;A'!BD62</f>
        <v>0</v>
      </c>
      <c r="BE74" s="105">
        <f>'G&amp;A'!BE62</f>
        <v>0</v>
      </c>
      <c r="BF74" s="105">
        <f>'G&amp;A'!BF62</f>
        <v>0</v>
      </c>
      <c r="BG74" s="105">
        <f>'G&amp;A'!BG62</f>
        <v>0</v>
      </c>
      <c r="BH74" s="105">
        <f>'G&amp;A'!BH62</f>
        <v>0</v>
      </c>
      <c r="BI74" s="105">
        <f>'G&amp;A'!BI62</f>
        <v>0</v>
      </c>
      <c r="BJ74" s="105">
        <f>'G&amp;A'!BJ62</f>
        <v>0</v>
      </c>
      <c r="BK74" s="105">
        <f>'G&amp;A'!BK62</f>
        <v>0</v>
      </c>
      <c r="BL74" s="105">
        <f>'G&amp;A'!BL62</f>
        <v>0</v>
      </c>
      <c r="BM74" s="105">
        <f>'G&amp;A'!BM62</f>
        <v>0</v>
      </c>
      <c r="BN74" s="105">
        <f>'G&amp;A'!BN62</f>
        <v>0</v>
      </c>
      <c r="BO74" s="105">
        <f>'G&amp;A'!BO62</f>
        <v>0</v>
      </c>
      <c r="BP74" s="105">
        <f>'G&amp;A'!BP62</f>
        <v>0</v>
      </c>
      <c r="BQ74" s="105">
        <f>'G&amp;A'!BQ62</f>
        <v>0</v>
      </c>
      <c r="BR74" s="105">
        <f>'G&amp;A'!BR62</f>
        <v>0</v>
      </c>
      <c r="BS74" s="105">
        <f>'G&amp;A'!BS62</f>
        <v>0</v>
      </c>
      <c r="BT74" s="105">
        <f>'G&amp;A'!BT62</f>
        <v>0</v>
      </c>
    </row>
    <row r="75" spans="8:75" ht="15" thickBot="1" x14ac:dyDescent="0.35">
      <c r="H75" s="105"/>
      <c r="J75" t="s">
        <v>97</v>
      </c>
      <c r="M75" s="32">
        <f ca="1">SUM(M65:M74)</f>
        <v>617172.5680945632</v>
      </c>
      <c r="N75" s="32">
        <f t="shared" ref="N75:BT75" ca="1" si="31">SUM(N65:N74)</f>
        <v>512345.13618912647</v>
      </c>
      <c r="O75" s="32">
        <f t="shared" ca="1" si="31"/>
        <v>407517.70428368973</v>
      </c>
      <c r="P75" s="32">
        <f t="shared" ca="1" si="31"/>
        <v>288173.60571158631</v>
      </c>
      <c r="Q75" s="32">
        <f t="shared" ca="1" si="31"/>
        <v>168829.50713948288</v>
      </c>
      <c r="R75" s="32">
        <f t="shared" ca="1" si="31"/>
        <v>33968.741900712805</v>
      </c>
      <c r="S75" s="32">
        <f t="shared" ca="1" si="31"/>
        <v>-97229.023338057275</v>
      </c>
      <c r="T75" s="32">
        <f t="shared" ca="1" si="31"/>
        <v>-227457.78857682736</v>
      </c>
      <c r="U75" s="32">
        <f t="shared" ca="1" si="31"/>
        <v>-361361.38714893081</v>
      </c>
      <c r="V75" s="32">
        <f t="shared" ca="1" si="31"/>
        <v>2005361.514278966</v>
      </c>
      <c r="W75" s="32">
        <f t="shared" ca="1" si="31"/>
        <v>1873406.4157068627</v>
      </c>
      <c r="X75" s="32">
        <f t="shared" ca="1" si="31"/>
        <v>1738832.9838014261</v>
      </c>
      <c r="Y75" s="32">
        <f t="shared" ca="1" si="31"/>
        <v>1552694.1352293228</v>
      </c>
      <c r="Z75" s="32">
        <f t="shared" ca="1" si="31"/>
        <v>1387343.5866572196</v>
      </c>
      <c r="AA75" s="32">
        <f t="shared" ca="1" si="31"/>
        <v>1207295.3380851164</v>
      </c>
      <c r="AB75" s="32">
        <f t="shared" ca="1" si="31"/>
        <v>995125.27701301302</v>
      </c>
      <c r="AC75" s="32">
        <f t="shared" ca="1" si="31"/>
        <v>783243.07531590958</v>
      </c>
      <c r="AD75" s="32">
        <f t="shared" ca="1" si="31"/>
        <v>559631.56929588958</v>
      </c>
      <c r="AE75" s="32">
        <f t="shared" ca="1" si="31"/>
        <v>331237.68957014033</v>
      </c>
      <c r="AF75" s="32">
        <f t="shared" ca="1" si="31"/>
        <v>109072.90745337546</v>
      </c>
      <c r="AG75" s="32">
        <f t="shared" ca="1" si="31"/>
        <v>-132139.90217395587</v>
      </c>
      <c r="AH75" s="32">
        <f t="shared" ca="1" si="31"/>
        <v>8630837.2018126175</v>
      </c>
      <c r="AI75" s="32">
        <f t="shared" ca="1" si="31"/>
        <v>8397789.4725937918</v>
      </c>
      <c r="AJ75" s="32">
        <f t="shared" ca="1" si="31"/>
        <v>8166599.571009296</v>
      </c>
      <c r="AK75" s="32">
        <f t="shared" ca="1" si="31"/>
        <v>7956205.8609408485</v>
      </c>
      <c r="AL75" s="32">
        <f t="shared" ca="1" si="31"/>
        <v>7775902.1016574781</v>
      </c>
      <c r="AM75" s="32">
        <f t="shared" ca="1" si="31"/>
        <v>7595158.1605885448</v>
      </c>
      <c r="AN75" s="32">
        <f t="shared" ca="1" si="31"/>
        <v>7436229.8961447701</v>
      </c>
      <c r="AO75" s="32">
        <f t="shared" ca="1" si="31"/>
        <v>7278614.8484074119</v>
      </c>
      <c r="AP75" s="32">
        <f t="shared" ca="1" si="31"/>
        <v>7125230.644461791</v>
      </c>
      <c r="AQ75" s="32">
        <f t="shared" ca="1" si="31"/>
        <v>6992147.4114974951</v>
      </c>
      <c r="AR75" s="32">
        <f t="shared" ca="1" si="31"/>
        <v>6864273.172646923</v>
      </c>
      <c r="AS75" s="32">
        <f t="shared" ca="1" si="31"/>
        <v>6752650.7338657603</v>
      </c>
      <c r="AT75" s="32">
        <f t="shared" ca="1" si="31"/>
        <v>6660548.1201574774</v>
      </c>
      <c r="AU75" s="32">
        <f t="shared" ca="1" si="31"/>
        <v>6588286.7527757185</v>
      </c>
      <c r="AV75" s="32">
        <f t="shared" ca="1" si="31"/>
        <v>6554663.3590368107</v>
      </c>
      <c r="AW75" s="32">
        <f t="shared" ca="1" si="31"/>
        <v>6530521.436224631</v>
      </c>
      <c r="AX75" s="32">
        <f t="shared" ca="1" si="31"/>
        <v>6573280.6194082545</v>
      </c>
      <c r="AY75" s="32">
        <f t="shared" ca="1" si="31"/>
        <v>6664225.4255773937</v>
      </c>
      <c r="AZ75" s="32">
        <f t="shared" ca="1" si="31"/>
        <v>6788803.2622555466</v>
      </c>
      <c r="BA75" s="32">
        <f t="shared" ca="1" si="31"/>
        <v>6957920.4806848811</v>
      </c>
      <c r="BB75" s="32">
        <f t="shared" ca="1" si="31"/>
        <v>7183643.3496900089</v>
      </c>
      <c r="BC75" s="32">
        <f t="shared" ca="1" si="31"/>
        <v>7459521.3949016836</v>
      </c>
      <c r="BD75" s="32">
        <f t="shared" ca="1" si="31"/>
        <v>7776336.0366084343</v>
      </c>
      <c r="BE75" s="32">
        <f t="shared" ca="1" si="31"/>
        <v>8131156.2261675149</v>
      </c>
      <c r="BF75" s="32">
        <f t="shared" ca="1" si="31"/>
        <v>8548310.647569811</v>
      </c>
      <c r="BG75" s="32">
        <f t="shared" ca="1" si="31"/>
        <v>9009812.8174164109</v>
      </c>
      <c r="BH75" s="32">
        <f t="shared" ca="1" si="31"/>
        <v>9541652.6832274087</v>
      </c>
      <c r="BI75" s="32">
        <f t="shared" ca="1" si="31"/>
        <v>10318233.421249548</v>
      </c>
      <c r="BJ75" s="32">
        <f t="shared" ca="1" si="31"/>
        <v>11205780.326130953</v>
      </c>
      <c r="BK75" s="32">
        <f t="shared" ca="1" si="31"/>
        <v>12197102.542944076</v>
      </c>
      <c r="BL75" s="32">
        <f t="shared" ca="1" si="31"/>
        <v>13299713.724523662</v>
      </c>
      <c r="BM75" s="32">
        <f t="shared" ca="1" si="31"/>
        <v>14517283.128161114</v>
      </c>
      <c r="BN75" s="32">
        <f t="shared" ca="1" si="31"/>
        <v>15850429.650839426</v>
      </c>
      <c r="BO75" s="32">
        <f t="shared" ca="1" si="31"/>
        <v>17309838.26122994</v>
      </c>
      <c r="BP75" s="32">
        <f t="shared" ca="1" si="31"/>
        <v>18904619.728289038</v>
      </c>
      <c r="BQ75" s="32">
        <f t="shared" ca="1" si="31"/>
        <v>20631423.046284713</v>
      </c>
      <c r="BR75" s="32">
        <f t="shared" ca="1" si="31"/>
        <v>22510143.35607459</v>
      </c>
      <c r="BS75" s="32">
        <f t="shared" ca="1" si="31"/>
        <v>24541678.162447922</v>
      </c>
      <c r="BT75" s="32">
        <f t="shared" ca="1" si="31"/>
        <v>26735190.047334753</v>
      </c>
    </row>
    <row r="76" spans="8:75" ht="15" thickTop="1" x14ac:dyDescent="0.3">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row>
    <row r="77" spans="8:75" ht="15" thickBot="1" x14ac:dyDescent="0.35">
      <c r="J77" t="s">
        <v>136</v>
      </c>
      <c r="M77" s="107">
        <f ca="1">M61-M75</f>
        <v>0</v>
      </c>
      <c r="N77" s="107">
        <f t="shared" ref="N77:AR77" ca="1" si="32">+N61-N75</f>
        <v>0</v>
      </c>
      <c r="O77" s="107">
        <f t="shared" ca="1" si="32"/>
        <v>0</v>
      </c>
      <c r="P77" s="107">
        <f t="shared" ca="1" si="32"/>
        <v>0</v>
      </c>
      <c r="Q77" s="107">
        <f t="shared" ca="1" si="32"/>
        <v>0</v>
      </c>
      <c r="R77" s="107">
        <f t="shared" ca="1" si="32"/>
        <v>-9.4587448984384537E-11</v>
      </c>
      <c r="S77" s="107">
        <f t="shared" ca="1" si="32"/>
        <v>0</v>
      </c>
      <c r="T77" s="107">
        <f t="shared" ca="1" si="32"/>
        <v>0</v>
      </c>
      <c r="U77" s="107">
        <f t="shared" ca="1" si="32"/>
        <v>0</v>
      </c>
      <c r="V77" s="107">
        <f t="shared" ca="1" si="32"/>
        <v>0</v>
      </c>
      <c r="W77" s="107">
        <f t="shared" ca="1" si="32"/>
        <v>0</v>
      </c>
      <c r="X77" s="107">
        <f t="shared" ca="1" si="32"/>
        <v>0</v>
      </c>
      <c r="Y77" s="107">
        <f t="shared" ca="1" si="32"/>
        <v>0</v>
      </c>
      <c r="Z77" s="107">
        <f t="shared" ca="1" si="32"/>
        <v>0</v>
      </c>
      <c r="AA77" s="107">
        <f t="shared" ca="1" si="32"/>
        <v>0</v>
      </c>
      <c r="AB77" s="107">
        <f t="shared" ca="1" si="32"/>
        <v>-1.1641532182693481E-9</v>
      </c>
      <c r="AC77" s="107">
        <f t="shared" ca="1" si="32"/>
        <v>-1.1641532182693481E-9</v>
      </c>
      <c r="AD77" s="107">
        <f t="shared" ca="1" si="32"/>
        <v>-1.1641532182693481E-9</v>
      </c>
      <c r="AE77" s="107">
        <f t="shared" ca="1" si="32"/>
        <v>-1.1059455573558807E-9</v>
      </c>
      <c r="AF77" s="107">
        <f t="shared" ca="1" si="32"/>
        <v>-1.0331859812140465E-9</v>
      </c>
      <c r="AG77" s="107">
        <f t="shared" ca="1" si="32"/>
        <v>-1.0186340659856796E-9</v>
      </c>
      <c r="AH77" s="107">
        <f t="shared" ca="1" si="32"/>
        <v>0</v>
      </c>
      <c r="AI77" s="107">
        <f t="shared" ca="1" si="32"/>
        <v>0</v>
      </c>
      <c r="AJ77" s="107">
        <f t="shared" ca="1" si="32"/>
        <v>0</v>
      </c>
      <c r="AK77" s="107">
        <f t="shared" ca="1" si="32"/>
        <v>0</v>
      </c>
      <c r="AL77" s="107">
        <f t="shared" ca="1" si="32"/>
        <v>0</v>
      </c>
      <c r="AM77" s="107">
        <f t="shared" ca="1" si="32"/>
        <v>0</v>
      </c>
      <c r="AN77" s="107">
        <f t="shared" ca="1" si="32"/>
        <v>0</v>
      </c>
      <c r="AO77" s="107">
        <f t="shared" ca="1" si="32"/>
        <v>0</v>
      </c>
      <c r="AP77" s="107">
        <f t="shared" ca="1" si="32"/>
        <v>0</v>
      </c>
      <c r="AQ77" s="107">
        <f t="shared" ca="1" si="32"/>
        <v>0</v>
      </c>
      <c r="AR77" s="107">
        <f t="shared" ca="1" si="32"/>
        <v>0</v>
      </c>
      <c r="AS77" s="107">
        <f t="shared" ref="AS77:BT77" ca="1" si="33">+AS61-AS75</f>
        <v>0</v>
      </c>
      <c r="AT77" s="107">
        <f t="shared" ca="1" si="33"/>
        <v>0</v>
      </c>
      <c r="AU77" s="107">
        <f t="shared" ca="1" si="33"/>
        <v>0</v>
      </c>
      <c r="AV77" s="107">
        <f t="shared" ca="1" si="33"/>
        <v>0</v>
      </c>
      <c r="AW77" s="107">
        <f t="shared" ca="1" si="33"/>
        <v>0</v>
      </c>
      <c r="AX77" s="107">
        <f t="shared" ca="1" si="33"/>
        <v>0</v>
      </c>
      <c r="AY77" s="107">
        <f t="shared" ca="1" si="33"/>
        <v>0</v>
      </c>
      <c r="AZ77" s="107">
        <f t="shared" ca="1" si="33"/>
        <v>0</v>
      </c>
      <c r="BA77" s="107">
        <f t="shared" ca="1" si="33"/>
        <v>0</v>
      </c>
      <c r="BB77" s="107">
        <f t="shared" ca="1" si="33"/>
        <v>0</v>
      </c>
      <c r="BC77" s="107">
        <f t="shared" ca="1" si="33"/>
        <v>0</v>
      </c>
      <c r="BD77" s="107">
        <f t="shared" ca="1" si="33"/>
        <v>0</v>
      </c>
      <c r="BE77" s="107">
        <f t="shared" ca="1" si="33"/>
        <v>0</v>
      </c>
      <c r="BF77" s="107">
        <f t="shared" ca="1" si="33"/>
        <v>0</v>
      </c>
      <c r="BG77" s="107">
        <f t="shared" ca="1" si="33"/>
        <v>0</v>
      </c>
      <c r="BH77" s="107">
        <f t="shared" ca="1" si="33"/>
        <v>0</v>
      </c>
      <c r="BI77" s="107">
        <f t="shared" ca="1" si="33"/>
        <v>0</v>
      </c>
      <c r="BJ77" s="107">
        <f t="shared" ca="1" si="33"/>
        <v>0</v>
      </c>
      <c r="BK77" s="107">
        <f t="shared" ca="1" si="33"/>
        <v>0</v>
      </c>
      <c r="BL77" s="107">
        <f t="shared" ca="1" si="33"/>
        <v>0</v>
      </c>
      <c r="BM77" s="107">
        <f t="shared" ca="1" si="33"/>
        <v>0</v>
      </c>
      <c r="BN77" s="107">
        <f t="shared" ca="1" si="33"/>
        <v>0</v>
      </c>
      <c r="BO77" s="107">
        <f t="shared" ca="1" si="33"/>
        <v>0</v>
      </c>
      <c r="BP77" s="107">
        <f t="shared" ca="1" si="33"/>
        <v>0</v>
      </c>
      <c r="BQ77" s="107">
        <f t="shared" ca="1" si="33"/>
        <v>0</v>
      </c>
      <c r="BR77" s="107">
        <f t="shared" ca="1" si="33"/>
        <v>0</v>
      </c>
      <c r="BS77" s="107">
        <f t="shared" ca="1" si="33"/>
        <v>0</v>
      </c>
      <c r="BT77" s="107">
        <f t="shared" ca="1" si="33"/>
        <v>0</v>
      </c>
    </row>
    <row r="78" spans="8:75" x14ac:dyDescent="0.3">
      <c r="I78" s="120" t="s">
        <v>274</v>
      </c>
      <c r="J78" s="121" t="str">
        <f ca="1">_xlfn.CONCAT(_xlfn.XLOOKUP(MIN(M75:BT75),M75:BT75,M2:BT3))</f>
        <v>Year 1Sep</v>
      </c>
    </row>
    <row r="79" spans="8:75" ht="15" thickBot="1" x14ac:dyDescent="0.35">
      <c r="I79" s="122" t="s">
        <v>275</v>
      </c>
      <c r="J79" s="123" t="str">
        <f ca="1">_xlfn.CONCAT(_xlfn.XLOOKUP(MAX(M75:BT75),M75:BT75,M2:BT3))</f>
        <v>Year 5Dec</v>
      </c>
    </row>
    <row r="80" spans="8:75" x14ac:dyDescent="0.3">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row>
    <row r="82" spans="9:72" x14ac:dyDescent="0.3">
      <c r="I82" t="s">
        <v>110</v>
      </c>
      <c r="M82" s="58">
        <v>500000</v>
      </c>
      <c r="N82" s="17"/>
      <c r="O82" s="17"/>
      <c r="P82" s="17"/>
      <c r="Q82" s="17"/>
      <c r="R82" s="17"/>
      <c r="S82" s="17"/>
      <c r="T82" s="17"/>
      <c r="U82" s="17"/>
      <c r="V82" s="58">
        <v>2500000</v>
      </c>
      <c r="W82" s="58"/>
      <c r="X82" s="17"/>
      <c r="Y82" s="58"/>
      <c r="Z82" s="17"/>
      <c r="AA82" s="17"/>
      <c r="AB82" s="17"/>
      <c r="AC82" s="17"/>
      <c r="AD82" s="17"/>
      <c r="AE82" s="17"/>
      <c r="AF82" s="17"/>
      <c r="AG82" s="17"/>
      <c r="AH82" s="17">
        <v>9000000</v>
      </c>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row>
    <row r="83" spans="9:72" x14ac:dyDescent="0.3">
      <c r="I83" t="s">
        <v>111</v>
      </c>
      <c r="M83" s="37">
        <f t="shared" ref="M83:AR83" si="34">M82+L83</f>
        <v>500000</v>
      </c>
      <c r="N83" s="37">
        <f t="shared" si="34"/>
        <v>500000</v>
      </c>
      <c r="O83" s="37">
        <f t="shared" si="34"/>
        <v>500000</v>
      </c>
      <c r="P83" s="37">
        <f t="shared" si="34"/>
        <v>500000</v>
      </c>
      <c r="Q83" s="37">
        <f t="shared" si="34"/>
        <v>500000</v>
      </c>
      <c r="R83" s="37">
        <f t="shared" si="34"/>
        <v>500000</v>
      </c>
      <c r="S83" s="37">
        <f t="shared" si="34"/>
        <v>500000</v>
      </c>
      <c r="T83" s="37">
        <f t="shared" si="34"/>
        <v>500000</v>
      </c>
      <c r="U83" s="37">
        <f t="shared" si="34"/>
        <v>500000</v>
      </c>
      <c r="V83" s="37">
        <f>V82+U83</f>
        <v>3000000</v>
      </c>
      <c r="W83" s="37">
        <f>W82+V83</f>
        <v>3000000</v>
      </c>
      <c r="X83" s="37">
        <f t="shared" si="34"/>
        <v>3000000</v>
      </c>
      <c r="Y83" s="37">
        <f>Y82+X83</f>
        <v>3000000</v>
      </c>
      <c r="Z83" s="37">
        <f t="shared" si="34"/>
        <v>3000000</v>
      </c>
      <c r="AA83" s="37">
        <f t="shared" si="34"/>
        <v>3000000</v>
      </c>
      <c r="AB83" s="37">
        <f t="shared" si="34"/>
        <v>3000000</v>
      </c>
      <c r="AC83" s="37">
        <f t="shared" si="34"/>
        <v>3000000</v>
      </c>
      <c r="AD83" s="37">
        <f t="shared" si="34"/>
        <v>3000000</v>
      </c>
      <c r="AE83" s="37">
        <f t="shared" si="34"/>
        <v>3000000</v>
      </c>
      <c r="AF83" s="37">
        <f t="shared" si="34"/>
        <v>3000000</v>
      </c>
      <c r="AG83" s="37">
        <f t="shared" si="34"/>
        <v>3000000</v>
      </c>
      <c r="AH83" s="37">
        <f t="shared" si="34"/>
        <v>12000000</v>
      </c>
      <c r="AI83" s="37">
        <f t="shared" si="34"/>
        <v>12000000</v>
      </c>
      <c r="AJ83" s="37">
        <f t="shared" si="34"/>
        <v>12000000</v>
      </c>
      <c r="AK83" s="37">
        <f t="shared" si="34"/>
        <v>12000000</v>
      </c>
      <c r="AL83" s="37">
        <f t="shared" si="34"/>
        <v>12000000</v>
      </c>
      <c r="AM83" s="37">
        <f t="shared" si="34"/>
        <v>12000000</v>
      </c>
      <c r="AN83" s="37">
        <f t="shared" si="34"/>
        <v>12000000</v>
      </c>
      <c r="AO83" s="37">
        <f t="shared" si="34"/>
        <v>12000000</v>
      </c>
      <c r="AP83" s="37">
        <f t="shared" si="34"/>
        <v>12000000</v>
      </c>
      <c r="AQ83" s="37">
        <f t="shared" si="34"/>
        <v>12000000</v>
      </c>
      <c r="AR83" s="37">
        <f t="shared" si="34"/>
        <v>12000000</v>
      </c>
      <c r="AS83" s="37">
        <f t="shared" ref="AS83:BT83" si="35">AS82+AR83</f>
        <v>12000000</v>
      </c>
      <c r="AT83" s="37">
        <f t="shared" si="35"/>
        <v>12000000</v>
      </c>
      <c r="AU83" s="37">
        <f t="shared" si="35"/>
        <v>12000000</v>
      </c>
      <c r="AV83" s="37">
        <f t="shared" si="35"/>
        <v>12000000</v>
      </c>
      <c r="AW83" s="37">
        <f t="shared" si="35"/>
        <v>12000000</v>
      </c>
      <c r="AX83" s="37">
        <f t="shared" si="35"/>
        <v>12000000</v>
      </c>
      <c r="AY83" s="37">
        <f t="shared" si="35"/>
        <v>12000000</v>
      </c>
      <c r="AZ83" s="37">
        <f t="shared" si="35"/>
        <v>12000000</v>
      </c>
      <c r="BA83" s="37">
        <f t="shared" si="35"/>
        <v>12000000</v>
      </c>
      <c r="BB83" s="37">
        <f t="shared" si="35"/>
        <v>12000000</v>
      </c>
      <c r="BC83" s="37">
        <f t="shared" si="35"/>
        <v>12000000</v>
      </c>
      <c r="BD83" s="37">
        <f t="shared" si="35"/>
        <v>12000000</v>
      </c>
      <c r="BE83" s="37">
        <f t="shared" si="35"/>
        <v>12000000</v>
      </c>
      <c r="BF83" s="37">
        <f t="shared" si="35"/>
        <v>12000000</v>
      </c>
      <c r="BG83" s="37">
        <f t="shared" si="35"/>
        <v>12000000</v>
      </c>
      <c r="BH83" s="37">
        <f t="shared" si="35"/>
        <v>12000000</v>
      </c>
      <c r="BI83" s="37">
        <f t="shared" si="35"/>
        <v>12000000</v>
      </c>
      <c r="BJ83" s="37">
        <f t="shared" si="35"/>
        <v>12000000</v>
      </c>
      <c r="BK83" s="37">
        <f t="shared" si="35"/>
        <v>12000000</v>
      </c>
      <c r="BL83" s="37">
        <f t="shared" si="35"/>
        <v>12000000</v>
      </c>
      <c r="BM83" s="37">
        <f t="shared" si="35"/>
        <v>12000000</v>
      </c>
      <c r="BN83" s="37">
        <f t="shared" si="35"/>
        <v>12000000</v>
      </c>
      <c r="BO83" s="37">
        <f t="shared" si="35"/>
        <v>12000000</v>
      </c>
      <c r="BP83" s="37">
        <f t="shared" si="35"/>
        <v>12000000</v>
      </c>
      <c r="BQ83" s="37">
        <f t="shared" si="35"/>
        <v>12000000</v>
      </c>
      <c r="BR83" s="37">
        <f t="shared" si="35"/>
        <v>12000000</v>
      </c>
      <c r="BS83" s="37">
        <f t="shared" si="35"/>
        <v>12000000</v>
      </c>
      <c r="BT83" s="37">
        <f t="shared" si="35"/>
        <v>12000000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3E95B-3D63-A840-9EF1-EDFA8B662660}">
  <sheetPr>
    <tabColor rgb="FF0070C0"/>
  </sheetPr>
  <dimension ref="A1:BT31"/>
  <sheetViews>
    <sheetView workbookViewId="0">
      <selection activeCell="N15" sqref="N15"/>
    </sheetView>
  </sheetViews>
  <sheetFormatPr defaultColWidth="11.44140625" defaultRowHeight="14.4" x14ac:dyDescent="0.3"/>
  <cols>
    <col min="2" max="2" width="26.33203125" customWidth="1"/>
    <col min="3" max="12" width="0.33203125" style="103" hidden="1" customWidth="1"/>
    <col min="13" max="21" width="13" bestFit="1" customWidth="1"/>
    <col min="22" max="22" width="13.44140625" bestFit="1" customWidth="1"/>
    <col min="23" max="23" width="13" bestFit="1" customWidth="1"/>
    <col min="24" max="27" width="13.44140625" bestFit="1" customWidth="1"/>
    <col min="28" max="28" width="13" bestFit="1" customWidth="1"/>
    <col min="29" max="29" width="13.44140625" bestFit="1" customWidth="1"/>
    <col min="30" max="30" width="13.6640625" bestFit="1" customWidth="1"/>
    <col min="31" max="31" width="13.44140625" bestFit="1" customWidth="1"/>
    <col min="32" max="32" width="13.6640625" bestFit="1" customWidth="1"/>
    <col min="33" max="33" width="11.6640625" bestFit="1" customWidth="1"/>
    <col min="34" max="51" width="12.109375" bestFit="1" customWidth="1"/>
    <col min="52" max="72" width="12.6640625" bestFit="1" customWidth="1"/>
  </cols>
  <sheetData>
    <row r="1" spans="1:72" x14ac:dyDescent="0.3">
      <c r="A1" s="75" t="s">
        <v>112</v>
      </c>
    </row>
    <row r="3" spans="1:72" s="76" customFormat="1" x14ac:dyDescent="0.3">
      <c r="C3" s="117"/>
      <c r="D3" s="117"/>
      <c r="E3" s="117"/>
      <c r="F3" s="117"/>
      <c r="G3" s="117"/>
      <c r="H3" s="117"/>
      <c r="I3" s="117"/>
      <c r="J3" s="117"/>
      <c r="K3" s="117"/>
      <c r="L3" s="117"/>
      <c r="M3" s="76" t="s">
        <v>8</v>
      </c>
      <c r="N3" s="76" t="s">
        <v>8</v>
      </c>
      <c r="O3" s="76" t="s">
        <v>8</v>
      </c>
      <c r="P3" s="76" t="s">
        <v>8</v>
      </c>
      <c r="Q3" s="76" t="s">
        <v>8</v>
      </c>
      <c r="R3" s="76" t="s">
        <v>8</v>
      </c>
      <c r="S3" s="76" t="s">
        <v>8</v>
      </c>
      <c r="T3" s="76" t="s">
        <v>8</v>
      </c>
      <c r="U3" s="76" t="s">
        <v>8</v>
      </c>
      <c r="V3" s="76" t="s">
        <v>8</v>
      </c>
      <c r="W3" s="76" t="s">
        <v>8</v>
      </c>
      <c r="X3" s="76" t="s">
        <v>8</v>
      </c>
      <c r="Y3" s="76" t="s">
        <v>9</v>
      </c>
      <c r="Z3" s="76" t="s">
        <v>9</v>
      </c>
      <c r="AA3" s="76" t="s">
        <v>9</v>
      </c>
      <c r="AB3" s="76" t="s">
        <v>9</v>
      </c>
      <c r="AC3" s="76" t="s">
        <v>9</v>
      </c>
      <c r="AD3" s="76" t="s">
        <v>9</v>
      </c>
      <c r="AE3" s="76" t="s">
        <v>9</v>
      </c>
      <c r="AF3" s="76" t="s">
        <v>9</v>
      </c>
      <c r="AG3" s="76" t="s">
        <v>9</v>
      </c>
      <c r="AH3" s="76" t="s">
        <v>9</v>
      </c>
      <c r="AI3" s="76" t="s">
        <v>9</v>
      </c>
      <c r="AJ3" s="76" t="s">
        <v>9</v>
      </c>
      <c r="AK3" s="76" t="s">
        <v>10</v>
      </c>
      <c r="AL3" s="76" t="s">
        <v>10</v>
      </c>
      <c r="AM3" s="76" t="s">
        <v>10</v>
      </c>
      <c r="AN3" s="76" t="s">
        <v>10</v>
      </c>
      <c r="AO3" s="76" t="s">
        <v>10</v>
      </c>
      <c r="AP3" s="76" t="s">
        <v>10</v>
      </c>
      <c r="AQ3" s="76" t="s">
        <v>10</v>
      </c>
      <c r="AR3" s="76" t="s">
        <v>10</v>
      </c>
      <c r="AS3" s="76" t="s">
        <v>10</v>
      </c>
      <c r="AT3" s="76" t="s">
        <v>10</v>
      </c>
      <c r="AU3" s="76" t="s">
        <v>10</v>
      </c>
      <c r="AV3" s="76" t="s">
        <v>10</v>
      </c>
      <c r="AW3" s="76" t="s">
        <v>11</v>
      </c>
      <c r="AX3" s="76" t="s">
        <v>11</v>
      </c>
      <c r="AY3" s="76" t="s">
        <v>11</v>
      </c>
      <c r="AZ3" s="76" t="s">
        <v>11</v>
      </c>
      <c r="BA3" s="76" t="s">
        <v>11</v>
      </c>
      <c r="BB3" s="76" t="s">
        <v>11</v>
      </c>
      <c r="BC3" s="76" t="s">
        <v>11</v>
      </c>
      <c r="BD3" s="76" t="s">
        <v>11</v>
      </c>
      <c r="BE3" s="76" t="s">
        <v>11</v>
      </c>
      <c r="BF3" s="76" t="s">
        <v>11</v>
      </c>
      <c r="BG3" s="76" t="s">
        <v>11</v>
      </c>
      <c r="BH3" s="76" t="s">
        <v>11</v>
      </c>
      <c r="BI3" s="76" t="s">
        <v>12</v>
      </c>
      <c r="BJ3" s="76" t="s">
        <v>12</v>
      </c>
      <c r="BK3" s="76" t="s">
        <v>12</v>
      </c>
      <c r="BL3" s="76" t="s">
        <v>12</v>
      </c>
      <c r="BM3" s="76" t="s">
        <v>12</v>
      </c>
      <c r="BN3" s="76" t="s">
        <v>12</v>
      </c>
      <c r="BO3" s="76" t="s">
        <v>12</v>
      </c>
      <c r="BP3" s="76" t="s">
        <v>12</v>
      </c>
      <c r="BQ3" s="76" t="s">
        <v>12</v>
      </c>
      <c r="BR3" s="76" t="s">
        <v>12</v>
      </c>
      <c r="BS3" s="76" t="s">
        <v>12</v>
      </c>
      <c r="BT3" s="76" t="s">
        <v>12</v>
      </c>
    </row>
    <row r="4" spans="1:72" s="77" customFormat="1" x14ac:dyDescent="0.3">
      <c r="C4" s="118"/>
      <c r="D4" s="118"/>
      <c r="E4" s="118"/>
      <c r="F4" s="118"/>
      <c r="G4" s="118"/>
      <c r="H4" s="118"/>
      <c r="I4" s="118"/>
      <c r="J4" s="118"/>
      <c r="K4" s="118"/>
      <c r="L4" s="118"/>
      <c r="M4" s="77" t="s">
        <v>113</v>
      </c>
      <c r="N4" s="77" t="s">
        <v>114</v>
      </c>
      <c r="O4" s="77" t="s">
        <v>115</v>
      </c>
      <c r="P4" s="77" t="s">
        <v>116</v>
      </c>
      <c r="Q4" s="77" t="s">
        <v>18</v>
      </c>
      <c r="R4" s="77" t="s">
        <v>117</v>
      </c>
      <c r="S4" s="77" t="s">
        <v>118</v>
      </c>
      <c r="T4" s="77" t="s">
        <v>119</v>
      </c>
      <c r="U4" s="77" t="s">
        <v>120</v>
      </c>
      <c r="V4" s="77" t="s">
        <v>121</v>
      </c>
      <c r="W4" s="77" t="s">
        <v>122</v>
      </c>
      <c r="X4" s="77" t="s">
        <v>123</v>
      </c>
      <c r="Y4" s="77" t="s">
        <v>113</v>
      </c>
      <c r="Z4" s="77" t="s">
        <v>114</v>
      </c>
      <c r="AA4" s="77" t="s">
        <v>115</v>
      </c>
      <c r="AB4" s="77" t="s">
        <v>116</v>
      </c>
      <c r="AC4" s="77" t="s">
        <v>18</v>
      </c>
      <c r="AD4" s="77" t="s">
        <v>117</v>
      </c>
      <c r="AE4" s="77" t="s">
        <v>118</v>
      </c>
      <c r="AF4" s="77" t="s">
        <v>119</v>
      </c>
      <c r="AG4" s="77" t="s">
        <v>120</v>
      </c>
      <c r="AH4" s="77" t="s">
        <v>121</v>
      </c>
      <c r="AI4" s="77" t="s">
        <v>122</v>
      </c>
      <c r="AJ4" s="77" t="s">
        <v>123</v>
      </c>
      <c r="AK4" s="77" t="s">
        <v>113</v>
      </c>
      <c r="AL4" s="77" t="s">
        <v>114</v>
      </c>
      <c r="AM4" s="77" t="s">
        <v>115</v>
      </c>
      <c r="AN4" s="77" t="s">
        <v>116</v>
      </c>
      <c r="AO4" s="77" t="s">
        <v>18</v>
      </c>
      <c r="AP4" s="77" t="s">
        <v>117</v>
      </c>
      <c r="AQ4" s="77" t="s">
        <v>118</v>
      </c>
      <c r="AR4" s="77" t="s">
        <v>119</v>
      </c>
      <c r="AS4" s="77" t="s">
        <v>120</v>
      </c>
      <c r="AT4" s="77" t="s">
        <v>121</v>
      </c>
      <c r="AU4" s="77" t="s">
        <v>122</v>
      </c>
      <c r="AV4" s="77" t="s">
        <v>123</v>
      </c>
      <c r="AW4" s="77" t="s">
        <v>113</v>
      </c>
      <c r="AX4" s="77" t="s">
        <v>114</v>
      </c>
      <c r="AY4" s="77" t="s">
        <v>115</v>
      </c>
      <c r="AZ4" s="77" t="s">
        <v>116</v>
      </c>
      <c r="BA4" s="77" t="s">
        <v>18</v>
      </c>
      <c r="BB4" s="77" t="s">
        <v>117</v>
      </c>
      <c r="BC4" s="77" t="s">
        <v>118</v>
      </c>
      <c r="BD4" s="77" t="s">
        <v>119</v>
      </c>
      <c r="BE4" s="77" t="s">
        <v>120</v>
      </c>
      <c r="BF4" s="77" t="s">
        <v>121</v>
      </c>
      <c r="BG4" s="77" t="s">
        <v>122</v>
      </c>
      <c r="BH4" s="77" t="s">
        <v>123</v>
      </c>
      <c r="BI4" s="77" t="s">
        <v>113</v>
      </c>
      <c r="BJ4" s="77" t="s">
        <v>114</v>
      </c>
      <c r="BK4" s="77" t="s">
        <v>115</v>
      </c>
      <c r="BL4" s="77" t="s">
        <v>116</v>
      </c>
      <c r="BM4" s="77" t="s">
        <v>18</v>
      </c>
      <c r="BN4" s="77" t="s">
        <v>117</v>
      </c>
      <c r="BO4" s="77" t="s">
        <v>118</v>
      </c>
      <c r="BP4" s="77" t="s">
        <v>119</v>
      </c>
      <c r="BQ4" s="77" t="s">
        <v>120</v>
      </c>
      <c r="BR4" s="77" t="s">
        <v>121</v>
      </c>
      <c r="BS4" s="77" t="s">
        <v>122</v>
      </c>
      <c r="BT4" s="77" t="s">
        <v>123</v>
      </c>
    </row>
    <row r="5" spans="1:72" x14ac:dyDescent="0.3">
      <c r="A5" s="75" t="s">
        <v>124</v>
      </c>
    </row>
    <row r="6" spans="1:72" x14ac:dyDescent="0.3">
      <c r="A6" s="19"/>
      <c r="B6" t="s">
        <v>125</v>
      </c>
      <c r="M6" s="18">
        <f ca="1">'P&amp;L'!M75</f>
        <v>617172.5680945632</v>
      </c>
      <c r="N6" s="18">
        <f ca="1">'P&amp;L'!N75</f>
        <v>512345.13618912647</v>
      </c>
      <c r="O6" s="18">
        <f ca="1">'P&amp;L'!O75</f>
        <v>407517.70428368973</v>
      </c>
      <c r="P6" s="18">
        <f ca="1">'P&amp;L'!P75</f>
        <v>288173.60571158631</v>
      </c>
      <c r="Q6" s="18">
        <f ca="1">'P&amp;L'!Q75</f>
        <v>168829.50713948288</v>
      </c>
      <c r="R6" s="18">
        <f ca="1">'P&amp;L'!R75</f>
        <v>33968.741900712805</v>
      </c>
      <c r="S6" s="18">
        <f ca="1">'P&amp;L'!S75</f>
        <v>-97229.023338057275</v>
      </c>
      <c r="T6" s="18">
        <f ca="1">'P&amp;L'!T75</f>
        <v>-227457.78857682736</v>
      </c>
      <c r="U6" s="18">
        <f ca="1">'P&amp;L'!U75</f>
        <v>-361361.38714893081</v>
      </c>
      <c r="V6" s="18">
        <f ca="1">'P&amp;L'!V75</f>
        <v>2005361.514278966</v>
      </c>
      <c r="W6" s="18">
        <f ca="1">'P&amp;L'!W75</f>
        <v>1873406.4157068627</v>
      </c>
      <c r="X6" s="18">
        <f ca="1">'P&amp;L'!X75</f>
        <v>1738832.9838014261</v>
      </c>
      <c r="Y6" s="18">
        <f ca="1">'P&amp;L'!Y75</f>
        <v>1552694.1352293228</v>
      </c>
      <c r="Z6" s="18">
        <f ca="1">'P&amp;L'!Z75</f>
        <v>1387343.5866572196</v>
      </c>
      <c r="AA6" s="18">
        <f ca="1">'P&amp;L'!AA75</f>
        <v>1207295.3380851164</v>
      </c>
      <c r="AB6" s="18">
        <f ca="1">'P&amp;L'!AB75</f>
        <v>995125.27701301302</v>
      </c>
      <c r="AC6" s="18">
        <f ca="1">'P&amp;L'!AC75</f>
        <v>783243.07531590958</v>
      </c>
      <c r="AD6" s="18">
        <f ca="1">'P&amp;L'!AD75</f>
        <v>559631.56929588958</v>
      </c>
      <c r="AE6" s="18">
        <f ca="1">'P&amp;L'!AE75</f>
        <v>331237.68957014033</v>
      </c>
      <c r="AF6" s="18">
        <f ca="1">'P&amp;L'!AF75</f>
        <v>109072.90745337546</v>
      </c>
      <c r="AG6" s="18">
        <f ca="1">'P&amp;L'!AG75</f>
        <v>-132139.90217395587</v>
      </c>
      <c r="AH6" s="18">
        <f ca="1">'P&amp;L'!AH75</f>
        <v>8630837.2018126175</v>
      </c>
      <c r="AI6" s="18">
        <f ca="1">'P&amp;L'!AI75</f>
        <v>8397789.4725937918</v>
      </c>
      <c r="AJ6" s="18">
        <f ca="1">'P&amp;L'!AJ75</f>
        <v>8166599.571009296</v>
      </c>
      <c r="AK6" s="18">
        <f ca="1">'P&amp;L'!AK75</f>
        <v>7956205.8609408485</v>
      </c>
      <c r="AL6" s="18">
        <f ca="1">'P&amp;L'!AL75</f>
        <v>7775902.1016574781</v>
      </c>
      <c r="AM6" s="18">
        <f ca="1">'P&amp;L'!AM75</f>
        <v>7595158.1605885448</v>
      </c>
      <c r="AN6" s="18">
        <f ca="1">'P&amp;L'!AN75</f>
        <v>7436229.8961447701</v>
      </c>
      <c r="AO6" s="18">
        <f ca="1">'P&amp;L'!AO75</f>
        <v>7278614.8484074119</v>
      </c>
      <c r="AP6" s="18">
        <f ca="1">'P&amp;L'!AP75</f>
        <v>7125230.644461791</v>
      </c>
      <c r="AQ6" s="18">
        <f ca="1">'P&amp;L'!AQ75</f>
        <v>6992147.4114974951</v>
      </c>
      <c r="AR6" s="18">
        <f ca="1">'P&amp;L'!AR75</f>
        <v>6864273.172646923</v>
      </c>
      <c r="AS6" s="18">
        <f ca="1">'P&amp;L'!AS75</f>
        <v>6752650.7338657603</v>
      </c>
      <c r="AT6" s="18">
        <f ca="1">'P&amp;L'!AT75</f>
        <v>6660548.1201574774</v>
      </c>
      <c r="AU6" s="18">
        <f ca="1">'P&amp;L'!AU75</f>
        <v>6588286.7527757185</v>
      </c>
      <c r="AV6" s="18">
        <f ca="1">'P&amp;L'!AV75</f>
        <v>6554663.3590368107</v>
      </c>
      <c r="AW6" s="18">
        <f ca="1">'P&amp;L'!AW75</f>
        <v>6530521.436224631</v>
      </c>
      <c r="AX6" s="18">
        <f ca="1">'P&amp;L'!AX75</f>
        <v>6573280.6194082545</v>
      </c>
      <c r="AY6" s="18">
        <f ca="1">'P&amp;L'!AY75</f>
        <v>6664225.4255773937</v>
      </c>
      <c r="AZ6" s="18">
        <f ca="1">'P&amp;L'!AZ75</f>
        <v>6788803.2622555466</v>
      </c>
      <c r="BA6" s="18">
        <f ca="1">'P&amp;L'!BA75</f>
        <v>6957920.4806848811</v>
      </c>
      <c r="BB6" s="18">
        <f ca="1">'P&amp;L'!BB75</f>
        <v>7183643.3496900089</v>
      </c>
      <c r="BC6" s="18">
        <f ca="1">'P&amp;L'!BC75</f>
        <v>7459521.3949016836</v>
      </c>
      <c r="BD6" s="18">
        <f ca="1">'P&amp;L'!BD75</f>
        <v>7776336.0366084343</v>
      </c>
      <c r="BE6" s="18">
        <f ca="1">'P&amp;L'!BE75</f>
        <v>8131156.2261675149</v>
      </c>
      <c r="BF6" s="18">
        <f ca="1">'P&amp;L'!BF75</f>
        <v>8548310.647569811</v>
      </c>
      <c r="BG6" s="18">
        <f ca="1">'P&amp;L'!BG75</f>
        <v>9009812.8174164109</v>
      </c>
      <c r="BH6" s="18">
        <f ca="1">'P&amp;L'!BH75</f>
        <v>9541652.6832274087</v>
      </c>
      <c r="BI6" s="18">
        <f ca="1">'P&amp;L'!BI75</f>
        <v>10318233.421249548</v>
      </c>
      <c r="BJ6" s="18">
        <f ca="1">'P&amp;L'!BJ75</f>
        <v>11205780.326130953</v>
      </c>
      <c r="BK6" s="18">
        <f ca="1">'P&amp;L'!BK75</f>
        <v>12197102.542944076</v>
      </c>
      <c r="BL6" s="18">
        <f ca="1">'P&amp;L'!BL75</f>
        <v>13299713.724523662</v>
      </c>
      <c r="BM6" s="18">
        <f ca="1">'P&amp;L'!BM75</f>
        <v>14517283.128161114</v>
      </c>
      <c r="BN6" s="18">
        <f ca="1">'P&amp;L'!BN75</f>
        <v>15850429.650839426</v>
      </c>
      <c r="BO6" s="18">
        <f ca="1">'P&amp;L'!BO75</f>
        <v>17309838.26122994</v>
      </c>
      <c r="BP6" s="18">
        <f ca="1">'P&amp;L'!BP75</f>
        <v>18904619.728289038</v>
      </c>
      <c r="BQ6" s="18">
        <f ca="1">'P&amp;L'!BQ75</f>
        <v>20631423.046284713</v>
      </c>
      <c r="BR6" s="18">
        <f ca="1">'P&amp;L'!BR75</f>
        <v>22510143.35607459</v>
      </c>
      <c r="BS6" s="18">
        <f ca="1">'P&amp;L'!BS75</f>
        <v>24541678.162447922</v>
      </c>
      <c r="BT6" s="18">
        <f ca="1">'P&amp;L'!BT75</f>
        <v>26735190.047334753</v>
      </c>
    </row>
    <row r="7" spans="1:72" x14ac:dyDescent="0.3">
      <c r="A7" s="19"/>
      <c r="B7" t="s">
        <v>63</v>
      </c>
      <c r="M7" s="18">
        <f>Rev!M85</f>
        <v>0</v>
      </c>
      <c r="N7" s="18">
        <f>Rev!N85</f>
        <v>0</v>
      </c>
      <c r="O7" s="18">
        <f>Rev!O85</f>
        <v>0</v>
      </c>
      <c r="P7" s="18">
        <f>Rev!P85</f>
        <v>0</v>
      </c>
      <c r="Q7" s="18">
        <f>Rev!Q85</f>
        <v>0</v>
      </c>
      <c r="R7" s="18">
        <f>Rev!R85</f>
        <v>0</v>
      </c>
      <c r="S7" s="18">
        <f>Rev!S85</f>
        <v>195</v>
      </c>
      <c r="T7" s="18">
        <f>Rev!T85</f>
        <v>279</v>
      </c>
      <c r="U7" s="18">
        <f>Rev!U85</f>
        <v>328</v>
      </c>
      <c r="V7" s="18">
        <f>Rev!V85</f>
        <v>368.5</v>
      </c>
      <c r="W7" s="18">
        <f>Rev!W85</f>
        <v>445</v>
      </c>
      <c r="X7" s="18">
        <f>Rev!X85</f>
        <v>509</v>
      </c>
      <c r="Y7" s="18">
        <f>Rev!Y85</f>
        <v>2497.5</v>
      </c>
      <c r="Z7" s="18">
        <f>Rev!Z85</f>
        <v>3147.7000000000116</v>
      </c>
      <c r="AA7" s="18">
        <f>Rev!AA85</f>
        <v>3625.6000000000058</v>
      </c>
      <c r="AB7" s="18">
        <f>Rev!AB85</f>
        <v>4004</v>
      </c>
      <c r="AC7" s="18">
        <f>Rev!AC85</f>
        <v>4228.0999999999767</v>
      </c>
      <c r="AD7" s="18">
        <f>Rev!AD85</f>
        <v>4423.1999999999534</v>
      </c>
      <c r="AE7" s="18">
        <f>Rev!AE85</f>
        <v>4877.0999999999767</v>
      </c>
      <c r="AF7" s="18">
        <f>Rev!AF85</f>
        <v>5280.8999999999069</v>
      </c>
      <c r="AG7" s="18">
        <f>Rev!AG85</f>
        <v>5810.0499999999302</v>
      </c>
      <c r="AH7" s="18">
        <f>Rev!AH85</f>
        <v>6112.3499999999767</v>
      </c>
      <c r="AI7" s="18">
        <f>Rev!AI85</f>
        <v>6625.6999999999534</v>
      </c>
      <c r="AJ7" s="18">
        <f>Rev!AJ85</f>
        <v>7071.75</v>
      </c>
      <c r="AK7" s="18">
        <f>Rev!AK85</f>
        <v>11497.850000000093</v>
      </c>
      <c r="AL7" s="18">
        <f>Rev!AL85</f>
        <v>13131.5</v>
      </c>
      <c r="AM7" s="18">
        <f>Rev!AM85</f>
        <v>13979</v>
      </c>
      <c r="AN7" s="18">
        <f>Rev!AN85</f>
        <v>15266.5</v>
      </c>
      <c r="AO7" s="18">
        <f>Rev!AO85</f>
        <v>16688.200000000186</v>
      </c>
      <c r="AP7" s="18">
        <f>Rev!AP85</f>
        <v>18002.100000000093</v>
      </c>
      <c r="AQ7" s="18">
        <f>Rev!AQ85</f>
        <v>19270.200000000186</v>
      </c>
      <c r="AR7" s="18">
        <f>Rev!AR85</f>
        <v>20504.800000000279</v>
      </c>
      <c r="AS7" s="18">
        <f>Rev!AS85</f>
        <v>22029.100000000093</v>
      </c>
      <c r="AT7" s="18">
        <f>Rev!AT85</f>
        <v>23851.5</v>
      </c>
      <c r="AU7" s="18">
        <f>Rev!AU85</f>
        <v>25179.200000000186</v>
      </c>
      <c r="AV7" s="18">
        <f>Rev!AV85</f>
        <v>27415.900000000373</v>
      </c>
      <c r="AW7" s="18">
        <f>Rev!AW85</f>
        <v>36229.600000000559</v>
      </c>
      <c r="AX7" s="18">
        <f>Rev!AX85</f>
        <v>40728.000000000931</v>
      </c>
      <c r="AY7" s="18">
        <f>Rev!AY85</f>
        <v>44378.900000001304</v>
      </c>
      <c r="AZ7" s="18">
        <f>Rev!AZ85</f>
        <v>47180.900000001304</v>
      </c>
      <c r="BA7" s="18">
        <f>Rev!BA85</f>
        <v>50659.300000000745</v>
      </c>
      <c r="BB7" s="18">
        <f>Rev!BB85</f>
        <v>54206.10000000149</v>
      </c>
      <c r="BC7" s="18">
        <f>Rev!BC85</f>
        <v>59239.300000000745</v>
      </c>
      <c r="BD7" s="18">
        <f>Rev!BD85</f>
        <v>63588.400000000373</v>
      </c>
      <c r="BE7" s="18">
        <f>Rev!BE85</f>
        <v>67540.400000000373</v>
      </c>
      <c r="BF7" s="18">
        <f>Rev!BF85</f>
        <v>72326.900000000373</v>
      </c>
      <c r="BG7" s="18">
        <f>Rev!BG85</f>
        <v>76814.800000000745</v>
      </c>
      <c r="BH7" s="18">
        <f>Rev!BH85</f>
        <v>82207.5</v>
      </c>
      <c r="BI7" s="18">
        <f>Rev!BI85</f>
        <v>101919.10000000149</v>
      </c>
      <c r="BJ7" s="18">
        <f>Rev!BJ85</f>
        <v>112556</v>
      </c>
      <c r="BK7" s="18">
        <f>Rev!BK85</f>
        <v>120619.19999999925</v>
      </c>
      <c r="BL7" s="18">
        <f>Rev!BL85</f>
        <v>129332.09999999776</v>
      </c>
      <c r="BM7" s="18">
        <f>Rev!BM85</f>
        <v>138411.19999999925</v>
      </c>
      <c r="BN7" s="18">
        <f>Rev!BN85</f>
        <v>147577</v>
      </c>
      <c r="BO7" s="18">
        <f>Rev!BO85</f>
        <v>157480.5</v>
      </c>
      <c r="BP7" s="18">
        <f>Rev!BP85</f>
        <v>168126.39999999851</v>
      </c>
      <c r="BQ7" s="18">
        <f>Rev!BQ85</f>
        <v>178643.60000000149</v>
      </c>
      <c r="BR7" s="18">
        <f>Rev!BR85</f>
        <v>190478.20000000298</v>
      </c>
      <c r="BS7" s="18">
        <f>Rev!BS85</f>
        <v>202596.20000000298</v>
      </c>
      <c r="BT7" s="18">
        <f>Rev!BT85</f>
        <v>215339.70000000298</v>
      </c>
    </row>
    <row r="8" spans="1:72" x14ac:dyDescent="0.3">
      <c r="A8" s="19"/>
      <c r="B8" t="s">
        <v>308</v>
      </c>
      <c r="M8" s="18">
        <f>'G&amp;A'!M29</f>
        <v>0</v>
      </c>
      <c r="N8" s="18">
        <f>'G&amp;A'!N29</f>
        <v>0</v>
      </c>
      <c r="O8" s="18">
        <f>'G&amp;A'!O29</f>
        <v>0</v>
      </c>
      <c r="P8" s="18">
        <f>'G&amp;A'!P29</f>
        <v>0</v>
      </c>
      <c r="Q8" s="18">
        <f>'G&amp;A'!Q29</f>
        <v>0</v>
      </c>
      <c r="R8" s="18">
        <f>'G&amp;A'!R29</f>
        <v>0</v>
      </c>
      <c r="S8" s="18">
        <f>'G&amp;A'!S29</f>
        <v>0</v>
      </c>
      <c r="T8" s="18">
        <f>'G&amp;A'!T29</f>
        <v>0</v>
      </c>
      <c r="U8" s="18">
        <f>'G&amp;A'!U29</f>
        <v>0</v>
      </c>
      <c r="V8" s="18">
        <f>'G&amp;A'!V29</f>
        <v>0</v>
      </c>
      <c r="W8" s="18">
        <f>'G&amp;A'!W29</f>
        <v>0</v>
      </c>
      <c r="X8" s="18">
        <f>'G&amp;A'!X29</f>
        <v>0</v>
      </c>
      <c r="Y8" s="18">
        <f>'G&amp;A'!Y29</f>
        <v>0</v>
      </c>
      <c r="Z8" s="18">
        <f>'G&amp;A'!Z29</f>
        <v>0</v>
      </c>
      <c r="AA8" s="18">
        <f>'G&amp;A'!AA29</f>
        <v>0</v>
      </c>
      <c r="AB8" s="18">
        <f>'G&amp;A'!AB29</f>
        <v>0</v>
      </c>
      <c r="AC8" s="18">
        <f>'G&amp;A'!AC29</f>
        <v>0</v>
      </c>
      <c r="AD8" s="18">
        <f>'G&amp;A'!AD29</f>
        <v>0</v>
      </c>
      <c r="AE8" s="18">
        <f>'G&amp;A'!AE29</f>
        <v>0</v>
      </c>
      <c r="AF8" s="18">
        <f>'G&amp;A'!AF29</f>
        <v>0</v>
      </c>
      <c r="AG8" s="18">
        <f>'G&amp;A'!AG29</f>
        <v>28000</v>
      </c>
      <c r="AH8" s="18">
        <f>'G&amp;A'!AH29</f>
        <v>28000</v>
      </c>
      <c r="AI8" s="18">
        <f>'G&amp;A'!AI29</f>
        <v>28000</v>
      </c>
      <c r="AJ8" s="18">
        <f>'G&amp;A'!AJ29</f>
        <v>28000</v>
      </c>
      <c r="AK8" s="18">
        <f>'G&amp;A'!AK29</f>
        <v>28000</v>
      </c>
      <c r="AL8" s="18">
        <f>'G&amp;A'!AL29</f>
        <v>28000</v>
      </c>
      <c r="AM8" s="18">
        <f>'G&amp;A'!AM29</f>
        <v>28000</v>
      </c>
      <c r="AN8" s="18">
        <f>'G&amp;A'!AN29</f>
        <v>28000</v>
      </c>
      <c r="AO8" s="18">
        <f>'G&amp;A'!AO29</f>
        <v>28000</v>
      </c>
      <c r="AP8" s="18">
        <f>'G&amp;A'!AP29</f>
        <v>28000</v>
      </c>
      <c r="AQ8" s="18">
        <f>'G&amp;A'!AQ29</f>
        <v>28000</v>
      </c>
      <c r="AR8" s="18">
        <f>'G&amp;A'!AR29</f>
        <v>28000</v>
      </c>
      <c r="AS8" s="18">
        <f>'G&amp;A'!AS29</f>
        <v>28000</v>
      </c>
      <c r="AT8" s="18">
        <f>'G&amp;A'!AT29</f>
        <v>28000</v>
      </c>
      <c r="AU8" s="18">
        <f>'G&amp;A'!AU29</f>
        <v>28000</v>
      </c>
      <c r="AV8" s="18">
        <f>'G&amp;A'!AV29</f>
        <v>28000</v>
      </c>
      <c r="AW8" s="18">
        <f>'G&amp;A'!AW29</f>
        <v>28000</v>
      </c>
      <c r="AX8" s="18">
        <f>'G&amp;A'!AX29</f>
        <v>28000</v>
      </c>
      <c r="AY8" s="18">
        <f>'G&amp;A'!AY29</f>
        <v>28000</v>
      </c>
      <c r="AZ8" s="18">
        <f>'G&amp;A'!AZ29</f>
        <v>28000</v>
      </c>
      <c r="BA8" s="18">
        <f>'G&amp;A'!BA29</f>
        <v>15000</v>
      </c>
      <c r="BB8" s="18">
        <f>'G&amp;A'!BB29</f>
        <v>0</v>
      </c>
      <c r="BC8" s="18">
        <f>'G&amp;A'!BC29</f>
        <v>0</v>
      </c>
      <c r="BD8" s="18">
        <f>'G&amp;A'!BD29</f>
        <v>0</v>
      </c>
      <c r="BE8" s="18">
        <f>'G&amp;A'!BE29</f>
        <v>0</v>
      </c>
      <c r="BF8" s="18">
        <f>'G&amp;A'!BF29</f>
        <v>0</v>
      </c>
      <c r="BG8" s="18">
        <f>'G&amp;A'!BG29</f>
        <v>0</v>
      </c>
      <c r="BH8" s="18">
        <f>'G&amp;A'!BH29</f>
        <v>0</v>
      </c>
      <c r="BI8" s="18">
        <f>'G&amp;A'!BI29</f>
        <v>0</v>
      </c>
      <c r="BJ8" s="18">
        <f>'G&amp;A'!BJ29</f>
        <v>0</v>
      </c>
      <c r="BK8" s="18">
        <f>'G&amp;A'!BK29</f>
        <v>0</v>
      </c>
      <c r="BL8" s="18">
        <f>'G&amp;A'!BL29</f>
        <v>0</v>
      </c>
      <c r="BM8" s="18">
        <f>'G&amp;A'!BM29</f>
        <v>0</v>
      </c>
      <c r="BN8" s="18">
        <f>'G&amp;A'!BN29</f>
        <v>0</v>
      </c>
      <c r="BO8" s="18">
        <f>'G&amp;A'!BO29</f>
        <v>0</v>
      </c>
      <c r="BP8" s="18">
        <f>'G&amp;A'!BP29</f>
        <v>0</v>
      </c>
      <c r="BQ8" s="18">
        <f>'G&amp;A'!BQ29</f>
        <v>0</v>
      </c>
      <c r="BR8" s="18">
        <f>'G&amp;A'!BR29</f>
        <v>0</v>
      </c>
      <c r="BS8" s="18">
        <f>'G&amp;A'!BS29</f>
        <v>0</v>
      </c>
      <c r="BT8" s="18">
        <f>'G&amp;A'!BT29</f>
        <v>0</v>
      </c>
    </row>
    <row r="9" spans="1:72" x14ac:dyDescent="0.3">
      <c r="A9" s="19"/>
      <c r="B9" t="s">
        <v>126</v>
      </c>
      <c r="M9" s="18">
        <v>0</v>
      </c>
      <c r="N9" s="18">
        <f>+M9</f>
        <v>0</v>
      </c>
      <c r="O9" s="18">
        <f t="shared" ref="O9:BT9" si="0">+N9</f>
        <v>0</v>
      </c>
      <c r="P9" s="18">
        <f t="shared" si="0"/>
        <v>0</v>
      </c>
      <c r="Q9" s="18">
        <f t="shared" si="0"/>
        <v>0</v>
      </c>
      <c r="R9" s="18">
        <f t="shared" si="0"/>
        <v>0</v>
      </c>
      <c r="S9" s="18">
        <f t="shared" si="0"/>
        <v>0</v>
      </c>
      <c r="T9" s="18">
        <f t="shared" si="0"/>
        <v>0</v>
      </c>
      <c r="U9" s="18">
        <f t="shared" si="0"/>
        <v>0</v>
      </c>
      <c r="V9" s="18">
        <f t="shared" si="0"/>
        <v>0</v>
      </c>
      <c r="W9" s="18">
        <f t="shared" si="0"/>
        <v>0</v>
      </c>
      <c r="X9" s="18">
        <f t="shared" si="0"/>
        <v>0</v>
      </c>
      <c r="Y9" s="18">
        <f t="shared" si="0"/>
        <v>0</v>
      </c>
      <c r="Z9" s="18">
        <f t="shared" si="0"/>
        <v>0</v>
      </c>
      <c r="AA9" s="18">
        <f t="shared" si="0"/>
        <v>0</v>
      </c>
      <c r="AB9" s="18">
        <f t="shared" si="0"/>
        <v>0</v>
      </c>
      <c r="AC9" s="18">
        <f t="shared" si="0"/>
        <v>0</v>
      </c>
      <c r="AD9" s="18">
        <f t="shared" si="0"/>
        <v>0</v>
      </c>
      <c r="AE9" s="18">
        <f t="shared" si="0"/>
        <v>0</v>
      </c>
      <c r="AF9" s="18">
        <f t="shared" si="0"/>
        <v>0</v>
      </c>
      <c r="AG9" s="18">
        <f t="shared" si="0"/>
        <v>0</v>
      </c>
      <c r="AH9" s="18">
        <f t="shared" si="0"/>
        <v>0</v>
      </c>
      <c r="AI9" s="18">
        <f t="shared" si="0"/>
        <v>0</v>
      </c>
      <c r="AJ9" s="18">
        <f t="shared" si="0"/>
        <v>0</v>
      </c>
      <c r="AK9" s="18">
        <f t="shared" si="0"/>
        <v>0</v>
      </c>
      <c r="AL9" s="18">
        <f t="shared" si="0"/>
        <v>0</v>
      </c>
      <c r="AM9" s="18">
        <f t="shared" si="0"/>
        <v>0</v>
      </c>
      <c r="AN9" s="18">
        <f t="shared" si="0"/>
        <v>0</v>
      </c>
      <c r="AO9" s="18">
        <f t="shared" si="0"/>
        <v>0</v>
      </c>
      <c r="AP9" s="18">
        <f t="shared" si="0"/>
        <v>0</v>
      </c>
      <c r="AQ9" s="18">
        <f t="shared" si="0"/>
        <v>0</v>
      </c>
      <c r="AR9" s="18">
        <f t="shared" si="0"/>
        <v>0</v>
      </c>
      <c r="AS9" s="18">
        <f t="shared" si="0"/>
        <v>0</v>
      </c>
      <c r="AT9" s="18">
        <f t="shared" si="0"/>
        <v>0</v>
      </c>
      <c r="AU9" s="18">
        <f t="shared" si="0"/>
        <v>0</v>
      </c>
      <c r="AV9" s="18">
        <f t="shared" si="0"/>
        <v>0</v>
      </c>
      <c r="AW9" s="18">
        <f t="shared" si="0"/>
        <v>0</v>
      </c>
      <c r="AX9" s="18">
        <f t="shared" si="0"/>
        <v>0</v>
      </c>
      <c r="AY9" s="18">
        <f t="shared" si="0"/>
        <v>0</v>
      </c>
      <c r="AZ9" s="18">
        <f t="shared" si="0"/>
        <v>0</v>
      </c>
      <c r="BA9" s="18">
        <f t="shared" si="0"/>
        <v>0</v>
      </c>
      <c r="BB9" s="18">
        <f t="shared" si="0"/>
        <v>0</v>
      </c>
      <c r="BC9" s="18">
        <f t="shared" si="0"/>
        <v>0</v>
      </c>
      <c r="BD9" s="18">
        <f t="shared" si="0"/>
        <v>0</v>
      </c>
      <c r="BE9" s="18">
        <f t="shared" si="0"/>
        <v>0</v>
      </c>
      <c r="BF9" s="18">
        <f t="shared" si="0"/>
        <v>0</v>
      </c>
      <c r="BG9" s="18">
        <f t="shared" si="0"/>
        <v>0</v>
      </c>
      <c r="BH9" s="18">
        <f t="shared" si="0"/>
        <v>0</v>
      </c>
      <c r="BI9" s="18">
        <f t="shared" si="0"/>
        <v>0</v>
      </c>
      <c r="BJ9" s="18">
        <f t="shared" si="0"/>
        <v>0</v>
      </c>
      <c r="BK9" s="18">
        <f t="shared" si="0"/>
        <v>0</v>
      </c>
      <c r="BL9" s="18">
        <f t="shared" si="0"/>
        <v>0</v>
      </c>
      <c r="BM9" s="18">
        <f t="shared" si="0"/>
        <v>0</v>
      </c>
      <c r="BN9" s="18">
        <f t="shared" si="0"/>
        <v>0</v>
      </c>
      <c r="BO9" s="18">
        <f t="shared" si="0"/>
        <v>0</v>
      </c>
      <c r="BP9" s="18">
        <f t="shared" si="0"/>
        <v>0</v>
      </c>
      <c r="BQ9" s="18">
        <f t="shared" si="0"/>
        <v>0</v>
      </c>
      <c r="BR9" s="18">
        <f t="shared" si="0"/>
        <v>0</v>
      </c>
      <c r="BS9" s="18">
        <f t="shared" si="0"/>
        <v>0</v>
      </c>
      <c r="BT9" s="18">
        <f t="shared" si="0"/>
        <v>0</v>
      </c>
    </row>
    <row r="10" spans="1:72" x14ac:dyDescent="0.3">
      <c r="A10" s="19"/>
      <c r="B10" t="s">
        <v>127</v>
      </c>
      <c r="M10" s="18">
        <f>CapEx!M17</f>
        <v>27533.333333333336</v>
      </c>
      <c r="N10" s="18">
        <f>CapEx!N17</f>
        <v>27066.666666666664</v>
      </c>
      <c r="O10" s="18">
        <f>CapEx!O17</f>
        <v>26600</v>
      </c>
      <c r="P10" s="18">
        <f>CapEx!P17</f>
        <v>26133.333333333336</v>
      </c>
      <c r="Q10" s="18">
        <f>CapEx!Q17</f>
        <v>25666.666666666668</v>
      </c>
      <c r="R10" s="18">
        <f>CapEx!R17</f>
        <v>25200</v>
      </c>
      <c r="S10" s="18">
        <f>CapEx!S17</f>
        <v>24733.333333333336</v>
      </c>
      <c r="T10" s="18">
        <f>CapEx!T17</f>
        <v>24266.666666666668</v>
      </c>
      <c r="U10" s="18">
        <f>CapEx!U17</f>
        <v>23800</v>
      </c>
      <c r="V10" s="18">
        <f>CapEx!V17</f>
        <v>23333.333333333336</v>
      </c>
      <c r="W10" s="18">
        <f>CapEx!W17</f>
        <v>22866.666666666668</v>
      </c>
      <c r="X10" s="18">
        <f>CapEx!X17</f>
        <v>22400</v>
      </c>
      <c r="Y10" s="18">
        <f ca="1">CapEx!Y17</f>
        <v>36683.333333333336</v>
      </c>
      <c r="Z10" s="18">
        <f ca="1">CapEx!Z17</f>
        <v>35966.666666666672</v>
      </c>
      <c r="AA10" s="18">
        <f ca="1">CapEx!AA17</f>
        <v>35250</v>
      </c>
      <c r="AB10" s="18">
        <f ca="1">CapEx!AB17</f>
        <v>34533.333333333336</v>
      </c>
      <c r="AC10" s="18">
        <f ca="1">CapEx!AC17</f>
        <v>33816.666666666672</v>
      </c>
      <c r="AD10" s="18">
        <f ca="1">CapEx!AD17</f>
        <v>33100</v>
      </c>
      <c r="AE10" s="18">
        <f ca="1">CapEx!AE17</f>
        <v>32383.333333333336</v>
      </c>
      <c r="AF10" s="18">
        <f ca="1">CapEx!AF17</f>
        <v>31666.666666666672</v>
      </c>
      <c r="AG10" s="18">
        <f ca="1">CapEx!AG17</f>
        <v>30950.000000000004</v>
      </c>
      <c r="AH10" s="18">
        <f ca="1">CapEx!AH17</f>
        <v>30233.333333333336</v>
      </c>
      <c r="AI10" s="18">
        <f ca="1">CapEx!AI17</f>
        <v>29516.666666666668</v>
      </c>
      <c r="AJ10" s="18">
        <f ca="1">CapEx!AJ17</f>
        <v>28800</v>
      </c>
      <c r="AK10" s="18">
        <f ca="1">CapEx!AK17</f>
        <v>51683.333333333336</v>
      </c>
      <c r="AL10" s="18">
        <f ca="1">CapEx!AL17</f>
        <v>50566.666666666672</v>
      </c>
      <c r="AM10" s="18">
        <f ca="1">CapEx!AM17</f>
        <v>49450</v>
      </c>
      <c r="AN10" s="18">
        <f ca="1">CapEx!AN17</f>
        <v>48333.333333333336</v>
      </c>
      <c r="AO10" s="18">
        <f ca="1">CapEx!AO17</f>
        <v>47216.666666666672</v>
      </c>
      <c r="AP10" s="18">
        <f ca="1">CapEx!AP17</f>
        <v>46100.000000000007</v>
      </c>
      <c r="AQ10" s="18">
        <f ca="1">CapEx!AQ17</f>
        <v>44983.333333333343</v>
      </c>
      <c r="AR10" s="18">
        <f ca="1">CapEx!AR17</f>
        <v>43866.666666666672</v>
      </c>
      <c r="AS10" s="18">
        <f ca="1">CapEx!AS17</f>
        <v>42750</v>
      </c>
      <c r="AT10" s="18">
        <f ca="1">CapEx!AT17</f>
        <v>41633.333333333336</v>
      </c>
      <c r="AU10" s="18">
        <f ca="1">CapEx!AU17</f>
        <v>40516.666666666672</v>
      </c>
      <c r="AV10" s="18">
        <f ca="1">CapEx!AV17</f>
        <v>39400</v>
      </c>
      <c r="AW10" s="18">
        <f ca="1">CapEx!AW17</f>
        <v>58933.333333333343</v>
      </c>
      <c r="AX10" s="18">
        <f ca="1">CapEx!AX17</f>
        <v>57466.666666666672</v>
      </c>
      <c r="AY10" s="18">
        <f ca="1">CapEx!AY17</f>
        <v>56000</v>
      </c>
      <c r="AZ10" s="18">
        <f ca="1">CapEx!AZ17</f>
        <v>54533.333333333343</v>
      </c>
      <c r="BA10" s="18">
        <f ca="1">CapEx!BA17</f>
        <v>53066.666666666672</v>
      </c>
      <c r="BB10" s="18">
        <f ca="1">CapEx!BB17</f>
        <v>51600.000000000007</v>
      </c>
      <c r="BC10" s="18">
        <f ca="1">CapEx!BC17</f>
        <v>50133.333333333343</v>
      </c>
      <c r="BD10" s="18">
        <f ca="1">CapEx!BD17</f>
        <v>48666.666666666672</v>
      </c>
      <c r="BE10" s="18">
        <f ca="1">CapEx!BE17</f>
        <v>47200.000000000007</v>
      </c>
      <c r="BF10" s="18">
        <f ca="1">CapEx!BF17</f>
        <v>45733.333333333343</v>
      </c>
      <c r="BG10" s="18">
        <f ca="1">CapEx!BG17</f>
        <v>44266.666666666672</v>
      </c>
      <c r="BH10" s="18">
        <f ca="1">CapEx!BH17</f>
        <v>42800</v>
      </c>
      <c r="BI10" s="18">
        <f ca="1">CapEx!BI17</f>
        <v>41333.333333333336</v>
      </c>
      <c r="BJ10" s="18">
        <f ca="1">CapEx!BJ17</f>
        <v>39866.666666666664</v>
      </c>
      <c r="BK10" s="18">
        <f ca="1">CapEx!BK17</f>
        <v>38400</v>
      </c>
      <c r="BL10" s="18">
        <f ca="1">CapEx!BL17</f>
        <v>36933.333333333328</v>
      </c>
      <c r="BM10" s="18">
        <f ca="1">CapEx!BM17</f>
        <v>35466.666666666657</v>
      </c>
      <c r="BN10" s="18">
        <f ca="1">CapEx!BN17</f>
        <v>33999.999999999993</v>
      </c>
      <c r="BO10" s="18">
        <f ca="1">CapEx!BO17</f>
        <v>32533.333333333321</v>
      </c>
      <c r="BP10" s="18">
        <f ca="1">CapEx!BP17</f>
        <v>31066.666666666657</v>
      </c>
      <c r="BQ10" s="18">
        <f ca="1">CapEx!BQ17</f>
        <v>29599.999999999985</v>
      </c>
      <c r="BR10" s="18">
        <f ca="1">CapEx!BR17</f>
        <v>28133.333333333318</v>
      </c>
      <c r="BS10" s="18">
        <f ca="1">CapEx!BS17</f>
        <v>26666.66666666665</v>
      </c>
      <c r="BT10" s="18">
        <f ca="1">CapEx!BT17</f>
        <v>25199.999999999982</v>
      </c>
    </row>
    <row r="11" spans="1:72" x14ac:dyDescent="0.3">
      <c r="M11" s="88"/>
      <c r="N11" s="88"/>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row>
    <row r="12" spans="1:72" x14ac:dyDescent="0.3">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row>
    <row r="13" spans="1:72" ht="15" thickBot="1" x14ac:dyDescent="0.35">
      <c r="B13" s="75" t="s">
        <v>128</v>
      </c>
      <c r="M13" s="109">
        <f ca="1">SUM(M6:M10)</f>
        <v>644705.90142789658</v>
      </c>
      <c r="N13" s="109">
        <f t="shared" ref="N13:AS13" ca="1" si="1">SUM(N6:N11)</f>
        <v>539411.80285579315</v>
      </c>
      <c r="O13" s="109">
        <f t="shared" ca="1" si="1"/>
        <v>434117.70428368973</v>
      </c>
      <c r="P13" s="109">
        <f t="shared" ca="1" si="1"/>
        <v>314306.93904491962</v>
      </c>
      <c r="Q13" s="109">
        <f t="shared" ca="1" si="1"/>
        <v>194496.17380614954</v>
      </c>
      <c r="R13" s="109">
        <f t="shared" ca="1" si="1"/>
        <v>59168.741900712805</v>
      </c>
      <c r="S13" s="109">
        <f t="shared" ca="1" si="1"/>
        <v>-72300.690004723932</v>
      </c>
      <c r="T13" s="109">
        <f t="shared" ca="1" si="1"/>
        <v>-202912.1219101607</v>
      </c>
      <c r="U13" s="109">
        <f t="shared" ca="1" si="1"/>
        <v>-337233.38714893081</v>
      </c>
      <c r="V13" s="109">
        <f t="shared" ca="1" si="1"/>
        <v>2029063.3476122993</v>
      </c>
      <c r="W13" s="109">
        <f t="shared" ca="1" si="1"/>
        <v>1896718.0823735294</v>
      </c>
      <c r="X13" s="109">
        <f t="shared" ca="1" si="1"/>
        <v>1761741.9838014261</v>
      </c>
      <c r="Y13" s="109">
        <f t="shared" ca="1" si="1"/>
        <v>1591874.9685626561</v>
      </c>
      <c r="Z13" s="109">
        <f t="shared" ca="1" si="1"/>
        <v>1426457.9533238863</v>
      </c>
      <c r="AA13" s="109">
        <f t="shared" ca="1" si="1"/>
        <v>1246170.9380851164</v>
      </c>
      <c r="AB13" s="109">
        <f t="shared" ca="1" si="1"/>
        <v>1033662.6103463464</v>
      </c>
      <c r="AC13" s="109">
        <f t="shared" ca="1" si="1"/>
        <v>821287.84198257618</v>
      </c>
      <c r="AD13" s="109">
        <f t="shared" ca="1" si="1"/>
        <v>597154.76929588953</v>
      </c>
      <c r="AE13" s="109">
        <f t="shared" ca="1" si="1"/>
        <v>368498.12290347362</v>
      </c>
      <c r="AF13" s="109">
        <f t="shared" ca="1" si="1"/>
        <v>146020.47412004205</v>
      </c>
      <c r="AG13" s="109">
        <f t="shared" ca="1" si="1"/>
        <v>-95379.852173955936</v>
      </c>
      <c r="AH13" s="109">
        <f t="shared" ca="1" si="1"/>
        <v>8667182.8851459511</v>
      </c>
      <c r="AI13" s="109">
        <f t="shared" ca="1" si="1"/>
        <v>8433931.8392604571</v>
      </c>
      <c r="AJ13" s="109">
        <f t="shared" ca="1" si="1"/>
        <v>8202471.321009296</v>
      </c>
      <c r="AK13" s="109">
        <f t="shared" ca="1" si="1"/>
        <v>8019387.0442741821</v>
      </c>
      <c r="AL13" s="109">
        <f t="shared" ca="1" si="1"/>
        <v>7839600.2683241451</v>
      </c>
      <c r="AM13" s="109">
        <f t="shared" ca="1" si="1"/>
        <v>7658587.1605885448</v>
      </c>
      <c r="AN13" s="109">
        <f t="shared" ca="1" si="1"/>
        <v>7499829.7294781031</v>
      </c>
      <c r="AO13" s="109">
        <f t="shared" ca="1" si="1"/>
        <v>7342519.7150740791</v>
      </c>
      <c r="AP13" s="109">
        <f t="shared" ca="1" si="1"/>
        <v>7189332.7444617916</v>
      </c>
      <c r="AQ13" s="109">
        <f t="shared" ca="1" si="1"/>
        <v>7056400.9448308283</v>
      </c>
      <c r="AR13" s="109">
        <f t="shared" ca="1" si="1"/>
        <v>6928644.6393135907</v>
      </c>
      <c r="AS13" s="109">
        <f t="shared" ca="1" si="1"/>
        <v>6817429.8338657599</v>
      </c>
      <c r="AT13" s="109">
        <f t="shared" ref="AT13:BT13" ca="1" si="2">SUM(AT6:AT11)</f>
        <v>6726032.9534908105</v>
      </c>
      <c r="AU13" s="109">
        <f t="shared" ca="1" si="2"/>
        <v>6653982.6194423856</v>
      </c>
      <c r="AV13" s="109">
        <f t="shared" ca="1" si="2"/>
        <v>6621479.2590368111</v>
      </c>
      <c r="AW13" s="109">
        <f t="shared" ca="1" si="2"/>
        <v>6625684.3695579646</v>
      </c>
      <c r="AX13" s="109">
        <f t="shared" ca="1" si="2"/>
        <v>6671475.2860749224</v>
      </c>
      <c r="AY13" s="109">
        <f t="shared" ca="1" si="2"/>
        <v>6764604.325577395</v>
      </c>
      <c r="AZ13" s="109">
        <f t="shared" ca="1" si="2"/>
        <v>6890517.495588881</v>
      </c>
      <c r="BA13" s="109">
        <f t="shared" ca="1" si="2"/>
        <v>7061646.4473515488</v>
      </c>
      <c r="BB13" s="109">
        <f t="shared" ca="1" si="2"/>
        <v>7289449.4496900104</v>
      </c>
      <c r="BC13" s="109">
        <f t="shared" ca="1" si="2"/>
        <v>7568894.0282350173</v>
      </c>
      <c r="BD13" s="109">
        <f t="shared" ca="1" si="2"/>
        <v>7888591.1032751016</v>
      </c>
      <c r="BE13" s="109">
        <f t="shared" ca="1" si="2"/>
        <v>8245896.6261675153</v>
      </c>
      <c r="BF13" s="109">
        <f t="shared" ca="1" si="2"/>
        <v>8666370.8809031453</v>
      </c>
      <c r="BG13" s="109">
        <f t="shared" ca="1" si="2"/>
        <v>9130894.2840830777</v>
      </c>
      <c r="BH13" s="109">
        <f t="shared" ca="1" si="2"/>
        <v>9666660.1832274087</v>
      </c>
      <c r="BI13" s="109">
        <f t="shared" ca="1" si="2"/>
        <v>10461485.854582883</v>
      </c>
      <c r="BJ13" s="109">
        <f t="shared" ca="1" si="2"/>
        <v>11358202.992797619</v>
      </c>
      <c r="BK13" s="109">
        <f t="shared" ca="1" si="2"/>
        <v>12356121.742944075</v>
      </c>
      <c r="BL13" s="109">
        <f t="shared" ca="1" si="2"/>
        <v>13465979.157856993</v>
      </c>
      <c r="BM13" s="109">
        <f t="shared" ca="1" si="2"/>
        <v>14691160.994827779</v>
      </c>
      <c r="BN13" s="109">
        <f t="shared" ca="1" si="2"/>
        <v>16032006.650839426</v>
      </c>
      <c r="BO13" s="109">
        <f t="shared" ca="1" si="2"/>
        <v>17499852.094563272</v>
      </c>
      <c r="BP13" s="109">
        <f t="shared" ca="1" si="2"/>
        <v>19103812.794955704</v>
      </c>
      <c r="BQ13" s="109">
        <f t="shared" ca="1" si="2"/>
        <v>20839666.646284714</v>
      </c>
      <c r="BR13" s="109">
        <f t="shared" ca="1" si="2"/>
        <v>22728754.889407925</v>
      </c>
      <c r="BS13" s="109">
        <f t="shared" ca="1" si="2"/>
        <v>24770941.029114593</v>
      </c>
      <c r="BT13" s="109">
        <f t="shared" ca="1" si="2"/>
        <v>26975729.747334756</v>
      </c>
    </row>
    <row r="14" spans="1:72" ht="15" thickTop="1" x14ac:dyDescent="0.3">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row>
    <row r="15" spans="1:72" x14ac:dyDescent="0.3">
      <c r="A15" s="75" t="s">
        <v>129</v>
      </c>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row>
    <row r="16" spans="1:72" x14ac:dyDescent="0.3">
      <c r="A16" s="75"/>
      <c r="B16" t="s">
        <v>306</v>
      </c>
      <c r="M16" s="18">
        <f>'G&amp;A'!M64</f>
        <v>28750</v>
      </c>
      <c r="N16" s="18">
        <f>'G&amp;A'!N64</f>
        <v>57500</v>
      </c>
      <c r="O16" s="18">
        <f>'G&amp;A'!O64</f>
        <v>86250</v>
      </c>
      <c r="P16" s="18">
        <f>'G&amp;A'!P64</f>
        <v>115000</v>
      </c>
      <c r="Q16" s="18">
        <f>'G&amp;A'!Q64</f>
        <v>143750</v>
      </c>
      <c r="R16" s="18">
        <f>'G&amp;A'!R64</f>
        <v>172500</v>
      </c>
      <c r="S16" s="18">
        <f>'G&amp;A'!S64</f>
        <v>201250</v>
      </c>
      <c r="T16" s="18">
        <f>'G&amp;A'!T64</f>
        <v>230000</v>
      </c>
      <c r="U16" s="18">
        <f>'G&amp;A'!U64</f>
        <v>258750</v>
      </c>
      <c r="V16" s="18">
        <f>'G&amp;A'!V64</f>
        <v>287500</v>
      </c>
      <c r="W16" s="18">
        <f>'G&amp;A'!W64</f>
        <v>316250</v>
      </c>
      <c r="X16" s="18">
        <f>'G&amp;A'!X64</f>
        <v>345000</v>
      </c>
      <c r="Y16" s="18">
        <f>'G&amp;A'!Y64</f>
        <v>373750</v>
      </c>
      <c r="Z16" s="18">
        <f>'G&amp;A'!Z64</f>
        <v>402500</v>
      </c>
      <c r="AA16" s="18">
        <f>'G&amp;A'!AA64</f>
        <v>431250</v>
      </c>
      <c r="AB16" s="18">
        <f>'G&amp;A'!AB64</f>
        <v>460000</v>
      </c>
      <c r="AC16" s="18">
        <f>'G&amp;A'!AC64</f>
        <v>488750</v>
      </c>
      <c r="AD16" s="18">
        <f>'G&amp;A'!AD64</f>
        <v>517500</v>
      </c>
      <c r="AE16" s="18">
        <f>'G&amp;A'!AE64</f>
        <v>546250</v>
      </c>
      <c r="AF16" s="18">
        <f>'G&amp;A'!AF64</f>
        <v>575000</v>
      </c>
      <c r="AG16" s="18">
        <f>'G&amp;A'!AG64</f>
        <v>547000</v>
      </c>
      <c r="AH16" s="18">
        <f>'G&amp;A'!AH64</f>
        <v>519000</v>
      </c>
      <c r="AI16" s="18">
        <f>'G&amp;A'!AI64</f>
        <v>491000</v>
      </c>
      <c r="AJ16" s="18">
        <f>'G&amp;A'!AJ64</f>
        <v>463000</v>
      </c>
      <c r="AK16" s="18">
        <f>'G&amp;A'!AK64</f>
        <v>435000</v>
      </c>
      <c r="AL16" s="18">
        <f>'G&amp;A'!AL64</f>
        <v>407000</v>
      </c>
      <c r="AM16" s="18">
        <f>'G&amp;A'!AM64</f>
        <v>379000</v>
      </c>
      <c r="AN16" s="18">
        <f>'G&amp;A'!AN64</f>
        <v>351000</v>
      </c>
      <c r="AO16" s="18">
        <f>'G&amp;A'!AO64</f>
        <v>323000</v>
      </c>
      <c r="AP16" s="18">
        <f>'G&amp;A'!AP64</f>
        <v>295000</v>
      </c>
      <c r="AQ16" s="18">
        <f>'G&amp;A'!AQ64</f>
        <v>267000</v>
      </c>
      <c r="AR16" s="18">
        <f>'G&amp;A'!AR64</f>
        <v>239000</v>
      </c>
      <c r="AS16" s="18">
        <f>'G&amp;A'!AS64</f>
        <v>211000</v>
      </c>
      <c r="AT16" s="18">
        <f>'G&amp;A'!AT64</f>
        <v>183000</v>
      </c>
      <c r="AU16" s="18">
        <f>'G&amp;A'!AU64</f>
        <v>155000</v>
      </c>
      <c r="AV16" s="18">
        <f>'G&amp;A'!AV64</f>
        <v>127000</v>
      </c>
      <c r="AW16" s="18">
        <f>'G&amp;A'!AW64</f>
        <v>99000</v>
      </c>
      <c r="AX16" s="18">
        <f>'G&amp;A'!AX64</f>
        <v>71000</v>
      </c>
      <c r="AY16" s="18">
        <f>'G&amp;A'!AY64</f>
        <v>43000</v>
      </c>
      <c r="AZ16" s="18">
        <f>'G&amp;A'!AZ64</f>
        <v>15000</v>
      </c>
      <c r="BA16" s="18">
        <f>'G&amp;A'!BA64</f>
        <v>0</v>
      </c>
      <c r="BB16" s="18">
        <f>'G&amp;A'!BB64</f>
        <v>0</v>
      </c>
      <c r="BC16" s="18">
        <f>'G&amp;A'!BC64</f>
        <v>0</v>
      </c>
      <c r="BD16" s="18">
        <f>'G&amp;A'!BD64</f>
        <v>0</v>
      </c>
      <c r="BE16" s="18">
        <f>'G&amp;A'!BE64</f>
        <v>0</v>
      </c>
      <c r="BF16" s="18">
        <f>'G&amp;A'!BF64</f>
        <v>0</v>
      </c>
      <c r="BG16" s="18">
        <f>'G&amp;A'!BG64</f>
        <v>0</v>
      </c>
      <c r="BH16" s="18">
        <f>'G&amp;A'!BH64</f>
        <v>0</v>
      </c>
      <c r="BI16" s="18">
        <f>'G&amp;A'!BI64</f>
        <v>0</v>
      </c>
      <c r="BJ16" s="18">
        <f>'G&amp;A'!BJ64</f>
        <v>0</v>
      </c>
      <c r="BK16" s="18">
        <f>'G&amp;A'!BK64</f>
        <v>0</v>
      </c>
      <c r="BL16" s="18">
        <f>'G&amp;A'!BL64</f>
        <v>0</v>
      </c>
      <c r="BM16" s="18">
        <f>'G&amp;A'!BM64</f>
        <v>0</v>
      </c>
      <c r="BN16" s="18">
        <f>'G&amp;A'!BN64</f>
        <v>0</v>
      </c>
      <c r="BO16" s="18">
        <f>'G&amp;A'!BO64</f>
        <v>0</v>
      </c>
      <c r="BP16" s="18">
        <f>'G&amp;A'!BP64</f>
        <v>0</v>
      </c>
      <c r="BQ16" s="18">
        <f>'G&amp;A'!BQ64</f>
        <v>0</v>
      </c>
      <c r="BR16" s="18">
        <f>'G&amp;A'!BR64</f>
        <v>0</v>
      </c>
      <c r="BS16" s="18">
        <f>'G&amp;A'!BS64</f>
        <v>0</v>
      </c>
      <c r="BT16" s="18">
        <f>'G&amp;A'!BT64</f>
        <v>0</v>
      </c>
    </row>
    <row r="17" spans="1:72" x14ac:dyDescent="0.3">
      <c r="B17" t="s">
        <v>130</v>
      </c>
      <c r="M17" s="88">
        <f>Loan!M11</f>
        <v>246597.56809456323</v>
      </c>
      <c r="N17" s="88">
        <f>Loan!N11</f>
        <v>243172.45330975691</v>
      </c>
      <c r="O17" s="88">
        <f>Loan!O11</f>
        <v>239724.50442638519</v>
      </c>
      <c r="P17" s="88">
        <f>Loan!P11</f>
        <v>236253.56921712434</v>
      </c>
      <c r="Q17" s="88">
        <f>Loan!Q11</f>
        <v>232759.49443980175</v>
      </c>
      <c r="R17" s="88">
        <f>Loan!R11</f>
        <v>229242.12583063034</v>
      </c>
      <c r="S17" s="88">
        <f>Loan!S11</f>
        <v>225701.30809739779</v>
      </c>
      <c r="T17" s="88">
        <f>Loan!T11</f>
        <v>222136.88491261035</v>
      </c>
      <c r="U17" s="88">
        <f>Loan!U11</f>
        <v>218548.69890659099</v>
      </c>
      <c r="V17" s="88">
        <f>Loan!V11</f>
        <v>214936.5916605315</v>
      </c>
      <c r="W17" s="88">
        <f>Loan!W11</f>
        <v>211300.4036994983</v>
      </c>
      <c r="X17" s="88">
        <f>Loan!X11</f>
        <v>207639.97448539155</v>
      </c>
      <c r="Y17" s="88">
        <f>Loan!Y11</f>
        <v>203955.14240985739</v>
      </c>
      <c r="Z17" s="88">
        <f>Loan!Z11</f>
        <v>200245.74478715303</v>
      </c>
      <c r="AA17" s="88">
        <f>Loan!AA11</f>
        <v>196511.61784696396</v>
      </c>
      <c r="AB17" s="88">
        <f>Loan!AB11</f>
        <v>192752.59672717363</v>
      </c>
      <c r="AC17" s="88">
        <f>Loan!AC11</f>
        <v>188968.51546658471</v>
      </c>
      <c r="AD17" s="88">
        <f>Loan!AD11</f>
        <v>185159.20699759186</v>
      </c>
      <c r="AE17" s="88">
        <f>Loan!AE11</f>
        <v>181324.50313880571</v>
      </c>
      <c r="AF17" s="88">
        <f>Loan!AF11</f>
        <v>177464.23458762767</v>
      </c>
      <c r="AG17" s="88">
        <f>Loan!AG11</f>
        <v>173578.23091277509</v>
      </c>
      <c r="AH17" s="88">
        <f>Loan!AH11</f>
        <v>169666.32054675685</v>
      </c>
      <c r="AI17" s="88">
        <f>Loan!AI11</f>
        <v>165728.33077829846</v>
      </c>
      <c r="AJ17" s="88">
        <f>Loan!AJ11</f>
        <v>161764.08774471702</v>
      </c>
      <c r="AK17" s="88">
        <f>Loan!AK11</f>
        <v>157773.41642424505</v>
      </c>
      <c r="AL17" s="88">
        <f>Loan!AL11</f>
        <v>153756.14062830326</v>
      </c>
      <c r="AM17" s="88">
        <f>Loan!AM11</f>
        <v>149712.08299372185</v>
      </c>
      <c r="AN17" s="88">
        <f>Loan!AN11</f>
        <v>145641.06497490991</v>
      </c>
      <c r="AO17" s="88">
        <f>Loan!AO11</f>
        <v>141542.90683597256</v>
      </c>
      <c r="AP17" s="88">
        <f>Loan!AP11</f>
        <v>137417.42764277564</v>
      </c>
      <c r="AQ17" s="88">
        <f>Loan!AQ11</f>
        <v>133264.44525495739</v>
      </c>
      <c r="AR17" s="88">
        <f>Loan!AR11</f>
        <v>129083.77631788702</v>
      </c>
      <c r="AS17" s="88">
        <f>Loan!AS11</f>
        <v>124875.23625456952</v>
      </c>
      <c r="AT17" s="88">
        <f>Loan!AT11</f>
        <v>120638.63925749657</v>
      </c>
      <c r="AU17" s="88">
        <f>Loan!AU11</f>
        <v>116373.79828044312</v>
      </c>
      <c r="AV17" s="88">
        <f>Loan!AV11</f>
        <v>112080.52503020932</v>
      </c>
      <c r="AW17" s="88">
        <f>Loan!AW11</f>
        <v>107758.6299583073</v>
      </c>
      <c r="AX17" s="88">
        <f>Loan!AX11</f>
        <v>103407.92225259259</v>
      </c>
      <c r="AY17" s="88">
        <f>Loan!AY11</f>
        <v>99028.209828839783</v>
      </c>
      <c r="AZ17" s="88">
        <f>Loan!AZ11</f>
        <v>94619.299322261955</v>
      </c>
      <c r="BA17" s="88">
        <f>Loan!BA11</f>
        <v>90180.996078973607</v>
      </c>
      <c r="BB17" s="88">
        <f>Loan!BB11</f>
        <v>85713.104147396676</v>
      </c>
      <c r="BC17" s="88">
        <f>Loan!BC11</f>
        <v>81215.426269609234</v>
      </c>
      <c r="BD17" s="88">
        <f>Loan!BD11</f>
        <v>76687.76387263654</v>
      </c>
      <c r="BE17" s="88">
        <f>Loan!BE11</f>
        <v>72129.917059684027</v>
      </c>
      <c r="BF17" s="88">
        <f>Loan!BF11</f>
        <v>67541.684601311834</v>
      </c>
      <c r="BG17" s="88">
        <f>Loan!BG11</f>
        <v>62922.86392655049</v>
      </c>
      <c r="BH17" s="88">
        <f>Loan!BH11</f>
        <v>58273.251113957405</v>
      </c>
      <c r="BI17" s="88">
        <f>Loan!BI11</f>
        <v>53592.640882613705</v>
      </c>
      <c r="BJ17" s="88">
        <f>Loan!BJ11</f>
        <v>48880.82658306104</v>
      </c>
      <c r="BK17" s="88">
        <f>Loan!BK11</f>
        <v>44137.600188178025</v>
      </c>
      <c r="BL17" s="88">
        <f>Loan!BL11</f>
        <v>39362.752283995789</v>
      </c>
      <c r="BM17" s="88">
        <f>Loan!BM11</f>
        <v>34556.072060452338</v>
      </c>
      <c r="BN17" s="88">
        <f>Loan!BN11</f>
        <v>29717.347302085265</v>
      </c>
      <c r="BO17" s="88">
        <f>Loan!BO11</f>
        <v>24846.364378662412</v>
      </c>
      <c r="BP17" s="88">
        <f>Loan!BP11</f>
        <v>19942.908235750074</v>
      </c>
      <c r="BQ17" s="88">
        <f>Loan!BQ11</f>
        <v>15006.762385218321</v>
      </c>
      <c r="BR17" s="88">
        <f>Loan!BR11</f>
        <v>10037.708895683023</v>
      </c>
      <c r="BS17" s="88">
        <f>Loan!BS11</f>
        <v>5035.5283828841566</v>
      </c>
      <c r="BT17" s="88">
        <f>Loan!BT11</f>
        <v>-3.637978807091713E-11</v>
      </c>
    </row>
    <row r="18" spans="1:72" x14ac:dyDescent="0.3">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row>
    <row r="19" spans="1:72" ht="15" thickBot="1" x14ac:dyDescent="0.35">
      <c r="B19" s="75" t="s">
        <v>131</v>
      </c>
      <c r="M19" s="87">
        <f t="shared" ref="M19:AR19" si="3">SUM(M16:M17)</f>
        <v>275347.5680945632</v>
      </c>
      <c r="N19" s="87">
        <f t="shared" si="3"/>
        <v>300672.45330975694</v>
      </c>
      <c r="O19" s="87">
        <f t="shared" si="3"/>
        <v>325974.50442638516</v>
      </c>
      <c r="P19" s="87">
        <f t="shared" si="3"/>
        <v>351253.56921712437</v>
      </c>
      <c r="Q19" s="87">
        <f t="shared" si="3"/>
        <v>376509.49443980178</v>
      </c>
      <c r="R19" s="87">
        <f t="shared" si="3"/>
        <v>401742.12583063031</v>
      </c>
      <c r="S19" s="87">
        <f t="shared" si="3"/>
        <v>426951.30809739779</v>
      </c>
      <c r="T19" s="87">
        <f t="shared" si="3"/>
        <v>452136.88491261035</v>
      </c>
      <c r="U19" s="87">
        <f t="shared" si="3"/>
        <v>477298.69890659099</v>
      </c>
      <c r="V19" s="87">
        <f t="shared" si="3"/>
        <v>502436.59166053147</v>
      </c>
      <c r="W19" s="87">
        <f t="shared" si="3"/>
        <v>527550.40369949827</v>
      </c>
      <c r="X19" s="87">
        <f t="shared" si="3"/>
        <v>552639.97448539152</v>
      </c>
      <c r="Y19" s="87">
        <f t="shared" si="3"/>
        <v>577705.14240985736</v>
      </c>
      <c r="Z19" s="87">
        <f t="shared" si="3"/>
        <v>602745.74478715309</v>
      </c>
      <c r="AA19" s="87">
        <f t="shared" si="3"/>
        <v>627761.61784696393</v>
      </c>
      <c r="AB19" s="87">
        <f t="shared" si="3"/>
        <v>652752.59672717366</v>
      </c>
      <c r="AC19" s="87">
        <f t="shared" si="3"/>
        <v>677718.51546658471</v>
      </c>
      <c r="AD19" s="87">
        <f t="shared" si="3"/>
        <v>702659.20699759189</v>
      </c>
      <c r="AE19" s="87">
        <f t="shared" si="3"/>
        <v>727574.50313880574</v>
      </c>
      <c r="AF19" s="87">
        <f t="shared" si="3"/>
        <v>752464.2345876277</v>
      </c>
      <c r="AG19" s="87">
        <f t="shared" si="3"/>
        <v>720578.23091277503</v>
      </c>
      <c r="AH19" s="87">
        <f t="shared" si="3"/>
        <v>688666.32054675685</v>
      </c>
      <c r="AI19" s="87">
        <f t="shared" si="3"/>
        <v>656728.33077829843</v>
      </c>
      <c r="AJ19" s="87">
        <f t="shared" si="3"/>
        <v>624764.08774471702</v>
      </c>
      <c r="AK19" s="87">
        <f t="shared" si="3"/>
        <v>592773.41642424511</v>
      </c>
      <c r="AL19" s="87">
        <f t="shared" si="3"/>
        <v>560756.14062830328</v>
      </c>
      <c r="AM19" s="87">
        <f t="shared" si="3"/>
        <v>528712.08299372182</v>
      </c>
      <c r="AN19" s="87">
        <f t="shared" si="3"/>
        <v>496641.06497490988</v>
      </c>
      <c r="AO19" s="87">
        <f t="shared" si="3"/>
        <v>464542.90683597256</v>
      </c>
      <c r="AP19" s="87">
        <f t="shared" si="3"/>
        <v>432417.42764277564</v>
      </c>
      <c r="AQ19" s="87">
        <f t="shared" si="3"/>
        <v>400264.44525495742</v>
      </c>
      <c r="AR19" s="87">
        <f t="shared" si="3"/>
        <v>368083.77631788701</v>
      </c>
      <c r="AS19" s="87">
        <f t="shared" ref="AS19:BT19" si="4">SUM(AS16:AS17)</f>
        <v>335875.23625456949</v>
      </c>
      <c r="AT19" s="87">
        <f t="shared" si="4"/>
        <v>303638.63925749657</v>
      </c>
      <c r="AU19" s="87">
        <f t="shared" si="4"/>
        <v>271373.79828044312</v>
      </c>
      <c r="AV19" s="87">
        <f t="shared" si="4"/>
        <v>239080.52503020933</v>
      </c>
      <c r="AW19" s="87">
        <f t="shared" si="4"/>
        <v>206758.62995830731</v>
      </c>
      <c r="AX19" s="87">
        <f t="shared" si="4"/>
        <v>174407.92225259257</v>
      </c>
      <c r="AY19" s="87">
        <f t="shared" si="4"/>
        <v>142028.20982883978</v>
      </c>
      <c r="AZ19" s="87">
        <f t="shared" si="4"/>
        <v>109619.29932226196</v>
      </c>
      <c r="BA19" s="87">
        <f t="shared" si="4"/>
        <v>90180.996078973607</v>
      </c>
      <c r="BB19" s="87">
        <f t="shared" si="4"/>
        <v>85713.104147396676</v>
      </c>
      <c r="BC19" s="87">
        <f t="shared" si="4"/>
        <v>81215.426269609234</v>
      </c>
      <c r="BD19" s="87">
        <f t="shared" si="4"/>
        <v>76687.76387263654</v>
      </c>
      <c r="BE19" s="87">
        <f t="shared" si="4"/>
        <v>72129.917059684027</v>
      </c>
      <c r="BF19" s="87">
        <f t="shared" si="4"/>
        <v>67541.684601311834</v>
      </c>
      <c r="BG19" s="87">
        <f t="shared" si="4"/>
        <v>62922.86392655049</v>
      </c>
      <c r="BH19" s="87">
        <f t="shared" si="4"/>
        <v>58273.251113957405</v>
      </c>
      <c r="BI19" s="87">
        <f t="shared" si="4"/>
        <v>53592.640882613705</v>
      </c>
      <c r="BJ19" s="87">
        <f t="shared" si="4"/>
        <v>48880.82658306104</v>
      </c>
      <c r="BK19" s="87">
        <f t="shared" si="4"/>
        <v>44137.600188178025</v>
      </c>
      <c r="BL19" s="87">
        <f t="shared" si="4"/>
        <v>39362.752283995789</v>
      </c>
      <c r="BM19" s="87">
        <f t="shared" si="4"/>
        <v>34556.072060452338</v>
      </c>
      <c r="BN19" s="87">
        <f t="shared" si="4"/>
        <v>29717.347302085265</v>
      </c>
      <c r="BO19" s="87">
        <f t="shared" si="4"/>
        <v>24846.364378662412</v>
      </c>
      <c r="BP19" s="87">
        <f t="shared" si="4"/>
        <v>19942.908235750074</v>
      </c>
      <c r="BQ19" s="87">
        <f t="shared" si="4"/>
        <v>15006.762385218321</v>
      </c>
      <c r="BR19" s="87">
        <f t="shared" si="4"/>
        <v>10037.708895683023</v>
      </c>
      <c r="BS19" s="87">
        <f t="shared" si="4"/>
        <v>5035.5283828841566</v>
      </c>
      <c r="BT19" s="87">
        <f t="shared" si="4"/>
        <v>-3.637978807091713E-11</v>
      </c>
    </row>
    <row r="20" spans="1:72" ht="15" thickTop="1" x14ac:dyDescent="0.3">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row>
    <row r="21" spans="1:72" x14ac:dyDescent="0.3">
      <c r="A21" s="75" t="s">
        <v>132</v>
      </c>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row>
    <row r="22" spans="1:72" x14ac:dyDescent="0.3">
      <c r="B22" t="s">
        <v>85</v>
      </c>
      <c r="M22" s="18">
        <f ca="1">'P&amp;L'!M45</f>
        <v>-130641.66666666667</v>
      </c>
      <c r="N22" s="18">
        <f ca="1">'P&amp;L'!N45</f>
        <v>-261260.65045396375</v>
      </c>
      <c r="O22" s="18">
        <f ca="1">'P&amp;L'!O45</f>
        <v>-391856.80014269549</v>
      </c>
      <c r="P22" s="18">
        <f ca="1">'P&amp;L'!P45</f>
        <v>-536946.63017220469</v>
      </c>
      <c r="Q22" s="18">
        <f ca="1">'P&amp;L'!Q45</f>
        <v>-682013.32063365215</v>
      </c>
      <c r="R22" s="18">
        <f ca="1">'P&amp;L'!R45</f>
        <v>-842573.38392991747</v>
      </c>
      <c r="S22" s="18">
        <f ca="1">'P&amp;L'!S45</f>
        <v>-999251.99810212164</v>
      </c>
      <c r="T22" s="18">
        <f ca="1">'P&amp;L'!T45</f>
        <v>-1155049.0068227709</v>
      </c>
      <c r="U22" s="18">
        <f ca="1">'P&amp;L'!U45</f>
        <v>-1314532.0860555216</v>
      </c>
      <c r="V22" s="18">
        <f ca="1">'P&amp;L'!V45</f>
        <v>-1473373.2440482322</v>
      </c>
      <c r="W22" s="18">
        <f ca="1">'P&amp;L'!W45</f>
        <v>-1630832.321325969</v>
      </c>
      <c r="X22" s="18">
        <f ca="1">'P&amp;L'!X45</f>
        <v>-1790897.9906839656</v>
      </c>
      <c r="Y22" s="18">
        <f ca="1">'P&amp;L'!Y45</f>
        <v>-1985830.1738472015</v>
      </c>
      <c r="Z22" s="18">
        <f ca="1">'P&amp;L'!Z45</f>
        <v>-2176287.7914632671</v>
      </c>
      <c r="AA22" s="18">
        <f ca="1">'P&amp;L'!AA45</f>
        <v>-2381590.6797618479</v>
      </c>
      <c r="AB22" s="18">
        <f ca="1">'P&amp;L'!AB45</f>
        <v>-2619089.9863808276</v>
      </c>
      <c r="AC22" s="18">
        <f ca="1">'P&amp;L'!AC45</f>
        <v>-2856430.6734840088</v>
      </c>
      <c r="AD22" s="18">
        <f ca="1">'P&amp;L'!AD45</f>
        <v>-3105504.4377017026</v>
      </c>
      <c r="AE22" s="18">
        <f ca="1">'P&amp;L'!AE45</f>
        <v>-3359076.3802353325</v>
      </c>
      <c r="AF22" s="18">
        <f ca="1">'P&amp;L'!AF45</f>
        <v>-3606443.7604675861</v>
      </c>
      <c r="AG22" s="18">
        <f ca="1">'P&amp;L'!AG45</f>
        <v>-3843958.0830867314</v>
      </c>
      <c r="AH22" s="18">
        <f ca="1">'P&amp;L'!AH45</f>
        <v>-4077483.4354008059</v>
      </c>
      <c r="AI22" s="18">
        <f ca="1">'P&amp;L'!AI45</f>
        <v>-4306796.49151784</v>
      </c>
      <c r="AJ22" s="18">
        <f ca="1">'P&amp;L'!AJ45</f>
        <v>-4534292.7667354196</v>
      </c>
      <c r="AK22" s="18">
        <f ca="1">'P&amp;L'!AK45</f>
        <v>-4713386.3721500626</v>
      </c>
      <c r="AL22" s="18">
        <f ca="1">'P&amp;L'!AL45</f>
        <v>-4889155.8723041574</v>
      </c>
      <c r="AM22" s="18">
        <f ca="1">'P&amp;L'!AM45</f>
        <v>-5066124.9224051759</v>
      </c>
      <c r="AN22" s="18">
        <f ca="1">'P&amp;L'!AN45</f>
        <v>-5220811.3354968047</v>
      </c>
      <c r="AO22" s="18">
        <f ca="1">'P&amp;L'!AO45</f>
        <v>-5374023.1917618923</v>
      </c>
      <c r="AP22" s="18">
        <f ca="1">'P&amp;L'!AP45</f>
        <v>-5523084.6831809832</v>
      </c>
      <c r="AQ22" s="18">
        <f ca="1">'P&amp;L'!AQ45</f>
        <v>-5651863.500424128</v>
      </c>
      <c r="AR22" s="18">
        <f ca="1">'P&amp;L'!AR45</f>
        <v>-5775439.1370042972</v>
      </c>
      <c r="AS22" s="18">
        <f ca="1">'P&amp;L'!AS45</f>
        <v>-5882445.4023888092</v>
      </c>
      <c r="AT22" s="18">
        <f ca="1">'P&amp;L'!AT45</f>
        <v>-5969605.6857666858</v>
      </c>
      <c r="AU22" s="18">
        <f ca="1">'P&amp;L'!AU45</f>
        <v>-6037391.1788380574</v>
      </c>
      <c r="AV22" s="18">
        <f ca="1">'P&amp;L'!AV45</f>
        <v>-6065601.2659933986</v>
      </c>
      <c r="AW22" s="18">
        <f ca="1">'P&amp;L'!AW45</f>
        <v>-6057074.2604003418</v>
      </c>
      <c r="AX22" s="18">
        <f ca="1">'P&amp;L'!AX45</f>
        <v>-6006932.6361776693</v>
      </c>
      <c r="AY22" s="18">
        <f ca="1">'P&amp;L'!AY45</f>
        <v>-5909423.8842514437</v>
      </c>
      <c r="AZ22" s="18">
        <f ca="1">'P&amp;L'!AZ45</f>
        <v>-5779101.8037333796</v>
      </c>
      <c r="BA22" s="18">
        <f ca="1">'P&amp;L'!BA45</f>
        <v>-5603534.548727423</v>
      </c>
      <c r="BB22" s="18">
        <f ca="1">'P&amp;L'!BB45</f>
        <v>-5371263.6544573857</v>
      </c>
      <c r="BC22" s="18">
        <f ca="1">'P&amp;L'!BC45</f>
        <v>-5087321.3980345903</v>
      </c>
      <c r="BD22" s="18">
        <f ca="1">'P&amp;L'!BD45</f>
        <v>-4763096.6605975339</v>
      </c>
      <c r="BE22" s="18">
        <f ca="1">'P&amp;L'!BE45</f>
        <v>-4401233.2908921689</v>
      </c>
      <c r="BF22" s="18">
        <f ca="1">'P&amp;L'!BF45</f>
        <v>-3976170.8036981672</v>
      </c>
      <c r="BG22" s="18">
        <f ca="1">'P&amp;L'!BG45</f>
        <v>-3507028.5798434718</v>
      </c>
      <c r="BH22" s="18">
        <f ca="1">'P&amp;L'!BH45</f>
        <v>-2966613.067886549</v>
      </c>
      <c r="BI22" s="18">
        <f ca="1">'P&amp;L'!BI45</f>
        <v>-2167106.7862997325</v>
      </c>
      <c r="BJ22" s="18">
        <f ca="1">'P&amp;L'!BJ45</f>
        <v>-1265677.8337854412</v>
      </c>
      <c r="BK22" s="18">
        <f ca="1">'P&amp;L'!BK45</f>
        <v>-263015.85724410217</v>
      </c>
      <c r="BL22" s="18">
        <f ca="1">'P&amp;L'!BL45</f>
        <v>851616.40557299845</v>
      </c>
      <c r="BM22" s="18">
        <f ca="1">'P&amp;L'!BM45</f>
        <v>2081604.9227673267</v>
      </c>
      <c r="BN22" s="18">
        <f ca="1">'P&amp;L'!BN45</f>
        <v>3427289.3035373399</v>
      </c>
      <c r="BO22" s="18">
        <f ca="1">'P&amp;L'!BO45</f>
        <v>4900005.7301846147</v>
      </c>
      <c r="BP22" s="18">
        <f ca="1">'P&amp;L'!BP45</f>
        <v>6508869.8867199579</v>
      </c>
      <c r="BQ22" s="18">
        <f ca="1">'P&amp;L'!BQ45</f>
        <v>8249659.8838994987</v>
      </c>
      <c r="BR22" s="18">
        <f ca="1">'P&amp;L'!BR45</f>
        <v>10143717.180512248</v>
      </c>
      <c r="BS22" s="18">
        <f ca="1">'P&amp;L'!BS45</f>
        <v>12190905.500731716</v>
      </c>
      <c r="BT22" s="18">
        <f ca="1">'P&amp;L'!BT45</f>
        <v>14400729.747334763</v>
      </c>
    </row>
    <row r="23" spans="1:72" x14ac:dyDescent="0.3">
      <c r="B23" t="s">
        <v>133</v>
      </c>
      <c r="M23" s="88">
        <f>'P&amp;L'!M83</f>
        <v>500000</v>
      </c>
      <c r="N23" s="88">
        <f>'P&amp;L'!N83</f>
        <v>500000</v>
      </c>
      <c r="O23" s="88">
        <f>'P&amp;L'!O83</f>
        <v>500000</v>
      </c>
      <c r="P23" s="88">
        <f>'P&amp;L'!P83</f>
        <v>500000</v>
      </c>
      <c r="Q23" s="88">
        <f>'P&amp;L'!Q83</f>
        <v>500000</v>
      </c>
      <c r="R23" s="88">
        <f>'P&amp;L'!R83</f>
        <v>500000</v>
      </c>
      <c r="S23" s="88">
        <f>'P&amp;L'!S83</f>
        <v>500000</v>
      </c>
      <c r="T23" s="88">
        <f>'P&amp;L'!T83</f>
        <v>500000</v>
      </c>
      <c r="U23" s="88">
        <f>'P&amp;L'!U83</f>
        <v>500000</v>
      </c>
      <c r="V23" s="88">
        <f>'P&amp;L'!V83</f>
        <v>3000000</v>
      </c>
      <c r="W23" s="88">
        <f>'P&amp;L'!W83</f>
        <v>3000000</v>
      </c>
      <c r="X23" s="88">
        <f>'P&amp;L'!X83</f>
        <v>3000000</v>
      </c>
      <c r="Y23" s="88">
        <f>'P&amp;L'!Y83</f>
        <v>3000000</v>
      </c>
      <c r="Z23" s="88">
        <f>'P&amp;L'!Z83</f>
        <v>3000000</v>
      </c>
      <c r="AA23" s="88">
        <f>'P&amp;L'!AA83</f>
        <v>3000000</v>
      </c>
      <c r="AB23" s="88">
        <f>'P&amp;L'!AB83</f>
        <v>3000000</v>
      </c>
      <c r="AC23" s="88">
        <f>'P&amp;L'!AC83</f>
        <v>3000000</v>
      </c>
      <c r="AD23" s="88">
        <f>'P&amp;L'!AD83</f>
        <v>3000000</v>
      </c>
      <c r="AE23" s="88">
        <f>'P&amp;L'!AE83</f>
        <v>3000000</v>
      </c>
      <c r="AF23" s="88">
        <f>'P&amp;L'!AF83</f>
        <v>3000000</v>
      </c>
      <c r="AG23" s="88">
        <f>'P&amp;L'!AG83</f>
        <v>3000000</v>
      </c>
      <c r="AH23" s="88">
        <f>'P&amp;L'!AH83</f>
        <v>12000000</v>
      </c>
      <c r="AI23" s="88">
        <f>'P&amp;L'!AI83</f>
        <v>12000000</v>
      </c>
      <c r="AJ23" s="88">
        <f>'P&amp;L'!AJ83</f>
        <v>12000000</v>
      </c>
      <c r="AK23" s="88">
        <f>'P&amp;L'!AK83</f>
        <v>12000000</v>
      </c>
      <c r="AL23" s="88">
        <f>'P&amp;L'!AL83</f>
        <v>12000000</v>
      </c>
      <c r="AM23" s="88">
        <f>'P&amp;L'!AM83</f>
        <v>12000000</v>
      </c>
      <c r="AN23" s="88">
        <f>'P&amp;L'!AN83</f>
        <v>12000000</v>
      </c>
      <c r="AO23" s="88">
        <f>'P&amp;L'!AO83</f>
        <v>12000000</v>
      </c>
      <c r="AP23" s="88">
        <f>'P&amp;L'!AP83</f>
        <v>12000000</v>
      </c>
      <c r="AQ23" s="88">
        <f>'P&amp;L'!AQ83</f>
        <v>12000000</v>
      </c>
      <c r="AR23" s="88">
        <f>'P&amp;L'!AR83</f>
        <v>12000000</v>
      </c>
      <c r="AS23" s="88">
        <f>'P&amp;L'!AS83</f>
        <v>12000000</v>
      </c>
      <c r="AT23" s="88">
        <f>'P&amp;L'!AT83</f>
        <v>12000000</v>
      </c>
      <c r="AU23" s="88">
        <f>'P&amp;L'!AU83</f>
        <v>12000000</v>
      </c>
      <c r="AV23" s="88">
        <f>'P&amp;L'!AV83</f>
        <v>12000000</v>
      </c>
      <c r="AW23" s="88">
        <f>'P&amp;L'!AW83</f>
        <v>12000000</v>
      </c>
      <c r="AX23" s="88">
        <f>'P&amp;L'!AX83</f>
        <v>12000000</v>
      </c>
      <c r="AY23" s="88">
        <f>'P&amp;L'!AY83</f>
        <v>12000000</v>
      </c>
      <c r="AZ23" s="88">
        <f>'P&amp;L'!AZ83</f>
        <v>12000000</v>
      </c>
      <c r="BA23" s="88">
        <f>'P&amp;L'!BA83</f>
        <v>12000000</v>
      </c>
      <c r="BB23" s="88">
        <f>'P&amp;L'!BB83</f>
        <v>12000000</v>
      </c>
      <c r="BC23" s="88">
        <f>'P&amp;L'!BC83</f>
        <v>12000000</v>
      </c>
      <c r="BD23" s="88">
        <f>'P&amp;L'!BD83</f>
        <v>12000000</v>
      </c>
      <c r="BE23" s="88">
        <f>'P&amp;L'!BE83</f>
        <v>12000000</v>
      </c>
      <c r="BF23" s="88">
        <f>'P&amp;L'!BF83</f>
        <v>12000000</v>
      </c>
      <c r="BG23" s="88">
        <f>'P&amp;L'!BG83</f>
        <v>12000000</v>
      </c>
      <c r="BH23" s="88">
        <f>'P&amp;L'!BH83</f>
        <v>12000000</v>
      </c>
      <c r="BI23" s="88">
        <f>'P&amp;L'!BI83</f>
        <v>12000000</v>
      </c>
      <c r="BJ23" s="88">
        <f>'P&amp;L'!BJ83</f>
        <v>12000000</v>
      </c>
      <c r="BK23" s="88">
        <f>'P&amp;L'!BK83</f>
        <v>12000000</v>
      </c>
      <c r="BL23" s="88">
        <f>'P&amp;L'!BL83</f>
        <v>12000000</v>
      </c>
      <c r="BM23" s="88">
        <f>'P&amp;L'!BM83</f>
        <v>12000000</v>
      </c>
      <c r="BN23" s="88">
        <f>'P&amp;L'!BN83</f>
        <v>12000000</v>
      </c>
      <c r="BO23" s="88">
        <f>'P&amp;L'!BO83</f>
        <v>12000000</v>
      </c>
      <c r="BP23" s="88">
        <f>'P&amp;L'!BP83</f>
        <v>12000000</v>
      </c>
      <c r="BQ23" s="88">
        <f>'P&amp;L'!BQ83</f>
        <v>12000000</v>
      </c>
      <c r="BR23" s="88">
        <f>'P&amp;L'!BR83</f>
        <v>12000000</v>
      </c>
      <c r="BS23" s="88">
        <f>'P&amp;L'!BS83</f>
        <v>12000000</v>
      </c>
      <c r="BT23" s="88">
        <f>'P&amp;L'!BT83</f>
        <v>12000000</v>
      </c>
    </row>
    <row r="24" spans="1:72" x14ac:dyDescent="0.3">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row>
    <row r="25" spans="1:72" ht="15" thickBot="1" x14ac:dyDescent="0.35">
      <c r="B25" s="75" t="s">
        <v>134</v>
      </c>
      <c r="M25" s="87">
        <f ca="1">SUM(M22:M23)</f>
        <v>369358.33333333331</v>
      </c>
      <c r="N25" s="87">
        <f t="shared" ref="N25:BT25" ca="1" si="5">SUM(N22:N23)</f>
        <v>238739.34954603625</v>
      </c>
      <c r="O25" s="87">
        <f t="shared" ca="1" si="5"/>
        <v>108143.19985730451</v>
      </c>
      <c r="P25" s="87">
        <f t="shared" ca="1" si="5"/>
        <v>-36946.630172204692</v>
      </c>
      <c r="Q25" s="87">
        <f t="shared" ca="1" si="5"/>
        <v>-182013.32063365215</v>
      </c>
      <c r="R25" s="87">
        <f t="shared" ca="1" si="5"/>
        <v>-342573.38392991747</v>
      </c>
      <c r="S25" s="87">
        <f t="shared" ca="1" si="5"/>
        <v>-499251.99810212164</v>
      </c>
      <c r="T25" s="87">
        <f t="shared" ca="1" si="5"/>
        <v>-655049.00682277093</v>
      </c>
      <c r="U25" s="87">
        <f t="shared" ca="1" si="5"/>
        <v>-814532.08605552162</v>
      </c>
      <c r="V25" s="87">
        <f t="shared" ca="1" si="5"/>
        <v>1526626.7559517678</v>
      </c>
      <c r="W25" s="87">
        <f t="shared" ca="1" si="5"/>
        <v>1369167.678674031</v>
      </c>
      <c r="X25" s="87">
        <f t="shared" ca="1" si="5"/>
        <v>1209102.0093160344</v>
      </c>
      <c r="Y25" s="87">
        <f t="shared" ca="1" si="5"/>
        <v>1014169.8261527985</v>
      </c>
      <c r="Z25" s="87">
        <f t="shared" ca="1" si="5"/>
        <v>823712.20853673294</v>
      </c>
      <c r="AA25" s="87">
        <f t="shared" ca="1" si="5"/>
        <v>618409.32023815205</v>
      </c>
      <c r="AB25" s="87">
        <f t="shared" ca="1" si="5"/>
        <v>380910.01361917239</v>
      </c>
      <c r="AC25" s="87">
        <f t="shared" ca="1" si="5"/>
        <v>143569.32651599124</v>
      </c>
      <c r="AD25" s="87">
        <f t="shared" ca="1" si="5"/>
        <v>-105504.43770170258</v>
      </c>
      <c r="AE25" s="87">
        <f t="shared" ca="1" si="5"/>
        <v>-359076.38023533253</v>
      </c>
      <c r="AF25" s="87">
        <f t="shared" ca="1" si="5"/>
        <v>-606443.76046758611</v>
      </c>
      <c r="AG25" s="87">
        <f t="shared" ca="1" si="5"/>
        <v>-843958.08308673138</v>
      </c>
      <c r="AH25" s="87">
        <f t="shared" ca="1" si="5"/>
        <v>7922516.5645991936</v>
      </c>
      <c r="AI25" s="87">
        <f t="shared" ca="1" si="5"/>
        <v>7693203.50848216</v>
      </c>
      <c r="AJ25" s="87">
        <f t="shared" ca="1" si="5"/>
        <v>7465707.2332645804</v>
      </c>
      <c r="AK25" s="87">
        <f t="shared" ca="1" si="5"/>
        <v>7286613.6278499374</v>
      </c>
      <c r="AL25" s="87">
        <f t="shared" ca="1" si="5"/>
        <v>7110844.1276958426</v>
      </c>
      <c r="AM25" s="87">
        <f t="shared" ca="1" si="5"/>
        <v>6933875.0775948241</v>
      </c>
      <c r="AN25" s="87">
        <f t="shared" ca="1" si="5"/>
        <v>6779188.6645031953</v>
      </c>
      <c r="AO25" s="87">
        <f t="shared" ca="1" si="5"/>
        <v>6625976.8082381077</v>
      </c>
      <c r="AP25" s="87">
        <f t="shared" ca="1" si="5"/>
        <v>6476915.3168190168</v>
      </c>
      <c r="AQ25" s="87">
        <f t="shared" ca="1" si="5"/>
        <v>6348136.499575872</v>
      </c>
      <c r="AR25" s="87">
        <f t="shared" ca="1" si="5"/>
        <v>6224560.8629957028</v>
      </c>
      <c r="AS25" s="87">
        <f t="shared" ca="1" si="5"/>
        <v>6117554.5976111908</v>
      </c>
      <c r="AT25" s="87">
        <f t="shared" ca="1" si="5"/>
        <v>6030394.3142333142</v>
      </c>
      <c r="AU25" s="87">
        <f t="shared" ca="1" si="5"/>
        <v>5962608.8211619426</v>
      </c>
      <c r="AV25" s="87">
        <f t="shared" ca="1" si="5"/>
        <v>5934398.7340066014</v>
      </c>
      <c r="AW25" s="87">
        <f t="shared" ca="1" si="5"/>
        <v>5942925.7395996582</v>
      </c>
      <c r="AX25" s="87">
        <f t="shared" ca="1" si="5"/>
        <v>5993067.3638223307</v>
      </c>
      <c r="AY25" s="87">
        <f t="shared" ca="1" si="5"/>
        <v>6090576.1157485563</v>
      </c>
      <c r="AZ25" s="87">
        <f t="shared" ca="1" si="5"/>
        <v>6220898.1962666204</v>
      </c>
      <c r="BA25" s="87">
        <f t="shared" ca="1" si="5"/>
        <v>6396465.451272577</v>
      </c>
      <c r="BB25" s="87">
        <f t="shared" ca="1" si="5"/>
        <v>6628736.3455426143</v>
      </c>
      <c r="BC25" s="87">
        <f t="shared" ca="1" si="5"/>
        <v>6912678.6019654097</v>
      </c>
      <c r="BD25" s="87">
        <f t="shared" ca="1" si="5"/>
        <v>7236903.3394024661</v>
      </c>
      <c r="BE25" s="87">
        <f t="shared" ca="1" si="5"/>
        <v>7598766.7091078311</v>
      </c>
      <c r="BF25" s="87">
        <f t="shared" ca="1" si="5"/>
        <v>8023829.1963018328</v>
      </c>
      <c r="BG25" s="87">
        <f t="shared" ca="1" si="5"/>
        <v>8492971.4201565273</v>
      </c>
      <c r="BH25" s="87">
        <f t="shared" ca="1" si="5"/>
        <v>9033386.93211345</v>
      </c>
      <c r="BI25" s="87">
        <f t="shared" ca="1" si="5"/>
        <v>9832893.2137002684</v>
      </c>
      <c r="BJ25" s="87">
        <f t="shared" ca="1" si="5"/>
        <v>10734322.166214559</v>
      </c>
      <c r="BK25" s="87">
        <f t="shared" ca="1" si="5"/>
        <v>11736984.142755898</v>
      </c>
      <c r="BL25" s="87">
        <f t="shared" ca="1" si="5"/>
        <v>12851616.405572999</v>
      </c>
      <c r="BM25" s="87">
        <f t="shared" ca="1" si="5"/>
        <v>14081604.922767326</v>
      </c>
      <c r="BN25" s="87">
        <f t="shared" ca="1" si="5"/>
        <v>15427289.303537339</v>
      </c>
      <c r="BO25" s="87">
        <f t="shared" ca="1" si="5"/>
        <v>16900005.730184615</v>
      </c>
      <c r="BP25" s="87">
        <f t="shared" ca="1" si="5"/>
        <v>18508869.886719957</v>
      </c>
      <c r="BQ25" s="87">
        <f t="shared" ca="1" si="5"/>
        <v>20249659.883899499</v>
      </c>
      <c r="BR25" s="87">
        <f t="shared" ca="1" si="5"/>
        <v>22143717.180512249</v>
      </c>
      <c r="BS25" s="87">
        <f t="shared" ca="1" si="5"/>
        <v>24190905.500731714</v>
      </c>
      <c r="BT25" s="87">
        <f t="shared" ca="1" si="5"/>
        <v>26400729.747334763</v>
      </c>
    </row>
    <row r="26" spans="1:72" ht="15" thickTop="1" x14ac:dyDescent="0.3">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row>
    <row r="27" spans="1:72" ht="15" thickBot="1" x14ac:dyDescent="0.35">
      <c r="B27" s="75" t="s">
        <v>135</v>
      </c>
      <c r="M27" s="109">
        <f ca="1">M19+M25</f>
        <v>644705.90142789646</v>
      </c>
      <c r="N27" s="109">
        <f t="shared" ref="N27:BT27" ca="1" si="6">N19+N25</f>
        <v>539411.80285579315</v>
      </c>
      <c r="O27" s="109">
        <f t="shared" ca="1" si="6"/>
        <v>434117.70428368967</v>
      </c>
      <c r="P27" s="109">
        <f t="shared" ca="1" si="6"/>
        <v>314306.93904491968</v>
      </c>
      <c r="Q27" s="109">
        <f t="shared" ca="1" si="6"/>
        <v>194496.17380614963</v>
      </c>
      <c r="R27" s="109">
        <f t="shared" ca="1" si="6"/>
        <v>59168.741900712834</v>
      </c>
      <c r="S27" s="109">
        <f t="shared" ca="1" si="6"/>
        <v>-72300.690004723845</v>
      </c>
      <c r="T27" s="109">
        <f t="shared" ca="1" si="6"/>
        <v>-202912.12191016058</v>
      </c>
      <c r="U27" s="109">
        <f t="shared" ca="1" si="6"/>
        <v>-337233.38714893063</v>
      </c>
      <c r="V27" s="109">
        <f t="shared" ca="1" si="6"/>
        <v>2029063.3476122993</v>
      </c>
      <c r="W27" s="109">
        <f t="shared" ca="1" si="6"/>
        <v>1896718.0823735292</v>
      </c>
      <c r="X27" s="109">
        <f t="shared" ca="1" si="6"/>
        <v>1761741.9838014259</v>
      </c>
      <c r="Y27" s="109">
        <f t="shared" ca="1" si="6"/>
        <v>1591874.9685626558</v>
      </c>
      <c r="Z27" s="109">
        <f t="shared" ca="1" si="6"/>
        <v>1426457.953323886</v>
      </c>
      <c r="AA27" s="109">
        <f t="shared" ca="1" si="6"/>
        <v>1246170.938085116</v>
      </c>
      <c r="AB27" s="109">
        <f t="shared" ca="1" si="6"/>
        <v>1033662.610346346</v>
      </c>
      <c r="AC27" s="109">
        <f t="shared" ca="1" si="6"/>
        <v>821287.84198257595</v>
      </c>
      <c r="AD27" s="109">
        <f t="shared" ca="1" si="6"/>
        <v>597154.7692958893</v>
      </c>
      <c r="AE27" s="109">
        <f t="shared" ca="1" si="6"/>
        <v>368498.12290347321</v>
      </c>
      <c r="AF27" s="109">
        <f t="shared" ca="1" si="6"/>
        <v>146020.47412004159</v>
      </c>
      <c r="AG27" s="109">
        <f t="shared" ca="1" si="6"/>
        <v>-123379.85217395634</v>
      </c>
      <c r="AH27" s="109">
        <f t="shared" ca="1" si="6"/>
        <v>8611182.8851459511</v>
      </c>
      <c r="AI27" s="109">
        <f t="shared" ca="1" si="6"/>
        <v>8349931.8392604589</v>
      </c>
      <c r="AJ27" s="109">
        <f t="shared" ca="1" si="6"/>
        <v>8090471.3210092969</v>
      </c>
      <c r="AK27" s="109">
        <f t="shared" ca="1" si="6"/>
        <v>7879387.044274183</v>
      </c>
      <c r="AL27" s="109">
        <f t="shared" ca="1" si="6"/>
        <v>7671600.268324146</v>
      </c>
      <c r="AM27" s="109">
        <f t="shared" ca="1" si="6"/>
        <v>7462587.1605885457</v>
      </c>
      <c r="AN27" s="109">
        <f t="shared" ca="1" si="6"/>
        <v>7275829.729478105</v>
      </c>
      <c r="AO27" s="109">
        <f t="shared" ca="1" si="6"/>
        <v>7090519.71507408</v>
      </c>
      <c r="AP27" s="109">
        <f t="shared" ca="1" si="6"/>
        <v>6909332.7444617925</v>
      </c>
      <c r="AQ27" s="109">
        <f t="shared" ca="1" si="6"/>
        <v>6748400.9448308293</v>
      </c>
      <c r="AR27" s="109">
        <f t="shared" ca="1" si="6"/>
        <v>6592644.6393135898</v>
      </c>
      <c r="AS27" s="109">
        <f t="shared" ca="1" si="6"/>
        <v>6453429.8338657599</v>
      </c>
      <c r="AT27" s="109">
        <f t="shared" ca="1" si="6"/>
        <v>6334032.9534908105</v>
      </c>
      <c r="AU27" s="109">
        <f t="shared" ca="1" si="6"/>
        <v>6233982.6194423856</v>
      </c>
      <c r="AV27" s="109">
        <f t="shared" ca="1" si="6"/>
        <v>6173479.2590368111</v>
      </c>
      <c r="AW27" s="109">
        <f t="shared" ca="1" si="6"/>
        <v>6149684.3695579655</v>
      </c>
      <c r="AX27" s="109">
        <f t="shared" ca="1" si="6"/>
        <v>6167475.2860749234</v>
      </c>
      <c r="AY27" s="109">
        <f t="shared" ca="1" si="6"/>
        <v>6232604.325577396</v>
      </c>
      <c r="AZ27" s="109">
        <f t="shared" ca="1" si="6"/>
        <v>6330517.4955888828</v>
      </c>
      <c r="BA27" s="109">
        <f t="shared" ca="1" si="6"/>
        <v>6486646.4473515507</v>
      </c>
      <c r="BB27" s="109">
        <f t="shared" ca="1" si="6"/>
        <v>6714449.4496900113</v>
      </c>
      <c r="BC27" s="109">
        <f t="shared" ca="1" si="6"/>
        <v>6993894.0282350192</v>
      </c>
      <c r="BD27" s="109">
        <f t="shared" ca="1" si="6"/>
        <v>7313591.1032751026</v>
      </c>
      <c r="BE27" s="109">
        <f t="shared" ca="1" si="6"/>
        <v>7670896.6261675153</v>
      </c>
      <c r="BF27" s="109">
        <f t="shared" ca="1" si="6"/>
        <v>8091370.8809031444</v>
      </c>
      <c r="BG27" s="109">
        <f t="shared" ca="1" si="6"/>
        <v>8555894.2840830777</v>
      </c>
      <c r="BH27" s="109">
        <f t="shared" ca="1" si="6"/>
        <v>9091660.1832274068</v>
      </c>
      <c r="BI27" s="109">
        <f t="shared" ca="1" si="6"/>
        <v>9886485.8545828816</v>
      </c>
      <c r="BJ27" s="109">
        <f t="shared" ca="1" si="6"/>
        <v>10783202.992797621</v>
      </c>
      <c r="BK27" s="109">
        <f t="shared" ca="1" si="6"/>
        <v>11781121.742944077</v>
      </c>
      <c r="BL27" s="109">
        <f t="shared" ca="1" si="6"/>
        <v>12890979.157856995</v>
      </c>
      <c r="BM27" s="109">
        <f t="shared" ca="1" si="6"/>
        <v>14116160.994827779</v>
      </c>
      <c r="BN27" s="109">
        <f t="shared" ca="1" si="6"/>
        <v>15457006.650839424</v>
      </c>
      <c r="BO27" s="109">
        <f t="shared" ca="1" si="6"/>
        <v>16924852.094563276</v>
      </c>
      <c r="BP27" s="109">
        <f t="shared" ca="1" si="6"/>
        <v>18528812.794955708</v>
      </c>
      <c r="BQ27" s="109">
        <f t="shared" ca="1" si="6"/>
        <v>20264666.646284718</v>
      </c>
      <c r="BR27" s="109">
        <f t="shared" ca="1" si="6"/>
        <v>22153754.889407933</v>
      </c>
      <c r="BS27" s="109">
        <f t="shared" ca="1" si="6"/>
        <v>24195941.029114597</v>
      </c>
      <c r="BT27" s="109">
        <f t="shared" ca="1" si="6"/>
        <v>26400729.747334763</v>
      </c>
    </row>
    <row r="28" spans="1:72" ht="15" thickTop="1" x14ac:dyDescent="0.3">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row>
    <row r="29" spans="1:72" x14ac:dyDescent="0.3">
      <c r="B29" s="75" t="s">
        <v>136</v>
      </c>
      <c r="M29" s="18">
        <f ca="1">M13-M27</f>
        <v>0</v>
      </c>
      <c r="N29" s="18">
        <f t="shared" ref="N29:BT29" ca="1" si="7">N13-N27</f>
        <v>0</v>
      </c>
      <c r="O29" s="18">
        <f t="shared" ca="1" si="7"/>
        <v>0</v>
      </c>
      <c r="P29" s="18">
        <f t="shared" ca="1" si="7"/>
        <v>0</v>
      </c>
      <c r="Q29" s="18">
        <f t="shared" ca="1" si="7"/>
        <v>0</v>
      </c>
      <c r="R29" s="18">
        <f t="shared" ca="1" si="7"/>
        <v>0</v>
      </c>
      <c r="S29" s="18">
        <f t="shared" ca="1" si="7"/>
        <v>0</v>
      </c>
      <c r="T29" s="18">
        <f t="shared" ca="1" si="7"/>
        <v>0</v>
      </c>
      <c r="U29" s="18">
        <f t="shared" ca="1" si="7"/>
        <v>0</v>
      </c>
      <c r="V29" s="18">
        <f t="shared" ca="1" si="7"/>
        <v>0</v>
      </c>
      <c r="W29" s="18">
        <f t="shared" ca="1" si="7"/>
        <v>0</v>
      </c>
      <c r="X29" s="18">
        <f t="shared" ca="1" si="7"/>
        <v>0</v>
      </c>
      <c r="Y29" s="18">
        <f t="shared" ca="1" si="7"/>
        <v>0</v>
      </c>
      <c r="Z29" s="18">
        <f t="shared" ca="1" si="7"/>
        <v>0</v>
      </c>
      <c r="AA29" s="18">
        <f t="shared" ca="1" si="7"/>
        <v>0</v>
      </c>
      <c r="AB29" s="18">
        <f t="shared" ca="1" si="7"/>
        <v>0</v>
      </c>
      <c r="AC29" s="18">
        <f t="shared" ca="1" si="7"/>
        <v>0</v>
      </c>
      <c r="AD29" s="18">
        <f t="shared" ca="1" si="7"/>
        <v>0</v>
      </c>
      <c r="AE29" s="18">
        <f t="shared" ca="1" si="7"/>
        <v>0</v>
      </c>
      <c r="AF29" s="18">
        <f t="shared" ca="1" si="7"/>
        <v>0</v>
      </c>
      <c r="AG29" s="18">
        <f ca="1">AG13-AG27</f>
        <v>0</v>
      </c>
      <c r="AH29" s="18">
        <f t="shared" ca="1" si="7"/>
        <v>0</v>
      </c>
      <c r="AI29" s="18">
        <f t="shared" ca="1" si="7"/>
        <v>0</v>
      </c>
      <c r="AJ29" s="18">
        <f t="shared" ca="1" si="7"/>
        <v>0</v>
      </c>
      <c r="AK29" s="18">
        <f t="shared" ca="1" si="7"/>
        <v>0</v>
      </c>
      <c r="AL29" s="18">
        <f t="shared" ca="1" si="7"/>
        <v>0</v>
      </c>
      <c r="AM29" s="18">
        <f t="shared" ca="1" si="7"/>
        <v>0</v>
      </c>
      <c r="AN29" s="18">
        <f t="shared" ca="1" si="7"/>
        <v>0</v>
      </c>
      <c r="AO29" s="18">
        <f t="shared" ca="1" si="7"/>
        <v>0</v>
      </c>
      <c r="AP29" s="18">
        <f t="shared" ca="1" si="7"/>
        <v>0</v>
      </c>
      <c r="AQ29" s="18">
        <f t="shared" ca="1" si="7"/>
        <v>0</v>
      </c>
      <c r="AR29" s="18">
        <f t="shared" ca="1" si="7"/>
        <v>0</v>
      </c>
      <c r="AS29" s="18">
        <f t="shared" ca="1" si="7"/>
        <v>0</v>
      </c>
      <c r="AT29" s="18">
        <f t="shared" ca="1" si="7"/>
        <v>0</v>
      </c>
      <c r="AU29" s="18">
        <f t="shared" ca="1" si="7"/>
        <v>0</v>
      </c>
      <c r="AV29" s="18">
        <f t="shared" ca="1" si="7"/>
        <v>0</v>
      </c>
      <c r="AW29" s="18">
        <f t="shared" ca="1" si="7"/>
        <v>0</v>
      </c>
      <c r="AX29" s="18">
        <f t="shared" ca="1" si="7"/>
        <v>0</v>
      </c>
      <c r="AY29" s="18">
        <f t="shared" ca="1" si="7"/>
        <v>0</v>
      </c>
      <c r="AZ29" s="18">
        <f t="shared" ca="1" si="7"/>
        <v>0</v>
      </c>
      <c r="BA29" s="18">
        <f t="shared" ca="1" si="7"/>
        <v>0</v>
      </c>
      <c r="BB29" s="18">
        <f t="shared" ca="1" si="7"/>
        <v>0</v>
      </c>
      <c r="BC29" s="18">
        <f t="shared" ca="1" si="7"/>
        <v>0</v>
      </c>
      <c r="BD29" s="18">
        <f t="shared" ca="1" si="7"/>
        <v>0</v>
      </c>
      <c r="BE29" s="18">
        <f t="shared" ca="1" si="7"/>
        <v>0</v>
      </c>
      <c r="BF29" s="18">
        <f t="shared" ca="1" si="7"/>
        <v>0</v>
      </c>
      <c r="BG29" s="18">
        <f t="shared" ca="1" si="7"/>
        <v>0</v>
      </c>
      <c r="BH29" s="18">
        <f t="shared" ca="1" si="7"/>
        <v>0</v>
      </c>
      <c r="BI29" s="18">
        <f t="shared" ca="1" si="7"/>
        <v>0</v>
      </c>
      <c r="BJ29" s="18">
        <f t="shared" ca="1" si="7"/>
        <v>0</v>
      </c>
      <c r="BK29" s="18">
        <f t="shared" ca="1" si="7"/>
        <v>0</v>
      </c>
      <c r="BL29" s="18">
        <f t="shared" ca="1" si="7"/>
        <v>0</v>
      </c>
      <c r="BM29" s="18">
        <f t="shared" ca="1" si="7"/>
        <v>0</v>
      </c>
      <c r="BN29" s="18">
        <f t="shared" ca="1" si="7"/>
        <v>0</v>
      </c>
      <c r="BO29" s="18">
        <f t="shared" ca="1" si="7"/>
        <v>0</v>
      </c>
      <c r="BP29" s="18">
        <f t="shared" ca="1" si="7"/>
        <v>0</v>
      </c>
      <c r="BQ29" s="18">
        <f t="shared" ca="1" si="7"/>
        <v>0</v>
      </c>
      <c r="BR29" s="18">
        <f t="shared" ca="1" si="7"/>
        <v>0</v>
      </c>
      <c r="BS29" s="18">
        <f t="shared" ca="1" si="7"/>
        <v>0</v>
      </c>
      <c r="BT29" s="18">
        <f t="shared" ca="1" si="7"/>
        <v>0</v>
      </c>
    </row>
    <row r="30" spans="1:72" x14ac:dyDescent="0.3">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row>
    <row r="31" spans="1:72" x14ac:dyDescent="0.3">
      <c r="B31" s="75"/>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row>
  </sheetData>
  <phoneticPr fontId="2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7C1D7-3F30-438B-93A1-A95425F667F9}">
  <sheetPr>
    <tabColor rgb="FF0070C0"/>
  </sheetPr>
  <dimension ref="A1:F20"/>
  <sheetViews>
    <sheetView workbookViewId="0"/>
  </sheetViews>
  <sheetFormatPr defaultColWidth="8.6640625" defaultRowHeight="14.4" x14ac:dyDescent="0.3"/>
  <cols>
    <col min="1" max="1" width="17.109375" customWidth="1"/>
  </cols>
  <sheetData>
    <row r="1" spans="1:6" x14ac:dyDescent="0.3">
      <c r="A1" s="16" t="s">
        <v>137</v>
      </c>
    </row>
    <row r="3" spans="1:6" x14ac:dyDescent="0.3">
      <c r="A3" s="51"/>
      <c r="B3" s="52"/>
      <c r="C3" s="52"/>
      <c r="D3" s="52"/>
      <c r="E3" s="52"/>
      <c r="F3" s="52"/>
    </row>
    <row r="4" spans="1:6" x14ac:dyDescent="0.3">
      <c r="A4" s="53" t="s">
        <v>27</v>
      </c>
      <c r="B4" s="54" t="s">
        <v>8</v>
      </c>
      <c r="C4" s="54" t="s">
        <v>9</v>
      </c>
      <c r="D4" s="54" t="s">
        <v>10</v>
      </c>
      <c r="E4" s="54" t="s">
        <v>11</v>
      </c>
      <c r="F4" s="54" t="s">
        <v>12</v>
      </c>
    </row>
    <row r="6" spans="1:6" x14ac:dyDescent="0.3">
      <c r="A6" t="s">
        <v>77</v>
      </c>
      <c r="B6" s="6">
        <v>3</v>
      </c>
      <c r="C6" s="6">
        <v>8</v>
      </c>
      <c r="D6" s="6">
        <v>8</v>
      </c>
      <c r="E6" s="6">
        <v>11</v>
      </c>
      <c r="F6" s="6">
        <v>11</v>
      </c>
    </row>
    <row r="7" spans="1:6" x14ac:dyDescent="0.3">
      <c r="A7" t="s">
        <v>76</v>
      </c>
      <c r="B7" s="6" cm="1">
        <f t="array" ref="B7:F7">'Sales &amp; Marketing'!C28:G28</f>
        <v>1</v>
      </c>
      <c r="C7" s="6">
        <v>5</v>
      </c>
      <c r="D7" s="6">
        <v>6</v>
      </c>
      <c r="E7" s="6">
        <v>8</v>
      </c>
      <c r="F7" s="6">
        <v>9</v>
      </c>
    </row>
    <row r="8" spans="1:6" x14ac:dyDescent="0.3">
      <c r="A8" s="55" t="s">
        <v>75</v>
      </c>
      <c r="B8" s="56">
        <v>3</v>
      </c>
      <c r="C8" s="56">
        <v>8</v>
      </c>
      <c r="D8" s="56">
        <v>16</v>
      </c>
      <c r="E8" s="56">
        <v>23</v>
      </c>
      <c r="F8" s="56">
        <v>23</v>
      </c>
    </row>
    <row r="10" spans="1:6" x14ac:dyDescent="0.3">
      <c r="A10" t="s">
        <v>138</v>
      </c>
      <c r="B10" s="38">
        <f>SUM(B6:B8)</f>
        <v>7</v>
      </c>
      <c r="C10" s="38">
        <f t="shared" ref="C10:F10" si="0">SUM(C6:C8)</f>
        <v>21</v>
      </c>
      <c r="D10" s="38">
        <f t="shared" si="0"/>
        <v>30</v>
      </c>
      <c r="E10" s="38">
        <f t="shared" si="0"/>
        <v>42</v>
      </c>
      <c r="F10" s="38">
        <f t="shared" si="0"/>
        <v>43</v>
      </c>
    </row>
    <row r="11" spans="1:6" x14ac:dyDescent="0.3">
      <c r="B11" s="6"/>
      <c r="C11" s="6"/>
      <c r="D11" s="6"/>
      <c r="E11" s="6"/>
      <c r="F11" s="6"/>
    </row>
    <row r="12" spans="1:6" x14ac:dyDescent="0.3">
      <c r="A12" s="16" t="s">
        <v>139</v>
      </c>
    </row>
    <row r="14" spans="1:6" x14ac:dyDescent="0.3">
      <c r="A14" s="53" t="s">
        <v>27</v>
      </c>
      <c r="B14" s="54" t="s">
        <v>8</v>
      </c>
      <c r="C14" s="54" t="s">
        <v>9</v>
      </c>
      <c r="D14" s="54" t="s">
        <v>10</v>
      </c>
      <c r="E14" s="54" t="s">
        <v>11</v>
      </c>
      <c r="F14" s="54" t="s">
        <v>12</v>
      </c>
    </row>
    <row r="16" spans="1:6" x14ac:dyDescent="0.3">
      <c r="A16" t="s">
        <v>77</v>
      </c>
      <c r="B16" s="6">
        <f>B6</f>
        <v>3</v>
      </c>
      <c r="C16" s="6">
        <f>C6-B6</f>
        <v>5</v>
      </c>
      <c r="D16" s="6">
        <f t="shared" ref="D16:F18" si="1">D6-C6</f>
        <v>0</v>
      </c>
      <c r="E16" s="6">
        <f t="shared" si="1"/>
        <v>3</v>
      </c>
      <c r="F16" s="6">
        <f t="shared" si="1"/>
        <v>0</v>
      </c>
    </row>
    <row r="17" spans="1:6" x14ac:dyDescent="0.3">
      <c r="A17" t="s">
        <v>76</v>
      </c>
      <c r="B17" s="6">
        <f>B7</f>
        <v>1</v>
      </c>
      <c r="C17" s="6">
        <f>C7-B7</f>
        <v>4</v>
      </c>
      <c r="D17" s="6">
        <f t="shared" si="1"/>
        <v>1</v>
      </c>
      <c r="E17" s="6">
        <f t="shared" si="1"/>
        <v>2</v>
      </c>
      <c r="F17" s="6">
        <f t="shared" si="1"/>
        <v>1</v>
      </c>
    </row>
    <row r="18" spans="1:6" x14ac:dyDescent="0.3">
      <c r="A18" s="55" t="s">
        <v>75</v>
      </c>
      <c r="B18" s="56">
        <f>B8</f>
        <v>3</v>
      </c>
      <c r="C18" s="56">
        <v>4</v>
      </c>
      <c r="D18" s="56">
        <f t="shared" si="1"/>
        <v>8</v>
      </c>
      <c r="E18" s="56">
        <f t="shared" si="1"/>
        <v>7</v>
      </c>
      <c r="F18" s="56">
        <f t="shared" si="1"/>
        <v>0</v>
      </c>
    </row>
    <row r="20" spans="1:6" x14ac:dyDescent="0.3">
      <c r="A20" t="s">
        <v>140</v>
      </c>
      <c r="B20" s="38">
        <f>SUM(B16:B18)</f>
        <v>7</v>
      </c>
      <c r="C20" s="38">
        <f t="shared" ref="C20:F20" si="2">SUM(C16:C18)</f>
        <v>13</v>
      </c>
      <c r="D20" s="38">
        <f t="shared" si="2"/>
        <v>9</v>
      </c>
      <c r="E20" s="38">
        <f t="shared" si="2"/>
        <v>12</v>
      </c>
      <c r="F20" s="38">
        <f t="shared" si="2"/>
        <v>1</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4F72-A8F4-034C-9B8D-8F6780488E33}">
  <sheetPr>
    <tabColor rgb="FFFF0000"/>
  </sheetPr>
  <dimension ref="A1:BT59"/>
  <sheetViews>
    <sheetView topLeftCell="A4" zoomScale="75" workbookViewId="0">
      <selection activeCell="Q34" sqref="Q34"/>
    </sheetView>
  </sheetViews>
  <sheetFormatPr defaultColWidth="10.6640625" defaultRowHeight="14.4" x14ac:dyDescent="0.3"/>
  <cols>
    <col min="1" max="1" width="17.109375" style="19" customWidth="1"/>
    <col min="2" max="2" width="27.6640625" style="19" bestFit="1" customWidth="1"/>
    <col min="3" max="3" width="12.109375" style="19" bestFit="1" customWidth="1"/>
    <col min="4" max="4" width="2.44140625" style="19" customWidth="1"/>
    <col min="5" max="5" width="2.6640625" style="19" customWidth="1"/>
    <col min="6" max="6" width="1.33203125" style="19" customWidth="1"/>
    <col min="7" max="8" width="2.109375" style="19" hidden="1" customWidth="1"/>
    <col min="9" max="9" width="2.44140625" style="19" hidden="1" customWidth="1"/>
    <col min="10" max="11" width="1.6640625" style="19" hidden="1" customWidth="1"/>
    <col min="12" max="12" width="2" style="19" hidden="1" customWidth="1"/>
    <col min="13" max="67" width="10.6640625" style="19"/>
    <col min="68" max="68" width="9.6640625" style="19" bestFit="1" customWidth="1"/>
    <col min="69" max="16384" width="10.6640625" style="19"/>
  </cols>
  <sheetData>
    <row r="1" spans="1:72" x14ac:dyDescent="0.3">
      <c r="A1" s="19" t="s">
        <v>75</v>
      </c>
    </row>
    <row r="3" spans="1:72" s="20" customFormat="1" x14ac:dyDescent="0.3">
      <c r="M3" s="20" t="s">
        <v>8</v>
      </c>
      <c r="N3" s="20" t="s">
        <v>8</v>
      </c>
      <c r="O3" s="20" t="s">
        <v>8</v>
      </c>
      <c r="P3" s="20" t="s">
        <v>8</v>
      </c>
      <c r="Q3" s="20" t="s">
        <v>8</v>
      </c>
      <c r="R3" s="20" t="s">
        <v>8</v>
      </c>
      <c r="S3" s="20" t="s">
        <v>8</v>
      </c>
      <c r="T3" s="20" t="s">
        <v>8</v>
      </c>
      <c r="U3" s="20" t="s">
        <v>8</v>
      </c>
      <c r="V3" s="20" t="s">
        <v>8</v>
      </c>
      <c r="W3" s="20" t="s">
        <v>141</v>
      </c>
      <c r="X3" s="20" t="s">
        <v>8</v>
      </c>
      <c r="Y3" s="20" t="s">
        <v>9</v>
      </c>
      <c r="Z3" s="20" t="s">
        <v>9</v>
      </c>
      <c r="AA3" s="20" t="s">
        <v>9</v>
      </c>
      <c r="AB3" s="20" t="s">
        <v>9</v>
      </c>
      <c r="AC3" s="20" t="s">
        <v>9</v>
      </c>
      <c r="AD3" s="20" t="s">
        <v>9</v>
      </c>
      <c r="AE3" s="20" t="s">
        <v>9</v>
      </c>
      <c r="AF3" s="20" t="s">
        <v>9</v>
      </c>
      <c r="AG3" s="20" t="s">
        <v>9</v>
      </c>
      <c r="AH3" s="20" t="s">
        <v>9</v>
      </c>
      <c r="AI3" s="20" t="s">
        <v>9</v>
      </c>
      <c r="AJ3" s="20" t="s">
        <v>9</v>
      </c>
      <c r="AK3" s="20" t="s">
        <v>10</v>
      </c>
      <c r="AL3" s="20" t="s">
        <v>142</v>
      </c>
      <c r="AM3" s="20" t="s">
        <v>10</v>
      </c>
      <c r="AN3" s="20" t="s">
        <v>10</v>
      </c>
      <c r="AO3" s="20" t="s">
        <v>142</v>
      </c>
      <c r="AP3" s="20" t="s">
        <v>10</v>
      </c>
      <c r="AQ3" s="20" t="s">
        <v>10</v>
      </c>
      <c r="AR3" s="20" t="s">
        <v>10</v>
      </c>
      <c r="AS3" s="20" t="s">
        <v>10</v>
      </c>
      <c r="AT3" s="20" t="s">
        <v>10</v>
      </c>
      <c r="AU3" s="20" t="s">
        <v>10</v>
      </c>
      <c r="AV3" s="20" t="s">
        <v>10</v>
      </c>
      <c r="AW3" s="20" t="s">
        <v>11</v>
      </c>
      <c r="AX3" s="20" t="s">
        <v>11</v>
      </c>
      <c r="AY3" s="20" t="s">
        <v>11</v>
      </c>
      <c r="AZ3" s="20" t="s">
        <v>11</v>
      </c>
      <c r="BA3" s="20" t="s">
        <v>11</v>
      </c>
      <c r="BB3" s="20" t="s">
        <v>11</v>
      </c>
      <c r="BC3" s="20" t="s">
        <v>11</v>
      </c>
      <c r="BD3" s="20" t="s">
        <v>11</v>
      </c>
      <c r="BE3" s="20" t="s">
        <v>11</v>
      </c>
      <c r="BF3" s="20" t="s">
        <v>11</v>
      </c>
      <c r="BG3" s="20" t="s">
        <v>11</v>
      </c>
      <c r="BH3" s="20" t="s">
        <v>11</v>
      </c>
      <c r="BI3" s="20" t="s">
        <v>12</v>
      </c>
      <c r="BJ3" s="20" t="s">
        <v>12</v>
      </c>
      <c r="BK3" s="20" t="s">
        <v>12</v>
      </c>
      <c r="BL3" s="20" t="s">
        <v>12</v>
      </c>
      <c r="BM3" s="20" t="s">
        <v>12</v>
      </c>
      <c r="BN3" s="20" t="s">
        <v>12</v>
      </c>
      <c r="BO3" s="20" t="s">
        <v>12</v>
      </c>
      <c r="BP3" s="20" t="s">
        <v>12</v>
      </c>
      <c r="BQ3" s="20" t="s">
        <v>12</v>
      </c>
      <c r="BR3" s="20" t="s">
        <v>12</v>
      </c>
      <c r="BS3" s="20" t="s">
        <v>12</v>
      </c>
      <c r="BT3" s="20" t="s">
        <v>12</v>
      </c>
    </row>
    <row r="4" spans="1:72" s="21" customFormat="1" ht="16.2" x14ac:dyDescent="0.45">
      <c r="M4" s="21" t="s">
        <v>113</v>
      </c>
      <c r="N4" s="21" t="s">
        <v>114</v>
      </c>
      <c r="O4" s="21" t="s">
        <v>115</v>
      </c>
      <c r="P4" s="21" t="s">
        <v>116</v>
      </c>
      <c r="Q4" s="21" t="s">
        <v>18</v>
      </c>
      <c r="R4" s="21" t="s">
        <v>143</v>
      </c>
      <c r="S4" s="21" t="s">
        <v>118</v>
      </c>
      <c r="T4" s="21" t="s">
        <v>119</v>
      </c>
      <c r="U4" s="21" t="s">
        <v>120</v>
      </c>
      <c r="V4" s="21" t="s">
        <v>121</v>
      </c>
      <c r="W4" s="21" t="s">
        <v>144</v>
      </c>
      <c r="X4" s="21" t="s">
        <v>123</v>
      </c>
      <c r="Y4" s="21" t="s">
        <v>113</v>
      </c>
      <c r="Z4" s="21" t="s">
        <v>114</v>
      </c>
      <c r="AA4" s="21" t="s">
        <v>115</v>
      </c>
      <c r="AB4" s="21" t="s">
        <v>116</v>
      </c>
      <c r="AC4" s="21" t="s">
        <v>18</v>
      </c>
      <c r="AD4" s="21" t="s">
        <v>117</v>
      </c>
      <c r="AE4" s="21" t="s">
        <v>118</v>
      </c>
      <c r="AF4" s="21" t="s">
        <v>119</v>
      </c>
      <c r="AG4" s="21" t="s">
        <v>120</v>
      </c>
      <c r="AH4" s="21" t="s">
        <v>121</v>
      </c>
      <c r="AI4" s="21" t="s">
        <v>122</v>
      </c>
      <c r="AJ4" s="21" t="s">
        <v>123</v>
      </c>
      <c r="AK4" s="21" t="s">
        <v>113</v>
      </c>
      <c r="AL4" s="21" t="s">
        <v>114</v>
      </c>
      <c r="AM4" s="21" t="s">
        <v>115</v>
      </c>
      <c r="AN4" s="21" t="s">
        <v>116</v>
      </c>
      <c r="AO4" s="21" t="s">
        <v>18</v>
      </c>
      <c r="AP4" s="21" t="s">
        <v>117</v>
      </c>
      <c r="AQ4" s="21" t="s">
        <v>118</v>
      </c>
      <c r="AR4" s="21" t="s">
        <v>119</v>
      </c>
      <c r="AS4" s="21" t="s">
        <v>120</v>
      </c>
      <c r="AT4" s="21" t="s">
        <v>121</v>
      </c>
      <c r="AU4" s="21" t="s">
        <v>122</v>
      </c>
      <c r="AV4" s="21" t="s">
        <v>123</v>
      </c>
      <c r="AW4" s="21" t="s">
        <v>113</v>
      </c>
      <c r="AX4" s="21" t="s">
        <v>114</v>
      </c>
      <c r="AY4" s="21" t="s">
        <v>115</v>
      </c>
      <c r="AZ4" s="21" t="s">
        <v>116</v>
      </c>
      <c r="BA4" s="21" t="s">
        <v>18</v>
      </c>
      <c r="BB4" s="21" t="s">
        <v>117</v>
      </c>
      <c r="BC4" s="21" t="s">
        <v>118</v>
      </c>
      <c r="BD4" s="21" t="s">
        <v>119</v>
      </c>
      <c r="BE4" s="21" t="s">
        <v>120</v>
      </c>
      <c r="BF4" s="21" t="s">
        <v>121</v>
      </c>
      <c r="BG4" s="21" t="s">
        <v>122</v>
      </c>
      <c r="BH4" s="21" t="s">
        <v>123</v>
      </c>
      <c r="BI4" s="21" t="s">
        <v>113</v>
      </c>
      <c r="BJ4" s="21" t="s">
        <v>114</v>
      </c>
      <c r="BK4" s="21" t="s">
        <v>115</v>
      </c>
      <c r="BL4" s="21" t="s">
        <v>116</v>
      </c>
      <c r="BM4" s="21" t="s">
        <v>18</v>
      </c>
      <c r="BN4" s="21" t="s">
        <v>117</v>
      </c>
      <c r="BO4" s="21" t="s">
        <v>118</v>
      </c>
      <c r="BP4" s="21" t="s">
        <v>119</v>
      </c>
      <c r="BQ4" s="21" t="s">
        <v>120</v>
      </c>
      <c r="BR4" s="21" t="s">
        <v>121</v>
      </c>
      <c r="BS4" s="21" t="s">
        <v>122</v>
      </c>
      <c r="BT4" s="21" t="s">
        <v>123</v>
      </c>
    </row>
    <row r="5" spans="1:72" x14ac:dyDescent="0.3">
      <c r="A5" s="19" t="s">
        <v>145</v>
      </c>
      <c r="M5" s="19">
        <f t="shared" ref="M5:AR5" si="0">M57</f>
        <v>10833.333333333334</v>
      </c>
      <c r="N5" s="19">
        <f t="shared" si="0"/>
        <v>10833.333333333334</v>
      </c>
      <c r="O5" s="19">
        <f t="shared" si="0"/>
        <v>10833.333333333334</v>
      </c>
      <c r="P5" s="19">
        <f t="shared" si="0"/>
        <v>21666.666666666668</v>
      </c>
      <c r="Q5" s="19">
        <f t="shared" si="0"/>
        <v>21666.666666666668</v>
      </c>
      <c r="R5" s="19">
        <f t="shared" si="0"/>
        <v>32500</v>
      </c>
      <c r="S5" s="19">
        <f t="shared" si="0"/>
        <v>32500</v>
      </c>
      <c r="T5" s="19">
        <f t="shared" si="0"/>
        <v>32500</v>
      </c>
      <c r="U5" s="19">
        <f t="shared" si="0"/>
        <v>32500</v>
      </c>
      <c r="V5" s="19">
        <f t="shared" si="0"/>
        <v>32500</v>
      </c>
      <c r="W5" s="19">
        <f t="shared" si="0"/>
        <v>32500</v>
      </c>
      <c r="X5" s="19">
        <f t="shared" si="0"/>
        <v>32500</v>
      </c>
      <c r="Y5" s="19">
        <f t="shared" si="0"/>
        <v>44958.333333333336</v>
      </c>
      <c r="Z5" s="19">
        <f t="shared" si="0"/>
        <v>44958.333333333336</v>
      </c>
      <c r="AA5" s="19">
        <f t="shared" si="0"/>
        <v>57041.666666666672</v>
      </c>
      <c r="AB5" s="19">
        <f t="shared" si="0"/>
        <v>67458.333333333343</v>
      </c>
      <c r="AC5" s="19">
        <f t="shared" si="0"/>
        <v>67458.333333333343</v>
      </c>
      <c r="AD5" s="19">
        <f t="shared" si="0"/>
        <v>78541.666666666672</v>
      </c>
      <c r="AE5" s="19">
        <f t="shared" si="0"/>
        <v>86875.000000000015</v>
      </c>
      <c r="AF5" s="19">
        <f t="shared" si="0"/>
        <v>86875.000000000015</v>
      </c>
      <c r="AG5" s="19">
        <f t="shared" si="0"/>
        <v>86875.000000000015</v>
      </c>
      <c r="AH5" s="19">
        <f t="shared" si="0"/>
        <v>86875.000000000015</v>
      </c>
      <c r="AI5" s="19">
        <f t="shared" si="0"/>
        <v>86875.000000000015</v>
      </c>
      <c r="AJ5" s="19">
        <f t="shared" si="0"/>
        <v>86875.000000000015</v>
      </c>
      <c r="AK5" s="19">
        <f t="shared" si="0"/>
        <v>91218.750000000015</v>
      </c>
      <c r="AL5" s="19">
        <f t="shared" si="0"/>
        <v>98718.750000000015</v>
      </c>
      <c r="AM5" s="19">
        <f t="shared" si="0"/>
        <v>109552.08333333334</v>
      </c>
      <c r="AN5" s="19">
        <f t="shared" si="0"/>
        <v>109552.08333333334</v>
      </c>
      <c r="AO5" s="19">
        <f t="shared" si="0"/>
        <v>121052.08333333334</v>
      </c>
      <c r="AP5" s="19">
        <f t="shared" si="0"/>
        <v>133552.08333333334</v>
      </c>
      <c r="AQ5" s="19">
        <f t="shared" si="0"/>
        <v>133552.08333333334</v>
      </c>
      <c r="AR5" s="19">
        <f t="shared" si="0"/>
        <v>144385.41666666669</v>
      </c>
      <c r="AS5" s="19">
        <f t="shared" ref="AS5:BT5" si="1">AS57</f>
        <v>150635.41666666669</v>
      </c>
      <c r="AT5" s="19">
        <f t="shared" si="1"/>
        <v>159135.41666666669</v>
      </c>
      <c r="AU5" s="19">
        <f t="shared" si="1"/>
        <v>159135.41666666669</v>
      </c>
      <c r="AV5" s="19">
        <f t="shared" si="1"/>
        <v>159135.41666666669</v>
      </c>
      <c r="AW5" s="19">
        <f t="shared" si="1"/>
        <v>190425.52083333334</v>
      </c>
      <c r="AX5" s="19">
        <f t="shared" si="1"/>
        <v>190425.52083333334</v>
      </c>
      <c r="AY5" s="19">
        <f t="shared" si="1"/>
        <v>190425.52083333334</v>
      </c>
      <c r="AZ5" s="19">
        <f t="shared" si="1"/>
        <v>190425.52083333334</v>
      </c>
      <c r="BA5" s="19">
        <f t="shared" si="1"/>
        <v>201258.85416666669</v>
      </c>
      <c r="BB5" s="19">
        <f t="shared" si="1"/>
        <v>201258.85416666669</v>
      </c>
      <c r="BC5" s="19">
        <f t="shared" si="1"/>
        <v>213342.1875</v>
      </c>
      <c r="BD5" s="19">
        <f t="shared" si="1"/>
        <v>225008.85416666666</v>
      </c>
      <c r="BE5" s="19">
        <f t="shared" si="1"/>
        <v>236092.1875</v>
      </c>
      <c r="BF5" s="19">
        <f t="shared" si="1"/>
        <v>236092.1875</v>
      </c>
      <c r="BG5" s="19">
        <f t="shared" si="1"/>
        <v>246925.52083333334</v>
      </c>
      <c r="BH5" s="19">
        <f t="shared" si="1"/>
        <v>246925.52083333334</v>
      </c>
      <c r="BI5" s="19">
        <f t="shared" si="1"/>
        <v>259271.796875</v>
      </c>
      <c r="BJ5" s="19">
        <f t="shared" si="1"/>
        <v>259271.796875</v>
      </c>
      <c r="BK5" s="19">
        <f t="shared" si="1"/>
        <v>259271.796875</v>
      </c>
      <c r="BL5" s="19">
        <f t="shared" si="1"/>
        <v>259271.796875</v>
      </c>
      <c r="BM5" s="19">
        <f t="shared" si="1"/>
        <v>259271.796875</v>
      </c>
      <c r="BN5" s="19">
        <f t="shared" si="1"/>
        <v>259271.796875</v>
      </c>
      <c r="BO5" s="19">
        <f t="shared" si="1"/>
        <v>259271.796875</v>
      </c>
      <c r="BP5" s="19">
        <f t="shared" si="1"/>
        <v>259271.796875</v>
      </c>
      <c r="BQ5" s="19">
        <f t="shared" si="1"/>
        <v>259271.796875</v>
      </c>
      <c r="BR5" s="19">
        <f t="shared" si="1"/>
        <v>259271.796875</v>
      </c>
      <c r="BS5" s="19">
        <f t="shared" si="1"/>
        <v>259271.796875</v>
      </c>
      <c r="BT5" s="19">
        <f t="shared" si="1"/>
        <v>259271.796875</v>
      </c>
    </row>
    <row r="6" spans="1:72" x14ac:dyDescent="0.3">
      <c r="A6" s="19" t="s">
        <v>146</v>
      </c>
      <c r="B6" s="12">
        <v>0.22</v>
      </c>
      <c r="M6" s="19">
        <f t="shared" ref="M6:AR6" si="2">M5*$B$6</f>
        <v>2383.3333333333335</v>
      </c>
      <c r="N6" s="19">
        <f t="shared" si="2"/>
        <v>2383.3333333333335</v>
      </c>
      <c r="O6" s="19">
        <f t="shared" si="2"/>
        <v>2383.3333333333335</v>
      </c>
      <c r="P6" s="19">
        <f t="shared" si="2"/>
        <v>4766.666666666667</v>
      </c>
      <c r="Q6" s="19">
        <f t="shared" si="2"/>
        <v>4766.666666666667</v>
      </c>
      <c r="R6" s="19">
        <f t="shared" si="2"/>
        <v>7150</v>
      </c>
      <c r="S6" s="19">
        <f t="shared" si="2"/>
        <v>7150</v>
      </c>
      <c r="T6" s="19">
        <f t="shared" si="2"/>
        <v>7150</v>
      </c>
      <c r="U6" s="19">
        <f t="shared" si="2"/>
        <v>7150</v>
      </c>
      <c r="V6" s="19">
        <f t="shared" si="2"/>
        <v>7150</v>
      </c>
      <c r="W6" s="19">
        <f t="shared" si="2"/>
        <v>7150</v>
      </c>
      <c r="X6" s="19">
        <f t="shared" si="2"/>
        <v>7150</v>
      </c>
      <c r="Y6" s="19">
        <f t="shared" si="2"/>
        <v>9890.8333333333339</v>
      </c>
      <c r="Z6" s="19">
        <f t="shared" si="2"/>
        <v>9890.8333333333339</v>
      </c>
      <c r="AA6" s="19">
        <f t="shared" si="2"/>
        <v>12549.166666666668</v>
      </c>
      <c r="AB6" s="19">
        <f t="shared" si="2"/>
        <v>14840.833333333336</v>
      </c>
      <c r="AC6" s="19">
        <f t="shared" si="2"/>
        <v>14840.833333333336</v>
      </c>
      <c r="AD6" s="19">
        <f t="shared" si="2"/>
        <v>17279.166666666668</v>
      </c>
      <c r="AE6" s="19">
        <f t="shared" si="2"/>
        <v>19112.500000000004</v>
      </c>
      <c r="AF6" s="19">
        <f t="shared" si="2"/>
        <v>19112.500000000004</v>
      </c>
      <c r="AG6" s="19">
        <f t="shared" si="2"/>
        <v>19112.500000000004</v>
      </c>
      <c r="AH6" s="19">
        <f t="shared" si="2"/>
        <v>19112.500000000004</v>
      </c>
      <c r="AI6" s="19">
        <f t="shared" si="2"/>
        <v>19112.500000000004</v>
      </c>
      <c r="AJ6" s="19">
        <f t="shared" si="2"/>
        <v>19112.500000000004</v>
      </c>
      <c r="AK6" s="19">
        <f t="shared" si="2"/>
        <v>20068.125000000004</v>
      </c>
      <c r="AL6" s="19">
        <f t="shared" si="2"/>
        <v>21718.125000000004</v>
      </c>
      <c r="AM6" s="19">
        <f t="shared" si="2"/>
        <v>24101.458333333336</v>
      </c>
      <c r="AN6" s="19">
        <f t="shared" si="2"/>
        <v>24101.458333333336</v>
      </c>
      <c r="AO6" s="19">
        <f t="shared" si="2"/>
        <v>26631.458333333336</v>
      </c>
      <c r="AP6" s="19">
        <f t="shared" si="2"/>
        <v>29381.458333333336</v>
      </c>
      <c r="AQ6" s="19">
        <f t="shared" si="2"/>
        <v>29381.458333333336</v>
      </c>
      <c r="AR6" s="19">
        <f t="shared" si="2"/>
        <v>31764.791666666672</v>
      </c>
      <c r="AS6" s="19">
        <f t="shared" ref="AS6:BT6" si="3">AS5*$B$6</f>
        <v>33139.791666666672</v>
      </c>
      <c r="AT6" s="19">
        <f t="shared" si="3"/>
        <v>35009.791666666672</v>
      </c>
      <c r="AU6" s="19">
        <f t="shared" si="3"/>
        <v>35009.791666666672</v>
      </c>
      <c r="AV6" s="19">
        <f t="shared" si="3"/>
        <v>35009.791666666672</v>
      </c>
      <c r="AW6" s="19">
        <f t="shared" si="3"/>
        <v>41893.614583333336</v>
      </c>
      <c r="AX6" s="19">
        <f t="shared" si="3"/>
        <v>41893.614583333336</v>
      </c>
      <c r="AY6" s="19">
        <f t="shared" si="3"/>
        <v>41893.614583333336</v>
      </c>
      <c r="AZ6" s="19">
        <f t="shared" si="3"/>
        <v>41893.614583333336</v>
      </c>
      <c r="BA6" s="19">
        <f t="shared" si="3"/>
        <v>44276.947916666672</v>
      </c>
      <c r="BB6" s="19">
        <f t="shared" si="3"/>
        <v>44276.947916666672</v>
      </c>
      <c r="BC6" s="19">
        <f t="shared" si="3"/>
        <v>46935.28125</v>
      </c>
      <c r="BD6" s="19">
        <f t="shared" si="3"/>
        <v>49501.947916666664</v>
      </c>
      <c r="BE6" s="19">
        <f t="shared" si="3"/>
        <v>51940.28125</v>
      </c>
      <c r="BF6" s="19">
        <f t="shared" si="3"/>
        <v>51940.28125</v>
      </c>
      <c r="BG6" s="19">
        <f t="shared" si="3"/>
        <v>54323.614583333336</v>
      </c>
      <c r="BH6" s="19">
        <f t="shared" si="3"/>
        <v>54323.614583333336</v>
      </c>
      <c r="BI6" s="19">
        <f t="shared" si="3"/>
        <v>57039.795312499999</v>
      </c>
      <c r="BJ6" s="19">
        <f t="shared" si="3"/>
        <v>57039.795312499999</v>
      </c>
      <c r="BK6" s="19">
        <f t="shared" si="3"/>
        <v>57039.795312499999</v>
      </c>
      <c r="BL6" s="19">
        <f t="shared" si="3"/>
        <v>57039.795312499999</v>
      </c>
      <c r="BM6" s="19">
        <f t="shared" si="3"/>
        <v>57039.795312499999</v>
      </c>
      <c r="BN6" s="19">
        <f t="shared" si="3"/>
        <v>57039.795312499999</v>
      </c>
      <c r="BO6" s="19">
        <f t="shared" si="3"/>
        <v>57039.795312499999</v>
      </c>
      <c r="BP6" s="19">
        <f t="shared" si="3"/>
        <v>57039.795312499999</v>
      </c>
      <c r="BQ6" s="19">
        <f t="shared" si="3"/>
        <v>57039.795312499999</v>
      </c>
      <c r="BR6" s="19">
        <f t="shared" si="3"/>
        <v>57039.795312499999</v>
      </c>
      <c r="BS6" s="19">
        <f t="shared" si="3"/>
        <v>57039.795312499999</v>
      </c>
      <c r="BT6" s="19">
        <f t="shared" si="3"/>
        <v>57039.795312499999</v>
      </c>
    </row>
    <row r="8" spans="1:72" x14ac:dyDescent="0.3">
      <c r="A8" s="19" t="s">
        <v>147</v>
      </c>
      <c r="B8" s="19">
        <v>2000</v>
      </c>
      <c r="C8" s="19" t="s">
        <v>148</v>
      </c>
      <c r="M8" s="19">
        <f>2000</f>
        <v>2000</v>
      </c>
      <c r="N8" s="19">
        <f t="shared" ref="N8:AS8" si="4">+M8</f>
        <v>2000</v>
      </c>
      <c r="O8" s="19">
        <f t="shared" si="4"/>
        <v>2000</v>
      </c>
      <c r="P8" s="19">
        <f t="shared" si="4"/>
        <v>2000</v>
      </c>
      <c r="Q8" s="19">
        <f t="shared" si="4"/>
        <v>2000</v>
      </c>
      <c r="R8" s="19">
        <f t="shared" si="4"/>
        <v>2000</v>
      </c>
      <c r="S8" s="19">
        <f t="shared" si="4"/>
        <v>2000</v>
      </c>
      <c r="T8" s="19">
        <f t="shared" si="4"/>
        <v>2000</v>
      </c>
      <c r="U8" s="19">
        <f t="shared" si="4"/>
        <v>2000</v>
      </c>
      <c r="V8" s="19">
        <f t="shared" si="4"/>
        <v>2000</v>
      </c>
      <c r="W8" s="19">
        <f t="shared" si="4"/>
        <v>2000</v>
      </c>
      <c r="X8" s="19">
        <f t="shared" si="4"/>
        <v>2000</v>
      </c>
      <c r="Y8" s="19">
        <f t="shared" si="4"/>
        <v>2000</v>
      </c>
      <c r="Z8" s="19">
        <f t="shared" si="4"/>
        <v>2000</v>
      </c>
      <c r="AA8" s="19">
        <f t="shared" si="4"/>
        <v>2000</v>
      </c>
      <c r="AB8" s="19">
        <f t="shared" si="4"/>
        <v>2000</v>
      </c>
      <c r="AC8" s="19">
        <f t="shared" si="4"/>
        <v>2000</v>
      </c>
      <c r="AD8" s="19">
        <f t="shared" si="4"/>
        <v>2000</v>
      </c>
      <c r="AE8" s="19">
        <f t="shared" si="4"/>
        <v>2000</v>
      </c>
      <c r="AF8" s="19">
        <f t="shared" si="4"/>
        <v>2000</v>
      </c>
      <c r="AG8" s="19">
        <f t="shared" si="4"/>
        <v>2000</v>
      </c>
      <c r="AH8" s="19">
        <f t="shared" si="4"/>
        <v>2000</v>
      </c>
      <c r="AI8" s="19">
        <f t="shared" si="4"/>
        <v>2000</v>
      </c>
      <c r="AJ8" s="19">
        <f t="shared" si="4"/>
        <v>2000</v>
      </c>
      <c r="AK8" s="19">
        <f t="shared" si="4"/>
        <v>2000</v>
      </c>
      <c r="AL8" s="19">
        <f t="shared" si="4"/>
        <v>2000</v>
      </c>
      <c r="AM8" s="19">
        <f t="shared" si="4"/>
        <v>2000</v>
      </c>
      <c r="AN8" s="19">
        <f t="shared" si="4"/>
        <v>2000</v>
      </c>
      <c r="AO8" s="19">
        <f t="shared" si="4"/>
        <v>2000</v>
      </c>
      <c r="AP8" s="19">
        <f t="shared" si="4"/>
        <v>2000</v>
      </c>
      <c r="AQ8" s="19">
        <f t="shared" si="4"/>
        <v>2000</v>
      </c>
      <c r="AR8" s="19">
        <f t="shared" si="4"/>
        <v>2000</v>
      </c>
      <c r="AS8" s="19">
        <f t="shared" si="4"/>
        <v>2000</v>
      </c>
      <c r="AT8" s="19">
        <f t="shared" ref="AT8:BT8" si="5">+AS8</f>
        <v>2000</v>
      </c>
      <c r="AU8" s="19">
        <f t="shared" si="5"/>
        <v>2000</v>
      </c>
      <c r="AV8" s="19">
        <f t="shared" si="5"/>
        <v>2000</v>
      </c>
      <c r="AW8" s="19">
        <f t="shared" si="5"/>
        <v>2000</v>
      </c>
      <c r="AX8" s="19">
        <f t="shared" si="5"/>
        <v>2000</v>
      </c>
      <c r="AY8" s="19">
        <f t="shared" si="5"/>
        <v>2000</v>
      </c>
      <c r="AZ8" s="19">
        <f t="shared" si="5"/>
        <v>2000</v>
      </c>
      <c r="BA8" s="19">
        <f t="shared" si="5"/>
        <v>2000</v>
      </c>
      <c r="BB8" s="19">
        <f t="shared" si="5"/>
        <v>2000</v>
      </c>
      <c r="BC8" s="19">
        <f t="shared" si="5"/>
        <v>2000</v>
      </c>
      <c r="BD8" s="19">
        <f t="shared" si="5"/>
        <v>2000</v>
      </c>
      <c r="BE8" s="19">
        <f t="shared" si="5"/>
        <v>2000</v>
      </c>
      <c r="BF8" s="19">
        <f t="shared" si="5"/>
        <v>2000</v>
      </c>
      <c r="BG8" s="19">
        <f t="shared" si="5"/>
        <v>2000</v>
      </c>
      <c r="BH8" s="19">
        <f t="shared" si="5"/>
        <v>2000</v>
      </c>
      <c r="BI8" s="19">
        <f t="shared" si="5"/>
        <v>2000</v>
      </c>
      <c r="BJ8" s="19">
        <f t="shared" si="5"/>
        <v>2000</v>
      </c>
      <c r="BK8" s="19">
        <f t="shared" si="5"/>
        <v>2000</v>
      </c>
      <c r="BL8" s="19">
        <f t="shared" si="5"/>
        <v>2000</v>
      </c>
      <c r="BM8" s="19">
        <f t="shared" si="5"/>
        <v>2000</v>
      </c>
      <c r="BN8" s="19">
        <f t="shared" si="5"/>
        <v>2000</v>
      </c>
      <c r="BO8" s="19">
        <f t="shared" si="5"/>
        <v>2000</v>
      </c>
      <c r="BP8" s="19">
        <f t="shared" si="5"/>
        <v>2000</v>
      </c>
      <c r="BQ8" s="19">
        <f t="shared" si="5"/>
        <v>2000</v>
      </c>
      <c r="BR8" s="19">
        <f t="shared" si="5"/>
        <v>2000</v>
      </c>
      <c r="BS8" s="19">
        <f t="shared" si="5"/>
        <v>2000</v>
      </c>
      <c r="BT8" s="19">
        <f t="shared" si="5"/>
        <v>2000</v>
      </c>
    </row>
    <row r="10" spans="1:72" x14ac:dyDescent="0.3">
      <c r="A10" s="19" t="s">
        <v>149</v>
      </c>
      <c r="B10" s="19">
        <v>500</v>
      </c>
      <c r="C10" s="19" t="s">
        <v>148</v>
      </c>
      <c r="M10" s="19">
        <f t="shared" ref="M10:AR10" si="6">COUNTIF(M$31:M$54,"&gt;0")*$B$10</f>
        <v>500</v>
      </c>
      <c r="N10" s="19">
        <f t="shared" si="6"/>
        <v>500</v>
      </c>
      <c r="O10" s="19">
        <f t="shared" si="6"/>
        <v>500</v>
      </c>
      <c r="P10" s="19">
        <f t="shared" si="6"/>
        <v>1000</v>
      </c>
      <c r="Q10" s="19">
        <f t="shared" si="6"/>
        <v>1000</v>
      </c>
      <c r="R10" s="19">
        <f t="shared" si="6"/>
        <v>1500</v>
      </c>
      <c r="S10" s="19">
        <f t="shared" si="6"/>
        <v>1500</v>
      </c>
      <c r="T10" s="19">
        <f t="shared" si="6"/>
        <v>1500</v>
      </c>
      <c r="U10" s="19">
        <f t="shared" si="6"/>
        <v>1500</v>
      </c>
      <c r="V10" s="19">
        <f t="shared" si="6"/>
        <v>1500</v>
      </c>
      <c r="W10" s="19">
        <f t="shared" si="6"/>
        <v>1500</v>
      </c>
      <c r="X10" s="19">
        <f t="shared" si="6"/>
        <v>1500</v>
      </c>
      <c r="Y10" s="19">
        <f t="shared" si="6"/>
        <v>2000</v>
      </c>
      <c r="Z10" s="19">
        <f t="shared" si="6"/>
        <v>2000</v>
      </c>
      <c r="AA10" s="19">
        <f t="shared" si="6"/>
        <v>2500</v>
      </c>
      <c r="AB10" s="19">
        <f t="shared" si="6"/>
        <v>3000</v>
      </c>
      <c r="AC10" s="19">
        <f t="shared" si="6"/>
        <v>3000</v>
      </c>
      <c r="AD10" s="19">
        <f t="shared" si="6"/>
        <v>3500</v>
      </c>
      <c r="AE10" s="19">
        <f t="shared" si="6"/>
        <v>4500</v>
      </c>
      <c r="AF10" s="19">
        <f t="shared" si="6"/>
        <v>4500</v>
      </c>
      <c r="AG10" s="19">
        <f t="shared" si="6"/>
        <v>4500</v>
      </c>
      <c r="AH10" s="19">
        <f t="shared" si="6"/>
        <v>4500</v>
      </c>
      <c r="AI10" s="19">
        <f t="shared" si="6"/>
        <v>4500</v>
      </c>
      <c r="AJ10" s="19">
        <f t="shared" si="6"/>
        <v>4500</v>
      </c>
      <c r="AK10" s="19">
        <f t="shared" si="6"/>
        <v>4500</v>
      </c>
      <c r="AL10" s="19">
        <f t="shared" si="6"/>
        <v>5000</v>
      </c>
      <c r="AM10" s="19">
        <f t="shared" si="6"/>
        <v>5500</v>
      </c>
      <c r="AN10" s="19">
        <f t="shared" si="6"/>
        <v>5500</v>
      </c>
      <c r="AO10" s="19">
        <f t="shared" si="6"/>
        <v>6500</v>
      </c>
      <c r="AP10" s="19">
        <f t="shared" si="6"/>
        <v>7000</v>
      </c>
      <c r="AQ10" s="19">
        <f t="shared" si="6"/>
        <v>7000</v>
      </c>
      <c r="AR10" s="19">
        <f t="shared" si="6"/>
        <v>7500</v>
      </c>
      <c r="AS10" s="19">
        <f t="shared" ref="AS10:BT10" si="7">COUNTIF(AS$31:AS$54,"&gt;0")*$B$10</f>
        <v>8000</v>
      </c>
      <c r="AT10" s="19">
        <f t="shared" si="7"/>
        <v>8000</v>
      </c>
      <c r="AU10" s="19">
        <f t="shared" si="7"/>
        <v>8000</v>
      </c>
      <c r="AV10" s="19">
        <f t="shared" si="7"/>
        <v>8000</v>
      </c>
      <c r="AW10" s="19">
        <f t="shared" si="7"/>
        <v>9000</v>
      </c>
      <c r="AX10" s="19">
        <f t="shared" si="7"/>
        <v>9000</v>
      </c>
      <c r="AY10" s="19">
        <f t="shared" si="7"/>
        <v>9000</v>
      </c>
      <c r="AZ10" s="19">
        <f t="shared" si="7"/>
        <v>9000</v>
      </c>
      <c r="BA10" s="19">
        <f t="shared" si="7"/>
        <v>9500</v>
      </c>
      <c r="BB10" s="19">
        <f t="shared" si="7"/>
        <v>9500</v>
      </c>
      <c r="BC10" s="19">
        <f t="shared" si="7"/>
        <v>10000</v>
      </c>
      <c r="BD10" s="19">
        <f t="shared" si="7"/>
        <v>10500</v>
      </c>
      <c r="BE10" s="19">
        <f t="shared" si="7"/>
        <v>11000</v>
      </c>
      <c r="BF10" s="19">
        <f t="shared" si="7"/>
        <v>11000</v>
      </c>
      <c r="BG10" s="19">
        <f t="shared" si="7"/>
        <v>11500</v>
      </c>
      <c r="BH10" s="19">
        <f t="shared" si="7"/>
        <v>11500</v>
      </c>
      <c r="BI10" s="19">
        <f t="shared" si="7"/>
        <v>11500</v>
      </c>
      <c r="BJ10" s="19">
        <f t="shared" si="7"/>
        <v>11500</v>
      </c>
      <c r="BK10" s="19">
        <f t="shared" si="7"/>
        <v>11500</v>
      </c>
      <c r="BL10" s="19">
        <f t="shared" si="7"/>
        <v>11500</v>
      </c>
      <c r="BM10" s="19">
        <f t="shared" si="7"/>
        <v>11500</v>
      </c>
      <c r="BN10" s="19">
        <f t="shared" si="7"/>
        <v>11500</v>
      </c>
      <c r="BO10" s="19">
        <f t="shared" si="7"/>
        <v>11500</v>
      </c>
      <c r="BP10" s="19">
        <f t="shared" si="7"/>
        <v>11500</v>
      </c>
      <c r="BQ10" s="19">
        <f t="shared" si="7"/>
        <v>11500</v>
      </c>
      <c r="BR10" s="19">
        <f t="shared" si="7"/>
        <v>11500</v>
      </c>
      <c r="BS10" s="19">
        <f t="shared" si="7"/>
        <v>11500</v>
      </c>
      <c r="BT10" s="19">
        <f t="shared" si="7"/>
        <v>11500</v>
      </c>
    </row>
    <row r="12" spans="1:72" x14ac:dyDescent="0.3">
      <c r="A12" s="19" t="s">
        <v>150</v>
      </c>
      <c r="B12" s="19">
        <v>800</v>
      </c>
      <c r="C12" s="19" t="s">
        <v>148</v>
      </c>
      <c r="M12" s="30">
        <f t="shared" ref="M12:AR12" si="8">COUNTIF(M$31:M$54,"&gt;0")*$B$12</f>
        <v>800</v>
      </c>
      <c r="N12" s="30">
        <f t="shared" si="8"/>
        <v>800</v>
      </c>
      <c r="O12" s="30">
        <f t="shared" si="8"/>
        <v>800</v>
      </c>
      <c r="P12" s="30">
        <f t="shared" si="8"/>
        <v>1600</v>
      </c>
      <c r="Q12" s="30">
        <f t="shared" si="8"/>
        <v>1600</v>
      </c>
      <c r="R12" s="30">
        <f t="shared" si="8"/>
        <v>2400</v>
      </c>
      <c r="S12" s="30">
        <f t="shared" si="8"/>
        <v>2400</v>
      </c>
      <c r="T12" s="30">
        <f t="shared" si="8"/>
        <v>2400</v>
      </c>
      <c r="U12" s="30">
        <f t="shared" si="8"/>
        <v>2400</v>
      </c>
      <c r="V12" s="30">
        <f t="shared" si="8"/>
        <v>2400</v>
      </c>
      <c r="W12" s="30">
        <f t="shared" si="8"/>
        <v>2400</v>
      </c>
      <c r="X12" s="30">
        <f t="shared" si="8"/>
        <v>2400</v>
      </c>
      <c r="Y12" s="30">
        <f t="shared" si="8"/>
        <v>3200</v>
      </c>
      <c r="Z12" s="30">
        <f t="shared" si="8"/>
        <v>3200</v>
      </c>
      <c r="AA12" s="30">
        <f t="shared" si="8"/>
        <v>4000</v>
      </c>
      <c r="AB12" s="30">
        <f t="shared" si="8"/>
        <v>4800</v>
      </c>
      <c r="AC12" s="30">
        <f t="shared" si="8"/>
        <v>4800</v>
      </c>
      <c r="AD12" s="30">
        <f t="shared" si="8"/>
        <v>5600</v>
      </c>
      <c r="AE12" s="30">
        <f t="shared" si="8"/>
        <v>7200</v>
      </c>
      <c r="AF12" s="30">
        <f t="shared" si="8"/>
        <v>7200</v>
      </c>
      <c r="AG12" s="30">
        <f t="shared" si="8"/>
        <v>7200</v>
      </c>
      <c r="AH12" s="30">
        <f t="shared" si="8"/>
        <v>7200</v>
      </c>
      <c r="AI12" s="30">
        <f t="shared" si="8"/>
        <v>7200</v>
      </c>
      <c r="AJ12" s="30">
        <f t="shared" si="8"/>
        <v>7200</v>
      </c>
      <c r="AK12" s="30">
        <f t="shared" si="8"/>
        <v>7200</v>
      </c>
      <c r="AL12" s="30">
        <f t="shared" si="8"/>
        <v>8000</v>
      </c>
      <c r="AM12" s="30">
        <f t="shared" si="8"/>
        <v>8800</v>
      </c>
      <c r="AN12" s="30">
        <f t="shared" si="8"/>
        <v>8800</v>
      </c>
      <c r="AO12" s="30">
        <f t="shared" si="8"/>
        <v>10400</v>
      </c>
      <c r="AP12" s="30">
        <f t="shared" si="8"/>
        <v>11200</v>
      </c>
      <c r="AQ12" s="30">
        <f t="shared" si="8"/>
        <v>11200</v>
      </c>
      <c r="AR12" s="30">
        <f t="shared" si="8"/>
        <v>12000</v>
      </c>
      <c r="AS12" s="30">
        <f t="shared" ref="AS12:BT12" si="9">COUNTIF(AS$31:AS$54,"&gt;0")*$B$12</f>
        <v>12800</v>
      </c>
      <c r="AT12" s="30">
        <f t="shared" si="9"/>
        <v>12800</v>
      </c>
      <c r="AU12" s="30">
        <f t="shared" si="9"/>
        <v>12800</v>
      </c>
      <c r="AV12" s="30">
        <f t="shared" si="9"/>
        <v>12800</v>
      </c>
      <c r="AW12" s="30">
        <f t="shared" si="9"/>
        <v>14400</v>
      </c>
      <c r="AX12" s="30">
        <f t="shared" si="9"/>
        <v>14400</v>
      </c>
      <c r="AY12" s="30">
        <f t="shared" si="9"/>
        <v>14400</v>
      </c>
      <c r="AZ12" s="30">
        <f t="shared" si="9"/>
        <v>14400</v>
      </c>
      <c r="BA12" s="30">
        <f t="shared" si="9"/>
        <v>15200</v>
      </c>
      <c r="BB12" s="30">
        <f t="shared" si="9"/>
        <v>15200</v>
      </c>
      <c r="BC12" s="30">
        <f t="shared" si="9"/>
        <v>16000</v>
      </c>
      <c r="BD12" s="30">
        <f t="shared" si="9"/>
        <v>16800</v>
      </c>
      <c r="BE12" s="30">
        <f t="shared" si="9"/>
        <v>17600</v>
      </c>
      <c r="BF12" s="30">
        <f t="shared" si="9"/>
        <v>17600</v>
      </c>
      <c r="BG12" s="30">
        <f t="shared" si="9"/>
        <v>18400</v>
      </c>
      <c r="BH12" s="30">
        <f t="shared" si="9"/>
        <v>18400</v>
      </c>
      <c r="BI12" s="30">
        <f t="shared" si="9"/>
        <v>18400</v>
      </c>
      <c r="BJ12" s="30">
        <f t="shared" si="9"/>
        <v>18400</v>
      </c>
      <c r="BK12" s="30">
        <f t="shared" si="9"/>
        <v>18400</v>
      </c>
      <c r="BL12" s="30">
        <f t="shared" si="9"/>
        <v>18400</v>
      </c>
      <c r="BM12" s="30">
        <f t="shared" si="9"/>
        <v>18400</v>
      </c>
      <c r="BN12" s="30">
        <f t="shared" si="9"/>
        <v>18400</v>
      </c>
      <c r="BO12" s="30">
        <f t="shared" si="9"/>
        <v>18400</v>
      </c>
      <c r="BP12" s="30">
        <f t="shared" si="9"/>
        <v>18400</v>
      </c>
      <c r="BQ12" s="30">
        <f t="shared" si="9"/>
        <v>18400</v>
      </c>
      <c r="BR12" s="30">
        <f t="shared" si="9"/>
        <v>18400</v>
      </c>
      <c r="BS12" s="30">
        <f t="shared" si="9"/>
        <v>18400</v>
      </c>
      <c r="BT12" s="30">
        <f t="shared" si="9"/>
        <v>18400</v>
      </c>
    </row>
    <row r="13" spans="1:72" ht="15" thickBot="1" x14ac:dyDescent="0.35">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row>
    <row r="14" spans="1:72" ht="15" thickTop="1" x14ac:dyDescent="0.3">
      <c r="A14" s="19" t="s">
        <v>151</v>
      </c>
      <c r="M14" s="19">
        <f t="shared" ref="M14:AR14" si="10">SUM(M5:M12)</f>
        <v>16516.666666666668</v>
      </c>
      <c r="N14" s="19">
        <f t="shared" si="10"/>
        <v>16516.666666666668</v>
      </c>
      <c r="O14" s="19">
        <f t="shared" si="10"/>
        <v>16516.666666666668</v>
      </c>
      <c r="P14" s="19">
        <f t="shared" si="10"/>
        <v>31033.333333333336</v>
      </c>
      <c r="Q14" s="19">
        <f t="shared" si="10"/>
        <v>31033.333333333336</v>
      </c>
      <c r="R14" s="19">
        <f t="shared" si="10"/>
        <v>45550</v>
      </c>
      <c r="S14" s="19">
        <f t="shared" si="10"/>
        <v>45550</v>
      </c>
      <c r="T14" s="19">
        <f t="shared" si="10"/>
        <v>45550</v>
      </c>
      <c r="U14" s="19">
        <f t="shared" si="10"/>
        <v>45550</v>
      </c>
      <c r="V14" s="19">
        <f t="shared" si="10"/>
        <v>45550</v>
      </c>
      <c r="W14" s="19">
        <f t="shared" si="10"/>
        <v>45550</v>
      </c>
      <c r="X14" s="19">
        <f t="shared" si="10"/>
        <v>45550</v>
      </c>
      <c r="Y14" s="19">
        <f t="shared" si="10"/>
        <v>62049.166666666672</v>
      </c>
      <c r="Z14" s="19">
        <f t="shared" si="10"/>
        <v>62049.166666666672</v>
      </c>
      <c r="AA14" s="19">
        <f t="shared" si="10"/>
        <v>78090.833333333343</v>
      </c>
      <c r="AB14" s="19">
        <f t="shared" si="10"/>
        <v>92099.166666666686</v>
      </c>
      <c r="AC14" s="19">
        <f t="shared" si="10"/>
        <v>92099.166666666686</v>
      </c>
      <c r="AD14" s="19">
        <f t="shared" si="10"/>
        <v>106920.83333333334</v>
      </c>
      <c r="AE14" s="19">
        <f t="shared" si="10"/>
        <v>119687.50000000001</v>
      </c>
      <c r="AF14" s="19">
        <f t="shared" si="10"/>
        <v>119687.50000000001</v>
      </c>
      <c r="AG14" s="19">
        <f t="shared" si="10"/>
        <v>119687.50000000001</v>
      </c>
      <c r="AH14" s="19">
        <f t="shared" si="10"/>
        <v>119687.50000000001</v>
      </c>
      <c r="AI14" s="19">
        <f t="shared" si="10"/>
        <v>119687.50000000001</v>
      </c>
      <c r="AJ14" s="19">
        <f t="shared" si="10"/>
        <v>119687.50000000001</v>
      </c>
      <c r="AK14" s="19">
        <f t="shared" si="10"/>
        <v>124986.87500000001</v>
      </c>
      <c r="AL14" s="19">
        <f t="shared" si="10"/>
        <v>135436.875</v>
      </c>
      <c r="AM14" s="19">
        <f t="shared" si="10"/>
        <v>149953.54166666669</v>
      </c>
      <c r="AN14" s="19">
        <f t="shared" si="10"/>
        <v>149953.54166666669</v>
      </c>
      <c r="AO14" s="19">
        <f t="shared" si="10"/>
        <v>166583.54166666669</v>
      </c>
      <c r="AP14" s="19">
        <f t="shared" si="10"/>
        <v>183133.54166666669</v>
      </c>
      <c r="AQ14" s="19">
        <f t="shared" si="10"/>
        <v>183133.54166666669</v>
      </c>
      <c r="AR14" s="19">
        <f t="shared" si="10"/>
        <v>197650.20833333337</v>
      </c>
      <c r="AS14" s="19">
        <f t="shared" ref="AS14:BT14" si="11">SUM(AS5:AS12)</f>
        <v>206575.20833333337</v>
      </c>
      <c r="AT14" s="19">
        <f t="shared" si="11"/>
        <v>216945.20833333337</v>
      </c>
      <c r="AU14" s="19">
        <f t="shared" si="11"/>
        <v>216945.20833333337</v>
      </c>
      <c r="AV14" s="19">
        <f t="shared" si="11"/>
        <v>216945.20833333337</v>
      </c>
      <c r="AW14" s="19">
        <f t="shared" si="11"/>
        <v>257719.13541666669</v>
      </c>
      <c r="AX14" s="19">
        <f t="shared" si="11"/>
        <v>257719.13541666669</v>
      </c>
      <c r="AY14" s="19">
        <f t="shared" si="11"/>
        <v>257719.13541666669</v>
      </c>
      <c r="AZ14" s="19">
        <f t="shared" si="11"/>
        <v>257719.13541666669</v>
      </c>
      <c r="BA14" s="19">
        <f t="shared" si="11"/>
        <v>272235.80208333337</v>
      </c>
      <c r="BB14" s="19">
        <f t="shared" si="11"/>
        <v>272235.80208333337</v>
      </c>
      <c r="BC14" s="19">
        <f t="shared" si="11"/>
        <v>288277.46875</v>
      </c>
      <c r="BD14" s="19">
        <f t="shared" si="11"/>
        <v>303810.80208333331</v>
      </c>
      <c r="BE14" s="19">
        <f t="shared" si="11"/>
        <v>318632.46875</v>
      </c>
      <c r="BF14" s="19">
        <f t="shared" si="11"/>
        <v>318632.46875</v>
      </c>
      <c r="BG14" s="19">
        <f t="shared" si="11"/>
        <v>333149.13541666669</v>
      </c>
      <c r="BH14" s="19">
        <f t="shared" si="11"/>
        <v>333149.13541666669</v>
      </c>
      <c r="BI14" s="19">
        <f t="shared" si="11"/>
        <v>348211.59218749998</v>
      </c>
      <c r="BJ14" s="19">
        <f t="shared" si="11"/>
        <v>348211.59218749998</v>
      </c>
      <c r="BK14" s="19">
        <f t="shared" si="11"/>
        <v>348211.59218749998</v>
      </c>
      <c r="BL14" s="19">
        <f t="shared" si="11"/>
        <v>348211.59218749998</v>
      </c>
      <c r="BM14" s="19">
        <f t="shared" si="11"/>
        <v>348211.59218749998</v>
      </c>
      <c r="BN14" s="19">
        <f t="shared" si="11"/>
        <v>348211.59218749998</v>
      </c>
      <c r="BO14" s="19">
        <f t="shared" si="11"/>
        <v>348211.59218749998</v>
      </c>
      <c r="BP14" s="19">
        <f t="shared" si="11"/>
        <v>348211.59218749998</v>
      </c>
      <c r="BQ14" s="19">
        <f t="shared" si="11"/>
        <v>348211.59218749998</v>
      </c>
      <c r="BR14" s="19">
        <f t="shared" si="11"/>
        <v>348211.59218749998</v>
      </c>
      <c r="BS14" s="19">
        <f t="shared" si="11"/>
        <v>348211.59218749998</v>
      </c>
      <c r="BT14" s="19">
        <f t="shared" si="11"/>
        <v>348211.59218749998</v>
      </c>
    </row>
    <row r="29" spans="1:72" x14ac:dyDescent="0.3">
      <c r="C29" s="19" t="s">
        <v>152</v>
      </c>
      <c r="M29" s="94" t="s">
        <v>8</v>
      </c>
      <c r="Y29" s="94" t="s">
        <v>9</v>
      </c>
      <c r="AK29" s="94" t="s">
        <v>10</v>
      </c>
      <c r="AW29" s="94" t="s">
        <v>11</v>
      </c>
      <c r="BI29" s="94" t="s">
        <v>12</v>
      </c>
    </row>
    <row r="30" spans="1:72" ht="16.2" x14ac:dyDescent="0.45">
      <c r="A30" s="19" t="s">
        <v>153</v>
      </c>
      <c r="M30" s="127" t="s">
        <v>68</v>
      </c>
      <c r="N30" s="128"/>
      <c r="O30" s="128"/>
      <c r="P30" s="127" t="s">
        <v>69</v>
      </c>
      <c r="Q30" s="128"/>
      <c r="R30" s="128"/>
      <c r="S30" s="127" t="s">
        <v>70</v>
      </c>
      <c r="T30" s="128"/>
      <c r="U30" s="128"/>
      <c r="V30" s="127" t="s">
        <v>71</v>
      </c>
      <c r="W30" s="128"/>
      <c r="X30" s="128"/>
      <c r="Y30" s="127" t="s">
        <v>68</v>
      </c>
      <c r="Z30" s="128"/>
      <c r="AA30" s="128"/>
      <c r="AB30" s="127" t="s">
        <v>69</v>
      </c>
      <c r="AC30" s="128"/>
      <c r="AD30" s="128"/>
      <c r="AE30" s="127" t="s">
        <v>70</v>
      </c>
      <c r="AF30" s="128"/>
      <c r="AG30" s="128"/>
      <c r="AH30" s="127" t="s">
        <v>71</v>
      </c>
      <c r="AI30" s="128"/>
      <c r="AJ30" s="128"/>
      <c r="AK30" s="127" t="s">
        <v>68</v>
      </c>
      <c r="AL30" s="128"/>
      <c r="AM30" s="128"/>
      <c r="AN30" s="127" t="s">
        <v>69</v>
      </c>
      <c r="AO30" s="128"/>
      <c r="AP30" s="128"/>
      <c r="AQ30" s="127" t="s">
        <v>70</v>
      </c>
      <c r="AR30" s="128"/>
      <c r="AS30" s="128"/>
      <c r="AT30" s="127" t="s">
        <v>71</v>
      </c>
      <c r="AU30" s="128"/>
      <c r="AV30" s="128"/>
      <c r="AW30" s="127" t="s">
        <v>68</v>
      </c>
      <c r="AX30" s="128"/>
      <c r="AY30" s="128"/>
      <c r="AZ30" s="127" t="s">
        <v>69</v>
      </c>
      <c r="BA30" s="128"/>
      <c r="BB30" s="128"/>
      <c r="BC30" s="127" t="s">
        <v>70</v>
      </c>
      <c r="BD30" s="128"/>
      <c r="BE30" s="128"/>
      <c r="BF30" s="127" t="s">
        <v>71</v>
      </c>
      <c r="BG30" s="128"/>
      <c r="BH30" s="128"/>
      <c r="BI30" s="127" t="s">
        <v>68</v>
      </c>
      <c r="BJ30" s="128"/>
      <c r="BK30" s="128"/>
      <c r="BL30" s="127" t="s">
        <v>69</v>
      </c>
      <c r="BM30" s="128"/>
      <c r="BN30" s="128"/>
      <c r="BO30" s="127" t="s">
        <v>70</v>
      </c>
      <c r="BP30" s="128"/>
      <c r="BQ30" s="128"/>
      <c r="BR30" s="127" t="s">
        <v>71</v>
      </c>
      <c r="BS30" s="128"/>
      <c r="BT30" s="128"/>
    </row>
    <row r="31" spans="1:72" x14ac:dyDescent="0.3">
      <c r="B31" s="19" t="s">
        <v>154</v>
      </c>
      <c r="C31" s="19">
        <v>165000</v>
      </c>
      <c r="M31" s="19">
        <v>0</v>
      </c>
      <c r="N31" s="19">
        <f>+M31</f>
        <v>0</v>
      </c>
      <c r="O31" s="19">
        <f t="shared" ref="O31:X31" si="12">+N31</f>
        <v>0</v>
      </c>
      <c r="P31" s="19">
        <f t="shared" si="12"/>
        <v>0</v>
      </c>
      <c r="Q31" s="19">
        <f t="shared" si="12"/>
        <v>0</v>
      </c>
      <c r="R31" s="19">
        <f t="shared" si="12"/>
        <v>0</v>
      </c>
      <c r="S31" s="19">
        <f t="shared" si="12"/>
        <v>0</v>
      </c>
      <c r="T31" s="19">
        <f t="shared" si="12"/>
        <v>0</v>
      </c>
      <c r="U31" s="19">
        <f t="shared" si="12"/>
        <v>0</v>
      </c>
      <c r="V31" s="19">
        <f t="shared" si="12"/>
        <v>0</v>
      </c>
      <c r="W31" s="19">
        <f t="shared" si="12"/>
        <v>0</v>
      </c>
      <c r="X31" s="19">
        <f t="shared" si="12"/>
        <v>0</v>
      </c>
      <c r="Y31" s="19">
        <f>X31*(1+C$59)</f>
        <v>0</v>
      </c>
      <c r="Z31" s="19">
        <f>+Y31</f>
        <v>0</v>
      </c>
      <c r="AA31" s="19">
        <f>+Z31</f>
        <v>0</v>
      </c>
      <c r="AB31" s="19">
        <f t="shared" ref="AB31:AJ31" si="13">+AA31</f>
        <v>0</v>
      </c>
      <c r="AC31" s="19">
        <f t="shared" si="13"/>
        <v>0</v>
      </c>
      <c r="AD31" s="19">
        <f t="shared" si="13"/>
        <v>0</v>
      </c>
      <c r="AE31" s="19">
        <f t="shared" si="13"/>
        <v>0</v>
      </c>
      <c r="AF31" s="19">
        <f t="shared" si="13"/>
        <v>0</v>
      </c>
      <c r="AG31" s="19">
        <f t="shared" si="13"/>
        <v>0</v>
      </c>
      <c r="AH31" s="19">
        <f t="shared" si="13"/>
        <v>0</v>
      </c>
      <c r="AI31" s="19">
        <f t="shared" si="13"/>
        <v>0</v>
      </c>
      <c r="AJ31" s="19">
        <f t="shared" si="13"/>
        <v>0</v>
      </c>
      <c r="AK31" s="19">
        <f>AJ31*(1+C$59)</f>
        <v>0</v>
      </c>
      <c r="AL31" s="19">
        <f t="shared" ref="AL31:AL53" si="14">+AK31</f>
        <v>0</v>
      </c>
      <c r="AM31" s="19">
        <f t="shared" ref="AM31:AV31" si="15">+AL31</f>
        <v>0</v>
      </c>
      <c r="AN31" s="19">
        <f t="shared" si="15"/>
        <v>0</v>
      </c>
      <c r="AO31" s="19">
        <f t="shared" si="15"/>
        <v>0</v>
      </c>
      <c r="AP31" s="19">
        <f t="shared" si="15"/>
        <v>0</v>
      </c>
      <c r="AQ31" s="19">
        <f t="shared" si="15"/>
        <v>0</v>
      </c>
      <c r="AR31" s="19">
        <f t="shared" si="15"/>
        <v>0</v>
      </c>
      <c r="AS31" s="19">
        <f t="shared" si="15"/>
        <v>0</v>
      </c>
      <c r="AT31" s="19">
        <f t="shared" si="15"/>
        <v>0</v>
      </c>
      <c r="AU31" s="19">
        <f t="shared" si="15"/>
        <v>0</v>
      </c>
      <c r="AV31" s="19">
        <f t="shared" si="15"/>
        <v>0</v>
      </c>
      <c r="AW31" s="19">
        <f>C31/12</f>
        <v>13750</v>
      </c>
      <c r="AX31" s="19">
        <f t="shared" ref="AX31:AX53" si="16">+AW31</f>
        <v>13750</v>
      </c>
      <c r="AY31" s="19">
        <f t="shared" ref="AY31:BH31" si="17">+AX31</f>
        <v>13750</v>
      </c>
      <c r="AZ31" s="19">
        <f t="shared" si="17"/>
        <v>13750</v>
      </c>
      <c r="BA31" s="19">
        <f t="shared" si="17"/>
        <v>13750</v>
      </c>
      <c r="BB31" s="19">
        <f t="shared" si="17"/>
        <v>13750</v>
      </c>
      <c r="BC31" s="19">
        <f t="shared" si="17"/>
        <v>13750</v>
      </c>
      <c r="BD31" s="19">
        <f t="shared" si="17"/>
        <v>13750</v>
      </c>
      <c r="BE31" s="19">
        <f t="shared" si="17"/>
        <v>13750</v>
      </c>
      <c r="BF31" s="19">
        <f t="shared" si="17"/>
        <v>13750</v>
      </c>
      <c r="BG31" s="19">
        <f t="shared" si="17"/>
        <v>13750</v>
      </c>
      <c r="BH31" s="19">
        <f t="shared" si="17"/>
        <v>13750</v>
      </c>
      <c r="BI31" s="19">
        <f t="shared" ref="BI31:BI38" si="18">BH31*(1+C$59)</f>
        <v>14437.5</v>
      </c>
      <c r="BJ31" s="19">
        <f t="shared" ref="BJ31:BJ53" si="19">+BI31</f>
        <v>14437.5</v>
      </c>
      <c r="BK31" s="19">
        <f t="shared" ref="BK31:BT31" si="20">+BJ31</f>
        <v>14437.5</v>
      </c>
      <c r="BL31" s="19">
        <f t="shared" si="20"/>
        <v>14437.5</v>
      </c>
      <c r="BM31" s="19">
        <f t="shared" si="20"/>
        <v>14437.5</v>
      </c>
      <c r="BN31" s="19">
        <f t="shared" si="20"/>
        <v>14437.5</v>
      </c>
      <c r="BO31" s="19">
        <f t="shared" si="20"/>
        <v>14437.5</v>
      </c>
      <c r="BP31" s="19">
        <f t="shared" si="20"/>
        <v>14437.5</v>
      </c>
      <c r="BQ31" s="19">
        <f t="shared" si="20"/>
        <v>14437.5</v>
      </c>
      <c r="BR31" s="19">
        <f t="shared" si="20"/>
        <v>14437.5</v>
      </c>
      <c r="BS31" s="19">
        <f t="shared" si="20"/>
        <v>14437.5</v>
      </c>
      <c r="BT31" s="19">
        <f t="shared" si="20"/>
        <v>14437.5</v>
      </c>
    </row>
    <row r="32" spans="1:72" x14ac:dyDescent="0.3">
      <c r="B32" s="19" t="s">
        <v>155</v>
      </c>
      <c r="C32" s="18">
        <v>130000</v>
      </c>
      <c r="M32" s="19">
        <f>C32/12</f>
        <v>10833.333333333334</v>
      </c>
      <c r="N32" s="19">
        <f>+M32</f>
        <v>10833.333333333334</v>
      </c>
      <c r="O32" s="19">
        <f t="shared" ref="O32:X53" si="21">+N32</f>
        <v>10833.333333333334</v>
      </c>
      <c r="P32" s="19">
        <f t="shared" si="21"/>
        <v>10833.333333333334</v>
      </c>
      <c r="Q32" s="19">
        <f t="shared" si="21"/>
        <v>10833.333333333334</v>
      </c>
      <c r="R32" s="19">
        <f t="shared" si="21"/>
        <v>10833.333333333334</v>
      </c>
      <c r="S32" s="19">
        <f t="shared" si="21"/>
        <v>10833.333333333334</v>
      </c>
      <c r="T32" s="19">
        <f t="shared" si="21"/>
        <v>10833.333333333334</v>
      </c>
      <c r="U32" s="19">
        <f t="shared" si="21"/>
        <v>10833.333333333334</v>
      </c>
      <c r="V32" s="19">
        <f t="shared" si="21"/>
        <v>10833.333333333334</v>
      </c>
      <c r="W32" s="19">
        <f t="shared" si="21"/>
        <v>10833.333333333334</v>
      </c>
      <c r="X32" s="19">
        <f t="shared" si="21"/>
        <v>10833.333333333334</v>
      </c>
      <c r="Y32" s="19">
        <f>X32*(1+C$59)</f>
        <v>11375.000000000002</v>
      </c>
      <c r="Z32" s="19">
        <f>+Y32</f>
        <v>11375.000000000002</v>
      </c>
      <c r="AA32" s="19">
        <f t="shared" ref="AA32:AJ53" si="22">+Z32</f>
        <v>11375.000000000002</v>
      </c>
      <c r="AB32" s="19">
        <f t="shared" si="22"/>
        <v>11375.000000000002</v>
      </c>
      <c r="AC32" s="19">
        <f t="shared" si="22"/>
        <v>11375.000000000002</v>
      </c>
      <c r="AD32" s="19">
        <f t="shared" si="22"/>
        <v>11375.000000000002</v>
      </c>
      <c r="AE32" s="19">
        <f t="shared" si="22"/>
        <v>11375.000000000002</v>
      </c>
      <c r="AF32" s="19">
        <f t="shared" si="22"/>
        <v>11375.000000000002</v>
      </c>
      <c r="AG32" s="19">
        <f t="shared" si="22"/>
        <v>11375.000000000002</v>
      </c>
      <c r="AH32" s="19">
        <f t="shared" si="22"/>
        <v>11375.000000000002</v>
      </c>
      <c r="AI32" s="19">
        <f t="shared" si="22"/>
        <v>11375.000000000002</v>
      </c>
      <c r="AJ32" s="19">
        <f t="shared" si="22"/>
        <v>11375.000000000002</v>
      </c>
      <c r="AK32" s="19">
        <f>AJ32*(1+C$59)</f>
        <v>11943.750000000002</v>
      </c>
      <c r="AL32" s="19">
        <f t="shared" si="14"/>
        <v>11943.750000000002</v>
      </c>
      <c r="AM32" s="19">
        <f t="shared" ref="AM32:AV53" si="23">+AL32</f>
        <v>11943.750000000002</v>
      </c>
      <c r="AN32" s="19">
        <f t="shared" si="23"/>
        <v>11943.750000000002</v>
      </c>
      <c r="AO32" s="19">
        <f t="shared" si="23"/>
        <v>11943.750000000002</v>
      </c>
      <c r="AP32" s="19">
        <f t="shared" si="23"/>
        <v>11943.750000000002</v>
      </c>
      <c r="AQ32" s="19">
        <f t="shared" si="23"/>
        <v>11943.750000000002</v>
      </c>
      <c r="AR32" s="19">
        <f t="shared" si="23"/>
        <v>11943.750000000002</v>
      </c>
      <c r="AS32" s="19">
        <f t="shared" si="23"/>
        <v>11943.750000000002</v>
      </c>
      <c r="AT32" s="19">
        <f t="shared" si="23"/>
        <v>11943.750000000002</v>
      </c>
      <c r="AU32" s="19">
        <f t="shared" si="23"/>
        <v>11943.750000000002</v>
      </c>
      <c r="AV32" s="19">
        <f t="shared" si="23"/>
        <v>11943.750000000002</v>
      </c>
      <c r="AW32" s="19">
        <f>AV32*(1+C$59)</f>
        <v>12540.937500000002</v>
      </c>
      <c r="AX32" s="19">
        <f t="shared" si="16"/>
        <v>12540.937500000002</v>
      </c>
      <c r="AY32" s="19">
        <f t="shared" ref="AY32:BH54" si="24">+AX32</f>
        <v>12540.937500000002</v>
      </c>
      <c r="AZ32" s="19">
        <f t="shared" si="24"/>
        <v>12540.937500000002</v>
      </c>
      <c r="BA32" s="19">
        <f t="shared" si="24"/>
        <v>12540.937500000002</v>
      </c>
      <c r="BB32" s="19">
        <f t="shared" si="24"/>
        <v>12540.937500000002</v>
      </c>
      <c r="BC32" s="19">
        <f t="shared" si="24"/>
        <v>12540.937500000002</v>
      </c>
      <c r="BD32" s="19">
        <f t="shared" si="24"/>
        <v>12540.937500000002</v>
      </c>
      <c r="BE32" s="19">
        <f t="shared" si="24"/>
        <v>12540.937500000002</v>
      </c>
      <c r="BF32" s="19">
        <f t="shared" si="24"/>
        <v>12540.937500000002</v>
      </c>
      <c r="BG32" s="19">
        <f t="shared" si="24"/>
        <v>12540.937500000002</v>
      </c>
      <c r="BH32" s="19">
        <f t="shared" si="24"/>
        <v>12540.937500000002</v>
      </c>
      <c r="BI32" s="19">
        <f t="shared" si="18"/>
        <v>13167.984375000002</v>
      </c>
      <c r="BJ32" s="19">
        <f t="shared" si="19"/>
        <v>13167.984375000002</v>
      </c>
      <c r="BK32" s="19">
        <f t="shared" ref="BK32:BT32" si="25">+BJ32</f>
        <v>13167.984375000002</v>
      </c>
      <c r="BL32" s="19">
        <f t="shared" si="25"/>
        <v>13167.984375000002</v>
      </c>
      <c r="BM32" s="19">
        <f t="shared" si="25"/>
        <v>13167.984375000002</v>
      </c>
      <c r="BN32" s="19">
        <f t="shared" si="25"/>
        <v>13167.984375000002</v>
      </c>
      <c r="BO32" s="19">
        <f t="shared" si="25"/>
        <v>13167.984375000002</v>
      </c>
      <c r="BP32" s="19">
        <f t="shared" si="25"/>
        <v>13167.984375000002</v>
      </c>
      <c r="BQ32" s="19">
        <f t="shared" si="25"/>
        <v>13167.984375000002</v>
      </c>
      <c r="BR32" s="19">
        <f t="shared" si="25"/>
        <v>13167.984375000002</v>
      </c>
      <c r="BS32" s="19">
        <f t="shared" si="25"/>
        <v>13167.984375000002</v>
      </c>
      <c r="BT32" s="19">
        <f t="shared" si="25"/>
        <v>13167.984375000002</v>
      </c>
    </row>
    <row r="33" spans="2:72" x14ac:dyDescent="0.3">
      <c r="B33" s="19" t="s">
        <v>156</v>
      </c>
      <c r="C33" s="19">
        <v>130000</v>
      </c>
      <c r="M33" s="19">
        <v>0</v>
      </c>
      <c r="N33" s="19">
        <v>0</v>
      </c>
      <c r="O33" s="19">
        <v>0</v>
      </c>
      <c r="P33" s="19">
        <v>0</v>
      </c>
      <c r="Q33" s="19">
        <f>0</f>
        <v>0</v>
      </c>
      <c r="R33" s="19">
        <f>C33/12</f>
        <v>10833.333333333334</v>
      </c>
      <c r="S33" s="19">
        <f t="shared" si="21"/>
        <v>10833.333333333334</v>
      </c>
      <c r="T33" s="19">
        <f t="shared" si="21"/>
        <v>10833.333333333334</v>
      </c>
      <c r="U33" s="19">
        <f t="shared" si="21"/>
        <v>10833.333333333334</v>
      </c>
      <c r="V33" s="19">
        <f t="shared" si="21"/>
        <v>10833.333333333334</v>
      </c>
      <c r="W33" s="19">
        <f t="shared" si="21"/>
        <v>10833.333333333334</v>
      </c>
      <c r="X33" s="19">
        <f t="shared" si="21"/>
        <v>10833.333333333334</v>
      </c>
      <c r="Y33" s="19">
        <f>X33*(1+C$59)</f>
        <v>11375.000000000002</v>
      </c>
      <c r="Z33" s="19">
        <f>+Y33</f>
        <v>11375.000000000002</v>
      </c>
      <c r="AA33" s="19">
        <f t="shared" si="22"/>
        <v>11375.000000000002</v>
      </c>
      <c r="AB33" s="19">
        <f t="shared" si="22"/>
        <v>11375.000000000002</v>
      </c>
      <c r="AC33" s="19">
        <f t="shared" si="22"/>
        <v>11375.000000000002</v>
      </c>
      <c r="AD33" s="19">
        <f t="shared" si="22"/>
        <v>11375.000000000002</v>
      </c>
      <c r="AE33" s="19">
        <f t="shared" si="22"/>
        <v>11375.000000000002</v>
      </c>
      <c r="AF33" s="19">
        <f t="shared" si="22"/>
        <v>11375.000000000002</v>
      </c>
      <c r="AG33" s="19">
        <f t="shared" si="22"/>
        <v>11375.000000000002</v>
      </c>
      <c r="AH33" s="19">
        <f t="shared" si="22"/>
        <v>11375.000000000002</v>
      </c>
      <c r="AI33" s="19">
        <f t="shared" si="22"/>
        <v>11375.000000000002</v>
      </c>
      <c r="AJ33" s="19">
        <f t="shared" si="22"/>
        <v>11375.000000000002</v>
      </c>
      <c r="AK33" s="19">
        <f>AJ33*(1+C$59)</f>
        <v>11943.750000000002</v>
      </c>
      <c r="AL33" s="19">
        <f t="shared" si="14"/>
        <v>11943.750000000002</v>
      </c>
      <c r="AM33" s="19">
        <f t="shared" si="23"/>
        <v>11943.750000000002</v>
      </c>
      <c r="AN33" s="19">
        <f t="shared" si="23"/>
        <v>11943.750000000002</v>
      </c>
      <c r="AO33" s="19">
        <f t="shared" si="23"/>
        <v>11943.750000000002</v>
      </c>
      <c r="AP33" s="19">
        <f t="shared" si="23"/>
        <v>11943.750000000002</v>
      </c>
      <c r="AQ33" s="19">
        <f t="shared" si="23"/>
        <v>11943.750000000002</v>
      </c>
      <c r="AR33" s="19">
        <f t="shared" si="23"/>
        <v>11943.750000000002</v>
      </c>
      <c r="AS33" s="19">
        <f t="shared" si="23"/>
        <v>11943.750000000002</v>
      </c>
      <c r="AT33" s="19">
        <f t="shared" si="23"/>
        <v>11943.750000000002</v>
      </c>
      <c r="AU33" s="19">
        <f t="shared" si="23"/>
        <v>11943.750000000002</v>
      </c>
      <c r="AV33" s="19">
        <f t="shared" si="23"/>
        <v>11943.750000000002</v>
      </c>
      <c r="AW33" s="19">
        <f>AV33*(1+C$59)</f>
        <v>12540.937500000002</v>
      </c>
      <c r="AX33" s="19">
        <f t="shared" si="16"/>
        <v>12540.937500000002</v>
      </c>
      <c r="AY33" s="19">
        <f t="shared" si="24"/>
        <v>12540.937500000002</v>
      </c>
      <c r="AZ33" s="19">
        <f t="shared" si="24"/>
        <v>12540.937500000002</v>
      </c>
      <c r="BA33" s="19">
        <f t="shared" si="24"/>
        <v>12540.937500000002</v>
      </c>
      <c r="BB33" s="19">
        <f t="shared" si="24"/>
        <v>12540.937500000002</v>
      </c>
      <c r="BC33" s="19">
        <f t="shared" si="24"/>
        <v>12540.937500000002</v>
      </c>
      <c r="BD33" s="19">
        <f t="shared" si="24"/>
        <v>12540.937500000002</v>
      </c>
      <c r="BE33" s="19">
        <f t="shared" si="24"/>
        <v>12540.937500000002</v>
      </c>
      <c r="BF33" s="19">
        <f t="shared" si="24"/>
        <v>12540.937500000002</v>
      </c>
      <c r="BG33" s="19">
        <f t="shared" si="24"/>
        <v>12540.937500000002</v>
      </c>
      <c r="BH33" s="19">
        <f t="shared" si="24"/>
        <v>12540.937500000002</v>
      </c>
      <c r="BI33" s="19">
        <f t="shared" si="18"/>
        <v>13167.984375000002</v>
      </c>
      <c r="BJ33" s="19">
        <f t="shared" si="19"/>
        <v>13167.984375000002</v>
      </c>
      <c r="BK33" s="19">
        <f t="shared" ref="BK33:BT34" si="26">+BJ33</f>
        <v>13167.984375000002</v>
      </c>
      <c r="BL33" s="19">
        <f t="shared" si="26"/>
        <v>13167.984375000002</v>
      </c>
      <c r="BM33" s="19">
        <f t="shared" si="26"/>
        <v>13167.984375000002</v>
      </c>
      <c r="BN33" s="19">
        <f t="shared" si="26"/>
        <v>13167.984375000002</v>
      </c>
      <c r="BO33" s="19">
        <f t="shared" si="26"/>
        <v>13167.984375000002</v>
      </c>
      <c r="BP33" s="19">
        <f t="shared" si="26"/>
        <v>13167.984375000002</v>
      </c>
      <c r="BQ33" s="19">
        <f t="shared" si="26"/>
        <v>13167.984375000002</v>
      </c>
      <c r="BR33" s="19">
        <f t="shared" si="26"/>
        <v>13167.984375000002</v>
      </c>
      <c r="BS33" s="19">
        <f t="shared" si="26"/>
        <v>13167.984375000002</v>
      </c>
      <c r="BT33" s="19">
        <f t="shared" si="26"/>
        <v>13167.984375000002</v>
      </c>
    </row>
    <row r="34" spans="2:72" x14ac:dyDescent="0.3">
      <c r="B34" s="19" t="s">
        <v>156</v>
      </c>
      <c r="C34" s="19">
        <v>130000</v>
      </c>
      <c r="M34" s="19">
        <v>0</v>
      </c>
      <c r="N34" s="19">
        <v>0</v>
      </c>
      <c r="O34" s="19">
        <v>0</v>
      </c>
      <c r="P34" s="19">
        <v>0</v>
      </c>
      <c r="Q34" s="19">
        <v>0</v>
      </c>
      <c r="R34" s="19">
        <v>0</v>
      </c>
      <c r="S34" s="19">
        <v>0</v>
      </c>
      <c r="T34" s="19">
        <v>0</v>
      </c>
      <c r="U34" s="19">
        <v>0</v>
      </c>
      <c r="V34" s="19">
        <v>0</v>
      </c>
      <c r="W34" s="19">
        <v>0</v>
      </c>
      <c r="X34" s="19">
        <v>0</v>
      </c>
      <c r="Y34" s="19">
        <f>C34/12</f>
        <v>10833.333333333334</v>
      </c>
      <c r="Z34" s="19">
        <f>+Y34</f>
        <v>10833.333333333334</v>
      </c>
      <c r="AA34" s="19">
        <f t="shared" si="22"/>
        <v>10833.333333333334</v>
      </c>
      <c r="AB34" s="19">
        <f t="shared" si="22"/>
        <v>10833.333333333334</v>
      </c>
      <c r="AC34" s="19">
        <f t="shared" si="22"/>
        <v>10833.333333333334</v>
      </c>
      <c r="AD34" s="19">
        <f t="shared" si="22"/>
        <v>10833.333333333334</v>
      </c>
      <c r="AE34" s="19">
        <f t="shared" si="22"/>
        <v>10833.333333333334</v>
      </c>
      <c r="AF34" s="19">
        <f t="shared" si="22"/>
        <v>10833.333333333334</v>
      </c>
      <c r="AG34" s="19">
        <f t="shared" si="22"/>
        <v>10833.333333333334</v>
      </c>
      <c r="AH34" s="19">
        <f t="shared" si="22"/>
        <v>10833.333333333334</v>
      </c>
      <c r="AI34" s="19">
        <f t="shared" si="22"/>
        <v>10833.333333333334</v>
      </c>
      <c r="AJ34" s="19">
        <f t="shared" si="22"/>
        <v>10833.333333333334</v>
      </c>
      <c r="AK34" s="19">
        <f>AJ34*(1+C$59)</f>
        <v>11375.000000000002</v>
      </c>
      <c r="AL34" s="19">
        <f>+AK34</f>
        <v>11375.000000000002</v>
      </c>
      <c r="AM34" s="19">
        <f t="shared" si="23"/>
        <v>11375.000000000002</v>
      </c>
      <c r="AN34" s="19">
        <f t="shared" si="23"/>
        <v>11375.000000000002</v>
      </c>
      <c r="AO34" s="19">
        <f t="shared" si="23"/>
        <v>11375.000000000002</v>
      </c>
      <c r="AP34" s="19">
        <f t="shared" si="23"/>
        <v>11375.000000000002</v>
      </c>
      <c r="AQ34" s="19">
        <f t="shared" si="23"/>
        <v>11375.000000000002</v>
      </c>
      <c r="AR34" s="19">
        <f t="shared" si="23"/>
        <v>11375.000000000002</v>
      </c>
      <c r="AS34" s="19">
        <f t="shared" si="23"/>
        <v>11375.000000000002</v>
      </c>
      <c r="AT34" s="19">
        <f t="shared" si="23"/>
        <v>11375.000000000002</v>
      </c>
      <c r="AU34" s="19">
        <f t="shared" si="23"/>
        <v>11375.000000000002</v>
      </c>
      <c r="AV34" s="19">
        <f t="shared" si="23"/>
        <v>11375.000000000002</v>
      </c>
      <c r="AW34" s="19">
        <f>AV34*(1+C$59)</f>
        <v>11943.750000000002</v>
      </c>
      <c r="AX34" s="19">
        <f>+AW34</f>
        <v>11943.750000000002</v>
      </c>
      <c r="AY34" s="19">
        <f t="shared" si="24"/>
        <v>11943.750000000002</v>
      </c>
      <c r="AZ34" s="19">
        <f t="shared" si="24"/>
        <v>11943.750000000002</v>
      </c>
      <c r="BA34" s="19">
        <f t="shared" si="24"/>
        <v>11943.750000000002</v>
      </c>
      <c r="BB34" s="19">
        <f t="shared" si="24"/>
        <v>11943.750000000002</v>
      </c>
      <c r="BC34" s="19">
        <f t="shared" si="24"/>
        <v>11943.750000000002</v>
      </c>
      <c r="BD34" s="19">
        <f t="shared" si="24"/>
        <v>11943.750000000002</v>
      </c>
      <c r="BE34" s="19">
        <f t="shared" si="24"/>
        <v>11943.750000000002</v>
      </c>
      <c r="BF34" s="19">
        <f t="shared" si="24"/>
        <v>11943.750000000002</v>
      </c>
      <c r="BG34" s="19">
        <f t="shared" si="24"/>
        <v>11943.750000000002</v>
      </c>
      <c r="BH34" s="19">
        <f t="shared" si="24"/>
        <v>11943.750000000002</v>
      </c>
      <c r="BI34" s="19">
        <f t="shared" si="18"/>
        <v>12540.937500000002</v>
      </c>
      <c r="BJ34" s="19">
        <f>+BI34</f>
        <v>12540.937500000002</v>
      </c>
      <c r="BK34" s="19">
        <f t="shared" si="26"/>
        <v>12540.937500000002</v>
      </c>
      <c r="BL34" s="19">
        <f t="shared" si="26"/>
        <v>12540.937500000002</v>
      </c>
      <c r="BM34" s="19">
        <f t="shared" si="26"/>
        <v>12540.937500000002</v>
      </c>
      <c r="BN34" s="19">
        <f t="shared" si="26"/>
        <v>12540.937500000002</v>
      </c>
      <c r="BO34" s="19">
        <f t="shared" si="26"/>
        <v>12540.937500000002</v>
      </c>
      <c r="BP34" s="19">
        <f t="shared" si="26"/>
        <v>12540.937500000002</v>
      </c>
      <c r="BQ34" s="19">
        <f t="shared" si="26"/>
        <v>12540.937500000002</v>
      </c>
      <c r="BR34" s="19">
        <f t="shared" si="26"/>
        <v>12540.937500000002</v>
      </c>
      <c r="BS34" s="19">
        <f t="shared" si="26"/>
        <v>12540.937500000002</v>
      </c>
      <c r="BT34" s="19">
        <f t="shared" si="26"/>
        <v>12540.937500000002</v>
      </c>
    </row>
    <row r="35" spans="2:72" x14ac:dyDescent="0.3">
      <c r="B35" s="19" t="s">
        <v>156</v>
      </c>
      <c r="C35" s="19">
        <v>130000</v>
      </c>
      <c r="M35" s="19">
        <v>0</v>
      </c>
      <c r="N35" s="19">
        <v>0</v>
      </c>
      <c r="O35" s="19">
        <v>0</v>
      </c>
      <c r="P35" s="19">
        <v>0</v>
      </c>
      <c r="Q35" s="19">
        <v>0</v>
      </c>
      <c r="R35" s="19">
        <v>0</v>
      </c>
      <c r="S35" s="19">
        <v>0</v>
      </c>
      <c r="T35" s="19">
        <v>0</v>
      </c>
      <c r="U35" s="19">
        <v>0</v>
      </c>
      <c r="V35" s="19">
        <v>0</v>
      </c>
      <c r="W35" s="19">
        <v>0</v>
      </c>
      <c r="X35" s="19">
        <v>0</v>
      </c>
      <c r="Y35" s="19">
        <v>0</v>
      </c>
      <c r="Z35" s="19">
        <v>0</v>
      </c>
      <c r="AA35" s="19">
        <v>0</v>
      </c>
      <c r="AB35" s="19">
        <v>0</v>
      </c>
      <c r="AC35" s="19">
        <v>0</v>
      </c>
      <c r="AD35" s="19">
        <v>0</v>
      </c>
      <c r="AE35" s="19">
        <v>0</v>
      </c>
      <c r="AF35" s="19">
        <v>0</v>
      </c>
      <c r="AG35" s="19">
        <v>0</v>
      </c>
      <c r="AH35" s="19">
        <v>0</v>
      </c>
      <c r="AI35" s="19">
        <v>0</v>
      </c>
      <c r="AJ35" s="19">
        <v>0</v>
      </c>
      <c r="AK35" s="19">
        <v>0</v>
      </c>
      <c r="AL35" s="19">
        <v>0</v>
      </c>
      <c r="AM35" s="19">
        <f>C35/12</f>
        <v>10833.333333333334</v>
      </c>
      <c r="AN35" s="19">
        <f t="shared" ref="AN35:AV36" si="27">+AM35</f>
        <v>10833.333333333334</v>
      </c>
      <c r="AO35" s="19">
        <f t="shared" si="27"/>
        <v>10833.333333333334</v>
      </c>
      <c r="AP35" s="19">
        <f t="shared" si="27"/>
        <v>10833.333333333334</v>
      </c>
      <c r="AQ35" s="19">
        <f t="shared" si="27"/>
        <v>10833.333333333334</v>
      </c>
      <c r="AR35" s="19">
        <f t="shared" si="27"/>
        <v>10833.333333333334</v>
      </c>
      <c r="AS35" s="19">
        <f t="shared" si="27"/>
        <v>10833.333333333334</v>
      </c>
      <c r="AT35" s="19">
        <f t="shared" si="27"/>
        <v>10833.333333333334</v>
      </c>
      <c r="AU35" s="19">
        <f t="shared" si="27"/>
        <v>10833.333333333334</v>
      </c>
      <c r="AV35" s="19">
        <f t="shared" si="27"/>
        <v>10833.333333333334</v>
      </c>
      <c r="AW35" s="19">
        <f>AV35*(1+C$59)</f>
        <v>11375.000000000002</v>
      </c>
      <c r="AX35" s="19">
        <f t="shared" ref="AX35:BH37" si="28">+AW35</f>
        <v>11375.000000000002</v>
      </c>
      <c r="AY35" s="19">
        <f t="shared" si="28"/>
        <v>11375.000000000002</v>
      </c>
      <c r="AZ35" s="19">
        <f t="shared" si="28"/>
        <v>11375.000000000002</v>
      </c>
      <c r="BA35" s="19">
        <f t="shared" si="28"/>
        <v>11375.000000000002</v>
      </c>
      <c r="BB35" s="19">
        <f t="shared" si="28"/>
        <v>11375.000000000002</v>
      </c>
      <c r="BC35" s="19">
        <f t="shared" si="28"/>
        <v>11375.000000000002</v>
      </c>
      <c r="BD35" s="19">
        <f t="shared" si="28"/>
        <v>11375.000000000002</v>
      </c>
      <c r="BE35" s="19">
        <f t="shared" si="28"/>
        <v>11375.000000000002</v>
      </c>
      <c r="BF35" s="19">
        <f t="shared" si="28"/>
        <v>11375.000000000002</v>
      </c>
      <c r="BG35" s="19">
        <f t="shared" si="28"/>
        <v>11375.000000000002</v>
      </c>
      <c r="BH35" s="19">
        <f t="shared" si="28"/>
        <v>11375.000000000002</v>
      </c>
      <c r="BI35" s="19">
        <f t="shared" si="18"/>
        <v>11943.750000000002</v>
      </c>
      <c r="BJ35" s="19">
        <f t="shared" ref="BJ35:BT37" si="29">+BI35</f>
        <v>11943.750000000002</v>
      </c>
      <c r="BK35" s="19">
        <f t="shared" si="29"/>
        <v>11943.750000000002</v>
      </c>
      <c r="BL35" s="19">
        <f t="shared" si="29"/>
        <v>11943.750000000002</v>
      </c>
      <c r="BM35" s="19">
        <f t="shared" si="29"/>
        <v>11943.750000000002</v>
      </c>
      <c r="BN35" s="19">
        <f t="shared" si="29"/>
        <v>11943.750000000002</v>
      </c>
      <c r="BO35" s="19">
        <f t="shared" si="29"/>
        <v>11943.750000000002</v>
      </c>
      <c r="BP35" s="19">
        <f t="shared" si="29"/>
        <v>11943.750000000002</v>
      </c>
      <c r="BQ35" s="19">
        <f t="shared" si="29"/>
        <v>11943.750000000002</v>
      </c>
      <c r="BR35" s="19">
        <f t="shared" si="29"/>
        <v>11943.750000000002</v>
      </c>
      <c r="BS35" s="19">
        <f t="shared" si="29"/>
        <v>11943.750000000002</v>
      </c>
      <c r="BT35" s="19">
        <f t="shared" si="29"/>
        <v>11943.750000000002</v>
      </c>
    </row>
    <row r="36" spans="2:72" x14ac:dyDescent="0.3">
      <c r="B36" s="19" t="s">
        <v>156</v>
      </c>
      <c r="C36" s="19">
        <v>130000</v>
      </c>
      <c r="M36" s="19">
        <v>0</v>
      </c>
      <c r="N36" s="19">
        <v>0</v>
      </c>
      <c r="O36" s="19">
        <v>0</v>
      </c>
      <c r="P36" s="19">
        <v>0</v>
      </c>
      <c r="Q36" s="19">
        <v>0</v>
      </c>
      <c r="R36" s="19">
        <v>0</v>
      </c>
      <c r="S36" s="19">
        <v>0</v>
      </c>
      <c r="T36" s="19">
        <v>0</v>
      </c>
      <c r="U36" s="19">
        <v>0</v>
      </c>
      <c r="V36" s="19">
        <v>0</v>
      </c>
      <c r="W36" s="19">
        <v>0</v>
      </c>
      <c r="X36" s="19">
        <v>0</v>
      </c>
      <c r="Y36" s="19">
        <v>0</v>
      </c>
      <c r="Z36" s="19">
        <v>0</v>
      </c>
      <c r="AA36" s="19">
        <v>0</v>
      </c>
      <c r="AB36" s="19">
        <v>0</v>
      </c>
      <c r="AC36" s="19">
        <v>0</v>
      </c>
      <c r="AD36" s="19">
        <v>0</v>
      </c>
      <c r="AE36" s="19">
        <v>0</v>
      </c>
      <c r="AF36" s="19">
        <v>0</v>
      </c>
      <c r="AG36" s="19">
        <v>0</v>
      </c>
      <c r="AH36" s="19">
        <v>0</v>
      </c>
      <c r="AI36" s="19">
        <v>0</v>
      </c>
      <c r="AJ36" s="19">
        <v>0</v>
      </c>
      <c r="AK36" s="19">
        <v>0</v>
      </c>
      <c r="AL36" s="19">
        <v>0</v>
      </c>
      <c r="AM36" s="19">
        <v>0</v>
      </c>
      <c r="AN36" s="19">
        <v>0</v>
      </c>
      <c r="AO36" s="19">
        <v>0</v>
      </c>
      <c r="AP36" s="19">
        <v>0</v>
      </c>
      <c r="AQ36" s="19">
        <v>0</v>
      </c>
      <c r="AR36" s="19">
        <f>C36/12</f>
        <v>10833.333333333334</v>
      </c>
      <c r="AS36" s="19">
        <f t="shared" si="27"/>
        <v>10833.333333333334</v>
      </c>
      <c r="AT36" s="19">
        <f t="shared" si="27"/>
        <v>10833.333333333334</v>
      </c>
      <c r="AU36" s="19">
        <f t="shared" si="27"/>
        <v>10833.333333333334</v>
      </c>
      <c r="AV36" s="19">
        <f t="shared" si="27"/>
        <v>10833.333333333334</v>
      </c>
      <c r="AW36" s="19">
        <f>AV36*(1+C$59)</f>
        <v>11375.000000000002</v>
      </c>
      <c r="AX36" s="19">
        <f t="shared" si="28"/>
        <v>11375.000000000002</v>
      </c>
      <c r="AY36" s="19">
        <f t="shared" si="28"/>
        <v>11375.000000000002</v>
      </c>
      <c r="AZ36" s="19">
        <f t="shared" si="28"/>
        <v>11375.000000000002</v>
      </c>
      <c r="BA36" s="19">
        <f t="shared" si="28"/>
        <v>11375.000000000002</v>
      </c>
      <c r="BB36" s="19">
        <f t="shared" si="28"/>
        <v>11375.000000000002</v>
      </c>
      <c r="BC36" s="19">
        <f t="shared" si="28"/>
        <v>11375.000000000002</v>
      </c>
      <c r="BD36" s="19">
        <f t="shared" si="28"/>
        <v>11375.000000000002</v>
      </c>
      <c r="BE36" s="19">
        <f t="shared" si="28"/>
        <v>11375.000000000002</v>
      </c>
      <c r="BF36" s="19">
        <f t="shared" si="28"/>
        <v>11375.000000000002</v>
      </c>
      <c r="BG36" s="19">
        <f t="shared" si="28"/>
        <v>11375.000000000002</v>
      </c>
      <c r="BH36" s="19">
        <f t="shared" si="28"/>
        <v>11375.000000000002</v>
      </c>
      <c r="BI36" s="19">
        <f t="shared" si="18"/>
        <v>11943.750000000002</v>
      </c>
      <c r="BJ36" s="19">
        <f t="shared" si="29"/>
        <v>11943.750000000002</v>
      </c>
      <c r="BK36" s="19">
        <f t="shared" si="29"/>
        <v>11943.750000000002</v>
      </c>
      <c r="BL36" s="19">
        <f t="shared" si="29"/>
        <v>11943.750000000002</v>
      </c>
      <c r="BM36" s="19">
        <f t="shared" si="29"/>
        <v>11943.750000000002</v>
      </c>
      <c r="BN36" s="19">
        <f t="shared" si="29"/>
        <v>11943.750000000002</v>
      </c>
      <c r="BO36" s="19">
        <f t="shared" si="29"/>
        <v>11943.750000000002</v>
      </c>
      <c r="BP36" s="19">
        <f t="shared" si="29"/>
        <v>11943.750000000002</v>
      </c>
      <c r="BQ36" s="19">
        <f t="shared" si="29"/>
        <v>11943.750000000002</v>
      </c>
      <c r="BR36" s="19">
        <f t="shared" si="29"/>
        <v>11943.750000000002</v>
      </c>
      <c r="BS36" s="19">
        <f t="shared" si="29"/>
        <v>11943.750000000002</v>
      </c>
      <c r="BT36" s="19">
        <f t="shared" si="29"/>
        <v>11943.750000000002</v>
      </c>
    </row>
    <row r="37" spans="2:72" x14ac:dyDescent="0.3">
      <c r="B37" s="19" t="s">
        <v>156</v>
      </c>
      <c r="C37" s="19">
        <v>130000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c r="AO37" s="19">
        <v>0</v>
      </c>
      <c r="AP37" s="19">
        <v>0</v>
      </c>
      <c r="AQ37" s="19">
        <v>0</v>
      </c>
      <c r="AR37" s="19">
        <v>0</v>
      </c>
      <c r="AS37" s="19">
        <v>0</v>
      </c>
      <c r="AT37" s="19">
        <v>0</v>
      </c>
      <c r="AU37" s="19">
        <v>0</v>
      </c>
      <c r="AV37" s="19">
        <v>0</v>
      </c>
      <c r="AW37" s="19">
        <v>0</v>
      </c>
      <c r="AX37" s="19">
        <f t="shared" si="28"/>
        <v>0</v>
      </c>
      <c r="AY37" s="19">
        <f t="shared" si="28"/>
        <v>0</v>
      </c>
      <c r="AZ37" s="19">
        <f t="shared" si="28"/>
        <v>0</v>
      </c>
      <c r="BA37" s="19">
        <f t="shared" si="28"/>
        <v>0</v>
      </c>
      <c r="BB37" s="19">
        <f t="shared" si="28"/>
        <v>0</v>
      </c>
      <c r="BC37" s="19">
        <f t="shared" si="28"/>
        <v>0</v>
      </c>
      <c r="BD37" s="19">
        <f t="shared" si="28"/>
        <v>0</v>
      </c>
      <c r="BE37" s="19">
        <f t="shared" si="28"/>
        <v>0</v>
      </c>
      <c r="BF37" s="19">
        <f t="shared" si="28"/>
        <v>0</v>
      </c>
      <c r="BG37" s="19">
        <f>C37/12</f>
        <v>10833.333333333334</v>
      </c>
      <c r="BH37" s="19">
        <f t="shared" si="28"/>
        <v>10833.333333333334</v>
      </c>
      <c r="BI37" s="19">
        <f t="shared" si="18"/>
        <v>11375.000000000002</v>
      </c>
      <c r="BJ37" s="19">
        <f t="shared" si="29"/>
        <v>11375.000000000002</v>
      </c>
      <c r="BK37" s="19">
        <f t="shared" si="29"/>
        <v>11375.000000000002</v>
      </c>
      <c r="BL37" s="19">
        <f t="shared" si="29"/>
        <v>11375.000000000002</v>
      </c>
      <c r="BM37" s="19">
        <f t="shared" si="29"/>
        <v>11375.000000000002</v>
      </c>
      <c r="BN37" s="19">
        <f t="shared" si="29"/>
        <v>11375.000000000002</v>
      </c>
      <c r="BO37" s="19">
        <f t="shared" si="29"/>
        <v>11375.000000000002</v>
      </c>
      <c r="BP37" s="19">
        <f t="shared" si="29"/>
        <v>11375.000000000002</v>
      </c>
      <c r="BQ37" s="19">
        <f t="shared" si="29"/>
        <v>11375.000000000002</v>
      </c>
      <c r="BR37" s="19">
        <f t="shared" si="29"/>
        <v>11375.000000000002</v>
      </c>
      <c r="BS37" s="19">
        <f t="shared" si="29"/>
        <v>11375.000000000002</v>
      </c>
      <c r="BT37" s="19">
        <f t="shared" si="29"/>
        <v>11375.000000000002</v>
      </c>
    </row>
    <row r="38" spans="2:72" x14ac:dyDescent="0.3">
      <c r="B38" s="19" t="s">
        <v>157</v>
      </c>
      <c r="C38" s="19">
        <v>130000</v>
      </c>
      <c r="M38" s="19">
        <v>0</v>
      </c>
      <c r="N38" s="19">
        <v>0</v>
      </c>
      <c r="O38" s="19">
        <v>0</v>
      </c>
      <c r="P38" s="19">
        <f>C38/12</f>
        <v>10833.333333333334</v>
      </c>
      <c r="Q38" s="19">
        <f t="shared" si="21"/>
        <v>10833.333333333334</v>
      </c>
      <c r="R38" s="19">
        <f t="shared" si="21"/>
        <v>10833.333333333334</v>
      </c>
      <c r="S38" s="19">
        <f t="shared" si="21"/>
        <v>10833.333333333334</v>
      </c>
      <c r="T38" s="19">
        <f t="shared" si="21"/>
        <v>10833.333333333334</v>
      </c>
      <c r="U38" s="19">
        <f t="shared" si="21"/>
        <v>10833.333333333334</v>
      </c>
      <c r="V38" s="19">
        <f t="shared" si="21"/>
        <v>10833.333333333334</v>
      </c>
      <c r="W38" s="19">
        <f t="shared" si="21"/>
        <v>10833.333333333334</v>
      </c>
      <c r="X38" s="19">
        <f t="shared" si="21"/>
        <v>10833.333333333334</v>
      </c>
      <c r="Y38" s="19">
        <f>X38*(1+C$59)</f>
        <v>11375.000000000002</v>
      </c>
      <c r="Z38" s="19">
        <f>+Y38</f>
        <v>11375.000000000002</v>
      </c>
      <c r="AA38" s="19">
        <f t="shared" si="22"/>
        <v>11375.000000000002</v>
      </c>
      <c r="AB38" s="19">
        <f t="shared" si="22"/>
        <v>11375.000000000002</v>
      </c>
      <c r="AC38" s="19">
        <f t="shared" si="22"/>
        <v>11375.000000000002</v>
      </c>
      <c r="AD38" s="19">
        <f t="shared" si="22"/>
        <v>11375.000000000002</v>
      </c>
      <c r="AE38" s="19">
        <f t="shared" si="22"/>
        <v>11375.000000000002</v>
      </c>
      <c r="AF38" s="19">
        <f t="shared" si="22"/>
        <v>11375.000000000002</v>
      </c>
      <c r="AG38" s="19">
        <f t="shared" si="22"/>
        <v>11375.000000000002</v>
      </c>
      <c r="AH38" s="19">
        <f t="shared" si="22"/>
        <v>11375.000000000002</v>
      </c>
      <c r="AI38" s="19">
        <f t="shared" si="22"/>
        <v>11375.000000000002</v>
      </c>
      <c r="AJ38" s="19">
        <f t="shared" si="22"/>
        <v>11375.000000000002</v>
      </c>
      <c r="AK38" s="19">
        <f>AJ38*(1+$C$59)</f>
        <v>11943.750000000002</v>
      </c>
      <c r="AL38" s="19">
        <f t="shared" si="14"/>
        <v>11943.750000000002</v>
      </c>
      <c r="AM38" s="19">
        <f t="shared" si="23"/>
        <v>11943.750000000002</v>
      </c>
      <c r="AN38" s="19">
        <f t="shared" si="23"/>
        <v>11943.750000000002</v>
      </c>
      <c r="AO38" s="19">
        <f t="shared" si="23"/>
        <v>11943.750000000002</v>
      </c>
      <c r="AP38" s="19">
        <f t="shared" si="23"/>
        <v>11943.750000000002</v>
      </c>
      <c r="AQ38" s="19">
        <f t="shared" si="23"/>
        <v>11943.750000000002</v>
      </c>
      <c r="AR38" s="19">
        <f t="shared" si="23"/>
        <v>11943.750000000002</v>
      </c>
      <c r="AS38" s="19">
        <f t="shared" si="23"/>
        <v>11943.750000000002</v>
      </c>
      <c r="AT38" s="19">
        <f t="shared" si="23"/>
        <v>11943.750000000002</v>
      </c>
      <c r="AU38" s="19">
        <f t="shared" si="23"/>
        <v>11943.750000000002</v>
      </c>
      <c r="AV38" s="19">
        <f t="shared" si="23"/>
        <v>11943.750000000002</v>
      </c>
      <c r="AW38" s="19">
        <f>AV38*(1+C$59)</f>
        <v>12540.937500000002</v>
      </c>
      <c r="AX38" s="19">
        <f t="shared" si="16"/>
        <v>12540.937500000002</v>
      </c>
      <c r="AY38" s="19">
        <f t="shared" si="24"/>
        <v>12540.937500000002</v>
      </c>
      <c r="AZ38" s="19">
        <f t="shared" si="24"/>
        <v>12540.937500000002</v>
      </c>
      <c r="BA38" s="19">
        <f t="shared" si="24"/>
        <v>12540.937500000002</v>
      </c>
      <c r="BB38" s="19">
        <f t="shared" si="24"/>
        <v>12540.937500000002</v>
      </c>
      <c r="BC38" s="19">
        <f t="shared" si="24"/>
        <v>12540.937500000002</v>
      </c>
      <c r="BD38" s="19">
        <f t="shared" si="24"/>
        <v>12540.937500000002</v>
      </c>
      <c r="BE38" s="19">
        <f t="shared" si="24"/>
        <v>12540.937500000002</v>
      </c>
      <c r="BF38" s="19">
        <f t="shared" si="24"/>
        <v>12540.937500000002</v>
      </c>
      <c r="BG38" s="19">
        <f t="shared" si="24"/>
        <v>12540.937500000002</v>
      </c>
      <c r="BH38" s="19">
        <f t="shared" si="24"/>
        <v>12540.937500000002</v>
      </c>
      <c r="BI38" s="19">
        <f t="shared" si="18"/>
        <v>13167.984375000002</v>
      </c>
      <c r="BJ38" s="19">
        <f t="shared" si="19"/>
        <v>13167.984375000002</v>
      </c>
      <c r="BK38" s="19">
        <f t="shared" ref="BK38:BT45" si="30">+BJ38</f>
        <v>13167.984375000002</v>
      </c>
      <c r="BL38" s="19">
        <f t="shared" si="30"/>
        <v>13167.984375000002</v>
      </c>
      <c r="BM38" s="19">
        <f t="shared" si="30"/>
        <v>13167.984375000002</v>
      </c>
      <c r="BN38" s="19">
        <f t="shared" si="30"/>
        <v>13167.984375000002</v>
      </c>
      <c r="BO38" s="19">
        <f t="shared" si="30"/>
        <v>13167.984375000002</v>
      </c>
      <c r="BP38" s="19">
        <f t="shared" si="30"/>
        <v>13167.984375000002</v>
      </c>
      <c r="BQ38" s="19">
        <f t="shared" si="30"/>
        <v>13167.984375000002</v>
      </c>
      <c r="BR38" s="19">
        <f t="shared" si="30"/>
        <v>13167.984375000002</v>
      </c>
      <c r="BS38" s="19">
        <f t="shared" si="30"/>
        <v>13167.984375000002</v>
      </c>
      <c r="BT38" s="19">
        <f t="shared" si="30"/>
        <v>13167.984375000002</v>
      </c>
    </row>
    <row r="39" spans="2:72" x14ac:dyDescent="0.3">
      <c r="B39" s="19" t="s">
        <v>158</v>
      </c>
      <c r="C39" s="19">
        <v>133000</v>
      </c>
      <c r="M39" s="19">
        <v>0</v>
      </c>
      <c r="N39" s="19">
        <v>0</v>
      </c>
      <c r="O39" s="19">
        <v>0</v>
      </c>
      <c r="P39" s="19">
        <v>0</v>
      </c>
      <c r="Q39" s="19">
        <v>0</v>
      </c>
      <c r="R39" s="19">
        <v>0</v>
      </c>
      <c r="S39" s="19">
        <v>0</v>
      </c>
      <c r="T39" s="19">
        <v>0</v>
      </c>
      <c r="U39" s="19">
        <v>0</v>
      </c>
      <c r="V39" s="19">
        <v>0</v>
      </c>
      <c r="W39" s="19">
        <v>0</v>
      </c>
      <c r="X39" s="19">
        <v>0</v>
      </c>
      <c r="Y39" s="19">
        <v>0</v>
      </c>
      <c r="Z39" s="19">
        <v>0</v>
      </c>
      <c r="AA39" s="19">
        <v>0</v>
      </c>
      <c r="AB39" s="19">
        <v>0</v>
      </c>
      <c r="AC39" s="19">
        <v>0</v>
      </c>
      <c r="AD39" s="19">
        <f>C39/12</f>
        <v>11083.333333333334</v>
      </c>
      <c r="AE39" s="19">
        <f t="shared" si="22"/>
        <v>11083.333333333334</v>
      </c>
      <c r="AF39" s="19">
        <f t="shared" si="22"/>
        <v>11083.333333333334</v>
      </c>
      <c r="AG39" s="19">
        <f t="shared" si="22"/>
        <v>11083.333333333334</v>
      </c>
      <c r="AH39" s="19">
        <f t="shared" si="22"/>
        <v>11083.333333333334</v>
      </c>
      <c r="AI39" s="19">
        <f t="shared" si="22"/>
        <v>11083.333333333334</v>
      </c>
      <c r="AJ39" s="19">
        <f t="shared" si="22"/>
        <v>11083.333333333334</v>
      </c>
      <c r="AK39" s="19">
        <f>AJ39*(1+C$59)</f>
        <v>11637.500000000002</v>
      </c>
      <c r="AL39" s="19">
        <f>+AK39</f>
        <v>11637.500000000002</v>
      </c>
      <c r="AM39" s="19">
        <f t="shared" si="23"/>
        <v>11637.500000000002</v>
      </c>
      <c r="AN39" s="19">
        <f t="shared" si="23"/>
        <v>11637.500000000002</v>
      </c>
      <c r="AO39" s="19">
        <f t="shared" si="23"/>
        <v>11637.500000000002</v>
      </c>
      <c r="AP39" s="19">
        <f t="shared" si="23"/>
        <v>11637.500000000002</v>
      </c>
      <c r="AQ39" s="19">
        <f t="shared" si="23"/>
        <v>11637.500000000002</v>
      </c>
      <c r="AR39" s="19">
        <f t="shared" si="23"/>
        <v>11637.500000000002</v>
      </c>
      <c r="AS39" s="19">
        <f t="shared" si="23"/>
        <v>11637.500000000002</v>
      </c>
      <c r="AT39" s="19">
        <f t="shared" si="23"/>
        <v>11637.500000000002</v>
      </c>
      <c r="AU39" s="19">
        <f t="shared" si="23"/>
        <v>11637.500000000002</v>
      </c>
      <c r="AV39" s="19">
        <f t="shared" si="23"/>
        <v>11637.500000000002</v>
      </c>
      <c r="AW39" s="19">
        <f>AV39*(1+$C$59)</f>
        <v>12219.375000000002</v>
      </c>
      <c r="AX39" s="19">
        <f t="shared" si="16"/>
        <v>12219.375000000002</v>
      </c>
      <c r="AY39" s="19">
        <f t="shared" si="24"/>
        <v>12219.375000000002</v>
      </c>
      <c r="AZ39" s="19">
        <f t="shared" si="24"/>
        <v>12219.375000000002</v>
      </c>
      <c r="BA39" s="19">
        <f t="shared" si="24"/>
        <v>12219.375000000002</v>
      </c>
      <c r="BB39" s="19">
        <f t="shared" si="24"/>
        <v>12219.375000000002</v>
      </c>
      <c r="BC39" s="19">
        <f t="shared" si="24"/>
        <v>12219.375000000002</v>
      </c>
      <c r="BD39" s="19">
        <f t="shared" si="24"/>
        <v>12219.375000000002</v>
      </c>
      <c r="BE39" s="19">
        <f t="shared" si="24"/>
        <v>12219.375000000002</v>
      </c>
      <c r="BF39" s="19">
        <f t="shared" si="24"/>
        <v>12219.375000000002</v>
      </c>
      <c r="BG39" s="19">
        <f t="shared" si="24"/>
        <v>12219.375000000002</v>
      </c>
      <c r="BH39" s="19">
        <f t="shared" si="24"/>
        <v>12219.375000000002</v>
      </c>
      <c r="BI39" s="19">
        <f t="shared" ref="BI39:BI45" si="31">BH39*(1+$C$59)</f>
        <v>12830.343750000002</v>
      </c>
      <c r="BJ39" s="19">
        <f t="shared" si="19"/>
        <v>12830.343750000002</v>
      </c>
      <c r="BK39" s="19">
        <f t="shared" si="30"/>
        <v>12830.343750000002</v>
      </c>
      <c r="BL39" s="19">
        <f t="shared" si="30"/>
        <v>12830.343750000002</v>
      </c>
      <c r="BM39" s="19">
        <f t="shared" si="30"/>
        <v>12830.343750000002</v>
      </c>
      <c r="BN39" s="19">
        <f t="shared" si="30"/>
        <v>12830.343750000002</v>
      </c>
      <c r="BO39" s="19">
        <f t="shared" si="30"/>
        <v>12830.343750000002</v>
      </c>
      <c r="BP39" s="19">
        <f t="shared" si="30"/>
        <v>12830.343750000002</v>
      </c>
      <c r="BQ39" s="19">
        <f t="shared" si="30"/>
        <v>12830.343750000002</v>
      </c>
      <c r="BR39" s="19">
        <f t="shared" si="30"/>
        <v>12830.343750000002</v>
      </c>
      <c r="BS39" s="19">
        <f t="shared" si="30"/>
        <v>12830.343750000002</v>
      </c>
      <c r="BT39" s="19">
        <f t="shared" si="30"/>
        <v>12830.343750000002</v>
      </c>
    </row>
    <row r="40" spans="2:72" x14ac:dyDescent="0.3">
      <c r="B40" s="19" t="s">
        <v>158</v>
      </c>
      <c r="C40" s="19">
        <v>133000</v>
      </c>
      <c r="M40" s="19">
        <v>0</v>
      </c>
      <c r="N40" s="19">
        <v>0</v>
      </c>
      <c r="O40" s="19">
        <v>0</v>
      </c>
      <c r="P40" s="19">
        <v>0</v>
      </c>
      <c r="Q40" s="19">
        <v>0</v>
      </c>
      <c r="R40" s="19">
        <v>0</v>
      </c>
      <c r="S40" s="19">
        <v>0</v>
      </c>
      <c r="T40" s="19">
        <v>0</v>
      </c>
      <c r="U40" s="19">
        <v>0</v>
      </c>
      <c r="V40" s="19">
        <v>0</v>
      </c>
      <c r="W40" s="19">
        <v>0</v>
      </c>
      <c r="X40" s="19">
        <v>0</v>
      </c>
      <c r="Y40" s="19">
        <v>0</v>
      </c>
      <c r="Z40" s="19">
        <v>0</v>
      </c>
      <c r="AA40" s="19">
        <v>0</v>
      </c>
      <c r="AB40" s="19">
        <v>0</v>
      </c>
      <c r="AC40" s="19">
        <v>0</v>
      </c>
      <c r="AD40" s="19">
        <v>0</v>
      </c>
      <c r="AE40" s="19">
        <v>0</v>
      </c>
      <c r="AF40" s="19">
        <v>0</v>
      </c>
      <c r="AG40" s="19">
        <v>0</v>
      </c>
      <c r="AH40" s="19">
        <v>0</v>
      </c>
      <c r="AI40" s="19">
        <v>0</v>
      </c>
      <c r="AJ40" s="19">
        <v>0</v>
      </c>
      <c r="AK40" s="19">
        <v>0</v>
      </c>
      <c r="AL40" s="19">
        <v>0</v>
      </c>
      <c r="AM40" s="19">
        <v>0</v>
      </c>
      <c r="AN40" s="19">
        <v>0</v>
      </c>
      <c r="AO40" s="19">
        <v>0</v>
      </c>
      <c r="AP40" s="19">
        <v>0</v>
      </c>
      <c r="AQ40" s="19">
        <v>0</v>
      </c>
      <c r="AR40" s="19">
        <v>0</v>
      </c>
      <c r="AS40" s="19">
        <v>0</v>
      </c>
      <c r="AT40" s="19">
        <v>0</v>
      </c>
      <c r="AU40" s="19">
        <v>0</v>
      </c>
      <c r="AV40" s="19">
        <v>0</v>
      </c>
      <c r="AW40" s="19">
        <v>0</v>
      </c>
      <c r="AX40" s="19">
        <f t="shared" ref="AX40:AX45" si="32">+AW40</f>
        <v>0</v>
      </c>
      <c r="AY40" s="19">
        <f t="shared" si="24"/>
        <v>0</v>
      </c>
      <c r="AZ40" s="19">
        <f t="shared" si="24"/>
        <v>0</v>
      </c>
      <c r="BA40" s="19">
        <f t="shared" si="24"/>
        <v>0</v>
      </c>
      <c r="BB40" s="19">
        <f t="shared" si="24"/>
        <v>0</v>
      </c>
      <c r="BC40" s="19">
        <f t="shared" si="24"/>
        <v>0</v>
      </c>
      <c r="BD40" s="19">
        <f t="shared" si="24"/>
        <v>0</v>
      </c>
      <c r="BE40" s="19">
        <f>C40/12</f>
        <v>11083.333333333334</v>
      </c>
      <c r="BF40" s="19">
        <f t="shared" si="24"/>
        <v>11083.333333333334</v>
      </c>
      <c r="BG40" s="19">
        <f t="shared" si="24"/>
        <v>11083.333333333334</v>
      </c>
      <c r="BH40" s="19">
        <f t="shared" si="24"/>
        <v>11083.333333333334</v>
      </c>
      <c r="BI40" s="19">
        <f t="shared" si="31"/>
        <v>11637.500000000002</v>
      </c>
      <c r="BJ40" s="19">
        <f t="shared" si="19"/>
        <v>11637.500000000002</v>
      </c>
      <c r="BK40" s="19">
        <f t="shared" si="30"/>
        <v>11637.500000000002</v>
      </c>
      <c r="BL40" s="19">
        <f t="shared" si="30"/>
        <v>11637.500000000002</v>
      </c>
      <c r="BM40" s="19">
        <f t="shared" si="30"/>
        <v>11637.500000000002</v>
      </c>
      <c r="BN40" s="19">
        <f t="shared" si="30"/>
        <v>11637.500000000002</v>
      </c>
      <c r="BO40" s="19">
        <f t="shared" si="30"/>
        <v>11637.500000000002</v>
      </c>
      <c r="BP40" s="19">
        <f t="shared" si="30"/>
        <v>11637.500000000002</v>
      </c>
      <c r="BQ40" s="19">
        <f t="shared" si="30"/>
        <v>11637.500000000002</v>
      </c>
      <c r="BR40" s="19">
        <f t="shared" si="30"/>
        <v>11637.500000000002</v>
      </c>
      <c r="BS40" s="19">
        <f t="shared" si="30"/>
        <v>11637.500000000002</v>
      </c>
      <c r="BT40" s="19">
        <f t="shared" si="30"/>
        <v>11637.500000000002</v>
      </c>
    </row>
    <row r="41" spans="2:72" x14ac:dyDescent="0.3">
      <c r="B41" s="19" t="s">
        <v>159</v>
      </c>
      <c r="C41" s="19">
        <v>145000</v>
      </c>
      <c r="M41" s="19">
        <v>0</v>
      </c>
      <c r="N41" s="19">
        <v>0</v>
      </c>
      <c r="O41" s="19">
        <v>0</v>
      </c>
      <c r="P41" s="19">
        <v>0</v>
      </c>
      <c r="Q41" s="19">
        <v>0</v>
      </c>
      <c r="R41" s="19">
        <v>0</v>
      </c>
      <c r="S41" s="19">
        <v>0</v>
      </c>
      <c r="T41" s="19">
        <v>0</v>
      </c>
      <c r="U41" s="19">
        <v>0</v>
      </c>
      <c r="V41" s="19">
        <v>0</v>
      </c>
      <c r="W41" s="19">
        <v>0</v>
      </c>
      <c r="X41" s="19">
        <v>0</v>
      </c>
      <c r="Y41" s="19">
        <v>0</v>
      </c>
      <c r="Z41" s="19">
        <f>+Y41</f>
        <v>0</v>
      </c>
      <c r="AA41" s="19">
        <f>C41/12</f>
        <v>12083.333333333334</v>
      </c>
      <c r="AB41" s="19">
        <f t="shared" ref="AB41:AJ41" si="33">+AA41</f>
        <v>12083.333333333334</v>
      </c>
      <c r="AC41" s="19">
        <f t="shared" si="33"/>
        <v>12083.333333333334</v>
      </c>
      <c r="AD41" s="19">
        <f t="shared" si="33"/>
        <v>12083.333333333334</v>
      </c>
      <c r="AE41" s="19">
        <f t="shared" si="33"/>
        <v>12083.333333333334</v>
      </c>
      <c r="AF41" s="19">
        <f t="shared" si="33"/>
        <v>12083.333333333334</v>
      </c>
      <c r="AG41" s="19">
        <f t="shared" si="33"/>
        <v>12083.333333333334</v>
      </c>
      <c r="AH41" s="19">
        <f t="shared" si="33"/>
        <v>12083.333333333334</v>
      </c>
      <c r="AI41" s="19">
        <f t="shared" si="33"/>
        <v>12083.333333333334</v>
      </c>
      <c r="AJ41" s="19">
        <f t="shared" si="33"/>
        <v>12083.333333333334</v>
      </c>
      <c r="AK41" s="19">
        <f>AJ41*(1+$C$59)</f>
        <v>12687.500000000002</v>
      </c>
      <c r="AL41" s="19">
        <f>+AK41</f>
        <v>12687.500000000002</v>
      </c>
      <c r="AM41" s="19">
        <f t="shared" ref="AM41:AV41" si="34">+AL41</f>
        <v>12687.500000000002</v>
      </c>
      <c r="AN41" s="19">
        <f t="shared" si="34"/>
        <v>12687.500000000002</v>
      </c>
      <c r="AO41" s="19">
        <f t="shared" si="34"/>
        <v>12687.500000000002</v>
      </c>
      <c r="AP41" s="19">
        <f t="shared" si="34"/>
        <v>12687.500000000002</v>
      </c>
      <c r="AQ41" s="19">
        <f t="shared" si="34"/>
        <v>12687.500000000002</v>
      </c>
      <c r="AR41" s="19">
        <f t="shared" si="34"/>
        <v>12687.500000000002</v>
      </c>
      <c r="AS41" s="19">
        <f t="shared" si="34"/>
        <v>12687.500000000002</v>
      </c>
      <c r="AT41" s="19">
        <f t="shared" si="34"/>
        <v>12687.500000000002</v>
      </c>
      <c r="AU41" s="19">
        <f t="shared" si="34"/>
        <v>12687.500000000002</v>
      </c>
      <c r="AV41" s="19">
        <f t="shared" si="34"/>
        <v>12687.500000000002</v>
      </c>
      <c r="AW41" s="19">
        <f>AV41*(1+C59)</f>
        <v>13321.875000000002</v>
      </c>
      <c r="AX41" s="19">
        <f t="shared" si="32"/>
        <v>13321.875000000002</v>
      </c>
      <c r="AY41" s="19">
        <f t="shared" si="24"/>
        <v>13321.875000000002</v>
      </c>
      <c r="AZ41" s="19">
        <f t="shared" si="24"/>
        <v>13321.875000000002</v>
      </c>
      <c r="BA41" s="19">
        <f t="shared" si="24"/>
        <v>13321.875000000002</v>
      </c>
      <c r="BB41" s="19">
        <f t="shared" si="24"/>
        <v>13321.875000000002</v>
      </c>
      <c r="BC41" s="19">
        <f t="shared" si="24"/>
        <v>13321.875000000002</v>
      </c>
      <c r="BD41" s="19">
        <f t="shared" si="24"/>
        <v>13321.875000000002</v>
      </c>
      <c r="BE41" s="19">
        <f t="shared" si="24"/>
        <v>13321.875000000002</v>
      </c>
      <c r="BF41" s="19">
        <f t="shared" si="24"/>
        <v>13321.875000000002</v>
      </c>
      <c r="BG41" s="19">
        <f t="shared" si="24"/>
        <v>13321.875000000002</v>
      </c>
      <c r="BH41" s="19">
        <f t="shared" si="24"/>
        <v>13321.875000000002</v>
      </c>
      <c r="BI41" s="19">
        <f t="shared" si="31"/>
        <v>13987.968750000002</v>
      </c>
      <c r="BJ41" s="19">
        <f t="shared" si="19"/>
        <v>13987.968750000002</v>
      </c>
      <c r="BK41" s="19">
        <f t="shared" si="30"/>
        <v>13987.968750000002</v>
      </c>
      <c r="BL41" s="19">
        <f t="shared" si="30"/>
        <v>13987.968750000002</v>
      </c>
      <c r="BM41" s="19">
        <f t="shared" si="30"/>
        <v>13987.968750000002</v>
      </c>
      <c r="BN41" s="19">
        <f t="shared" si="30"/>
        <v>13987.968750000002</v>
      </c>
      <c r="BO41" s="19">
        <f t="shared" si="30"/>
        <v>13987.968750000002</v>
      </c>
      <c r="BP41" s="19">
        <f t="shared" si="30"/>
        <v>13987.968750000002</v>
      </c>
      <c r="BQ41" s="19">
        <f t="shared" si="30"/>
        <v>13987.968750000002</v>
      </c>
      <c r="BR41" s="19">
        <f t="shared" si="30"/>
        <v>13987.968750000002</v>
      </c>
      <c r="BS41" s="19">
        <f t="shared" si="30"/>
        <v>13987.968750000002</v>
      </c>
      <c r="BT41" s="19">
        <f t="shared" si="30"/>
        <v>13987.968750000002</v>
      </c>
    </row>
    <row r="42" spans="2:72" x14ac:dyDescent="0.3">
      <c r="B42" s="19" t="s">
        <v>159</v>
      </c>
      <c r="C42" s="19">
        <v>145000</v>
      </c>
      <c r="M42" s="19">
        <v>0</v>
      </c>
      <c r="N42" s="19">
        <v>0</v>
      </c>
      <c r="O42" s="19">
        <v>0</v>
      </c>
      <c r="P42" s="19">
        <v>0</v>
      </c>
      <c r="Q42" s="19">
        <v>0</v>
      </c>
      <c r="R42" s="19">
        <v>0</v>
      </c>
      <c r="S42" s="19">
        <v>0</v>
      </c>
      <c r="T42" s="19">
        <v>0</v>
      </c>
      <c r="U42" s="19">
        <v>0</v>
      </c>
      <c r="V42" s="19">
        <v>0</v>
      </c>
      <c r="W42" s="19">
        <v>0</v>
      </c>
      <c r="X42" s="19">
        <v>0</v>
      </c>
      <c r="Y42" s="19">
        <v>0</v>
      </c>
      <c r="Z42" s="19">
        <v>0</v>
      </c>
      <c r="AA42" s="19">
        <v>0</v>
      </c>
      <c r="AB42" s="19">
        <v>0</v>
      </c>
      <c r="AC42" s="19">
        <v>0</v>
      </c>
      <c r="AD42" s="19">
        <v>0</v>
      </c>
      <c r="AE42" s="19">
        <v>0</v>
      </c>
      <c r="AF42" s="19">
        <v>0</v>
      </c>
      <c r="AG42" s="19">
        <v>0</v>
      </c>
      <c r="AH42" s="19">
        <v>0</v>
      </c>
      <c r="AI42" s="19">
        <v>0</v>
      </c>
      <c r="AJ42" s="19">
        <v>0</v>
      </c>
      <c r="AK42" s="19">
        <v>0</v>
      </c>
      <c r="AL42" s="19">
        <v>0</v>
      </c>
      <c r="AM42" s="19">
        <v>0</v>
      </c>
      <c r="AN42" s="19">
        <v>0</v>
      </c>
      <c r="AO42" s="19">
        <v>0</v>
      </c>
      <c r="AP42" s="19">
        <v>0</v>
      </c>
      <c r="AQ42" s="19">
        <v>0</v>
      </c>
      <c r="AR42" s="19">
        <v>0</v>
      </c>
      <c r="AS42" s="19">
        <v>0</v>
      </c>
      <c r="AT42" s="19">
        <v>0</v>
      </c>
      <c r="AU42" s="19">
        <v>0</v>
      </c>
      <c r="AV42" s="19">
        <v>0</v>
      </c>
      <c r="AW42" s="19">
        <v>0</v>
      </c>
      <c r="AX42" s="19">
        <f t="shared" si="32"/>
        <v>0</v>
      </c>
      <c r="AY42" s="19">
        <f t="shared" si="24"/>
        <v>0</v>
      </c>
      <c r="AZ42" s="19">
        <f t="shared" si="24"/>
        <v>0</v>
      </c>
      <c r="BA42" s="19">
        <f t="shared" si="24"/>
        <v>0</v>
      </c>
      <c r="BB42" s="19">
        <f t="shared" si="24"/>
        <v>0</v>
      </c>
      <c r="BC42" s="19">
        <f>C42/12</f>
        <v>12083.333333333334</v>
      </c>
      <c r="BD42" s="19">
        <f t="shared" si="24"/>
        <v>12083.333333333334</v>
      </c>
      <c r="BE42" s="19">
        <f t="shared" si="24"/>
        <v>12083.333333333334</v>
      </c>
      <c r="BF42" s="19">
        <f t="shared" si="24"/>
        <v>12083.333333333334</v>
      </c>
      <c r="BG42" s="19">
        <f t="shared" si="24"/>
        <v>12083.333333333334</v>
      </c>
      <c r="BH42" s="19">
        <f t="shared" si="24"/>
        <v>12083.333333333334</v>
      </c>
      <c r="BI42" s="19">
        <f t="shared" si="31"/>
        <v>12687.500000000002</v>
      </c>
      <c r="BJ42" s="19">
        <f t="shared" si="19"/>
        <v>12687.500000000002</v>
      </c>
      <c r="BK42" s="19">
        <f t="shared" si="30"/>
        <v>12687.500000000002</v>
      </c>
      <c r="BL42" s="19">
        <f t="shared" si="30"/>
        <v>12687.500000000002</v>
      </c>
      <c r="BM42" s="19">
        <f t="shared" si="30"/>
        <v>12687.500000000002</v>
      </c>
      <c r="BN42" s="19">
        <f t="shared" si="30"/>
        <v>12687.500000000002</v>
      </c>
      <c r="BO42" s="19">
        <f t="shared" si="30"/>
        <v>12687.500000000002</v>
      </c>
      <c r="BP42" s="19">
        <f t="shared" si="30"/>
        <v>12687.500000000002</v>
      </c>
      <c r="BQ42" s="19">
        <f t="shared" si="30"/>
        <v>12687.500000000002</v>
      </c>
      <c r="BR42" s="19">
        <f t="shared" si="30"/>
        <v>12687.500000000002</v>
      </c>
      <c r="BS42" s="19">
        <f t="shared" si="30"/>
        <v>12687.500000000002</v>
      </c>
      <c r="BT42" s="19">
        <f t="shared" si="30"/>
        <v>12687.500000000002</v>
      </c>
    </row>
    <row r="43" spans="2:72" x14ac:dyDescent="0.3">
      <c r="B43" s="19" t="s">
        <v>160</v>
      </c>
      <c r="C43" s="19">
        <v>90000</v>
      </c>
      <c r="M43" s="19">
        <v>0</v>
      </c>
      <c r="N43" s="19">
        <v>0</v>
      </c>
      <c r="O43" s="19">
        <v>0</v>
      </c>
      <c r="P43" s="19">
        <v>0</v>
      </c>
      <c r="Q43" s="19">
        <v>0</v>
      </c>
      <c r="R43" s="19">
        <v>0</v>
      </c>
      <c r="S43" s="19">
        <v>0</v>
      </c>
      <c r="T43" s="19">
        <v>0</v>
      </c>
      <c r="U43" s="19">
        <v>0</v>
      </c>
      <c r="V43" s="19">
        <v>0</v>
      </c>
      <c r="W43" s="19">
        <v>0</v>
      </c>
      <c r="X43" s="19">
        <v>0</v>
      </c>
      <c r="Y43" s="19">
        <v>0</v>
      </c>
      <c r="Z43" s="19">
        <v>0</v>
      </c>
      <c r="AA43" s="19">
        <v>0</v>
      </c>
      <c r="AB43" s="19">
        <v>0</v>
      </c>
      <c r="AC43" s="19">
        <v>0</v>
      </c>
      <c r="AD43" s="19">
        <v>0</v>
      </c>
      <c r="AE43" s="19">
        <v>0</v>
      </c>
      <c r="AF43" s="19">
        <v>0</v>
      </c>
      <c r="AG43" s="19">
        <v>0</v>
      </c>
      <c r="AH43" s="19">
        <v>0</v>
      </c>
      <c r="AI43" s="19">
        <v>0</v>
      </c>
      <c r="AJ43" s="19">
        <v>0</v>
      </c>
      <c r="AK43" s="19">
        <v>0</v>
      </c>
      <c r="AL43" s="19">
        <f>C43/12</f>
        <v>7500</v>
      </c>
      <c r="AM43" s="19">
        <f t="shared" ref="AM43:AV43" si="35">+AL43</f>
        <v>7500</v>
      </c>
      <c r="AN43" s="19">
        <f t="shared" si="35"/>
        <v>7500</v>
      </c>
      <c r="AO43" s="19">
        <f t="shared" si="35"/>
        <v>7500</v>
      </c>
      <c r="AP43" s="19">
        <f t="shared" si="35"/>
        <v>7500</v>
      </c>
      <c r="AQ43" s="19">
        <f t="shared" si="35"/>
        <v>7500</v>
      </c>
      <c r="AR43" s="19">
        <f t="shared" si="35"/>
        <v>7500</v>
      </c>
      <c r="AS43" s="19">
        <f t="shared" si="35"/>
        <v>7500</v>
      </c>
      <c r="AT43" s="19">
        <f t="shared" si="35"/>
        <v>7500</v>
      </c>
      <c r="AU43" s="19">
        <f t="shared" si="35"/>
        <v>7500</v>
      </c>
      <c r="AV43" s="19">
        <f t="shared" si="35"/>
        <v>7500</v>
      </c>
      <c r="AW43" s="19">
        <f>AV43*(1+$C$59)</f>
        <v>7875</v>
      </c>
      <c r="AX43" s="19">
        <f t="shared" si="32"/>
        <v>7875</v>
      </c>
      <c r="AY43" s="19">
        <f t="shared" si="24"/>
        <v>7875</v>
      </c>
      <c r="AZ43" s="19">
        <f t="shared" si="24"/>
        <v>7875</v>
      </c>
      <c r="BA43" s="19">
        <f t="shared" si="24"/>
        <v>7875</v>
      </c>
      <c r="BB43" s="19">
        <f t="shared" si="24"/>
        <v>7875</v>
      </c>
      <c r="BC43" s="19">
        <f t="shared" si="24"/>
        <v>7875</v>
      </c>
      <c r="BD43" s="19">
        <f t="shared" si="24"/>
        <v>7875</v>
      </c>
      <c r="BE43" s="19">
        <f t="shared" si="24"/>
        <v>7875</v>
      </c>
      <c r="BF43" s="19">
        <f t="shared" si="24"/>
        <v>7875</v>
      </c>
      <c r="BG43" s="19">
        <f t="shared" si="24"/>
        <v>7875</v>
      </c>
      <c r="BH43" s="19">
        <f t="shared" si="24"/>
        <v>7875</v>
      </c>
      <c r="BI43" s="19">
        <f t="shared" si="31"/>
        <v>8268.75</v>
      </c>
      <c r="BJ43" s="19">
        <f t="shared" si="19"/>
        <v>8268.75</v>
      </c>
      <c r="BK43" s="19">
        <f t="shared" si="30"/>
        <v>8268.75</v>
      </c>
      <c r="BL43" s="19">
        <f t="shared" si="30"/>
        <v>8268.75</v>
      </c>
      <c r="BM43" s="19">
        <f t="shared" si="30"/>
        <v>8268.75</v>
      </c>
      <c r="BN43" s="19">
        <f t="shared" si="30"/>
        <v>8268.75</v>
      </c>
      <c r="BO43" s="19">
        <f t="shared" si="30"/>
        <v>8268.75</v>
      </c>
      <c r="BP43" s="19">
        <f t="shared" si="30"/>
        <v>8268.75</v>
      </c>
      <c r="BQ43" s="19">
        <f t="shared" si="30"/>
        <v>8268.75</v>
      </c>
      <c r="BR43" s="19">
        <f t="shared" si="30"/>
        <v>8268.75</v>
      </c>
      <c r="BS43" s="19">
        <f t="shared" si="30"/>
        <v>8268.75</v>
      </c>
      <c r="BT43" s="19">
        <f t="shared" si="30"/>
        <v>8268.75</v>
      </c>
    </row>
    <row r="44" spans="2:72" x14ac:dyDescent="0.3">
      <c r="B44" s="19" t="s">
        <v>161</v>
      </c>
      <c r="C44" s="19">
        <v>90000</v>
      </c>
      <c r="M44" s="19">
        <v>0</v>
      </c>
      <c r="N44" s="19">
        <v>0</v>
      </c>
      <c r="O44" s="19">
        <v>0</v>
      </c>
      <c r="P44" s="19">
        <v>0</v>
      </c>
      <c r="Q44" s="19">
        <v>0</v>
      </c>
      <c r="R44" s="19">
        <v>0</v>
      </c>
      <c r="S44" s="19">
        <v>0</v>
      </c>
      <c r="T44" s="19">
        <v>0</v>
      </c>
      <c r="U44" s="19">
        <v>0</v>
      </c>
      <c r="V44" s="19">
        <v>0</v>
      </c>
      <c r="W44" s="19">
        <v>0</v>
      </c>
      <c r="X44" s="19">
        <v>0</v>
      </c>
      <c r="Y44" s="19">
        <v>0</v>
      </c>
      <c r="Z44" s="19">
        <v>0</v>
      </c>
      <c r="AA44" s="19">
        <v>0</v>
      </c>
      <c r="AB44" s="19">
        <v>0</v>
      </c>
      <c r="AC44" s="19">
        <v>0</v>
      </c>
      <c r="AD44" s="19">
        <v>0</v>
      </c>
      <c r="AE44" s="19">
        <v>0</v>
      </c>
      <c r="AF44" s="19">
        <v>0</v>
      </c>
      <c r="AG44" s="19">
        <v>0</v>
      </c>
      <c r="AH44" s="19">
        <v>0</v>
      </c>
      <c r="AI44" s="19">
        <v>0</v>
      </c>
      <c r="AJ44" s="19">
        <v>0</v>
      </c>
      <c r="AK44" s="19">
        <v>0</v>
      </c>
      <c r="AL44" s="19">
        <v>0</v>
      </c>
      <c r="AM44" s="19">
        <v>0</v>
      </c>
      <c r="AN44" s="19">
        <v>0</v>
      </c>
      <c r="AO44" s="19">
        <f>C44/12</f>
        <v>7500</v>
      </c>
      <c r="AP44" s="19">
        <f t="shared" ref="AP44:AV44" si="36">+AO44</f>
        <v>7500</v>
      </c>
      <c r="AQ44" s="19">
        <f t="shared" si="36"/>
        <v>7500</v>
      </c>
      <c r="AR44" s="19">
        <f t="shared" si="36"/>
        <v>7500</v>
      </c>
      <c r="AS44" s="19">
        <f t="shared" si="36"/>
        <v>7500</v>
      </c>
      <c r="AT44" s="19">
        <f t="shared" si="36"/>
        <v>7500</v>
      </c>
      <c r="AU44" s="19">
        <f t="shared" si="36"/>
        <v>7500</v>
      </c>
      <c r="AV44" s="19">
        <f t="shared" si="36"/>
        <v>7500</v>
      </c>
      <c r="AW44" s="19">
        <f>AV44*(1+$C$59)</f>
        <v>7875</v>
      </c>
      <c r="AX44" s="19">
        <f t="shared" si="32"/>
        <v>7875</v>
      </c>
      <c r="AY44" s="19">
        <f t="shared" si="24"/>
        <v>7875</v>
      </c>
      <c r="AZ44" s="19">
        <f t="shared" si="24"/>
        <v>7875</v>
      </c>
      <c r="BA44" s="19">
        <f t="shared" si="24"/>
        <v>7875</v>
      </c>
      <c r="BB44" s="19">
        <f t="shared" si="24"/>
        <v>7875</v>
      </c>
      <c r="BC44" s="19">
        <f t="shared" si="24"/>
        <v>7875</v>
      </c>
      <c r="BD44" s="19">
        <f t="shared" si="24"/>
        <v>7875</v>
      </c>
      <c r="BE44" s="19">
        <f t="shared" si="24"/>
        <v>7875</v>
      </c>
      <c r="BF44" s="19">
        <f t="shared" si="24"/>
        <v>7875</v>
      </c>
      <c r="BG44" s="19">
        <f t="shared" si="24"/>
        <v>7875</v>
      </c>
      <c r="BH44" s="19">
        <f t="shared" si="24"/>
        <v>7875</v>
      </c>
      <c r="BI44" s="19">
        <f t="shared" si="31"/>
        <v>8268.75</v>
      </c>
      <c r="BJ44" s="19">
        <f t="shared" si="19"/>
        <v>8268.75</v>
      </c>
      <c r="BK44" s="19">
        <f t="shared" si="30"/>
        <v>8268.75</v>
      </c>
      <c r="BL44" s="19">
        <f t="shared" si="30"/>
        <v>8268.75</v>
      </c>
      <c r="BM44" s="19">
        <f t="shared" si="30"/>
        <v>8268.75</v>
      </c>
      <c r="BN44" s="19">
        <f t="shared" si="30"/>
        <v>8268.75</v>
      </c>
      <c r="BO44" s="19">
        <f t="shared" si="30"/>
        <v>8268.75</v>
      </c>
      <c r="BP44" s="19">
        <f t="shared" si="30"/>
        <v>8268.75</v>
      </c>
      <c r="BQ44" s="19">
        <f t="shared" si="30"/>
        <v>8268.75</v>
      </c>
      <c r="BR44" s="19">
        <f t="shared" si="30"/>
        <v>8268.75</v>
      </c>
      <c r="BS44" s="19">
        <f t="shared" si="30"/>
        <v>8268.75</v>
      </c>
      <c r="BT44" s="19">
        <f t="shared" si="30"/>
        <v>8268.75</v>
      </c>
    </row>
    <row r="45" spans="2:72" x14ac:dyDescent="0.3">
      <c r="B45" s="19" t="s">
        <v>162</v>
      </c>
      <c r="C45" s="19">
        <v>125000</v>
      </c>
      <c r="M45" s="19">
        <v>0</v>
      </c>
      <c r="N45" s="19">
        <v>0</v>
      </c>
      <c r="O45" s="19">
        <v>0</v>
      </c>
      <c r="P45" s="19">
        <v>0</v>
      </c>
      <c r="Q45" s="19">
        <v>0</v>
      </c>
      <c r="R45" s="19">
        <v>0</v>
      </c>
      <c r="S45" s="19">
        <v>0</v>
      </c>
      <c r="T45" s="19">
        <v>0</v>
      </c>
      <c r="U45" s="19">
        <v>0</v>
      </c>
      <c r="V45" s="19">
        <v>0</v>
      </c>
      <c r="W45" s="19">
        <v>0</v>
      </c>
      <c r="X45" s="19">
        <v>0</v>
      </c>
      <c r="Y45" s="19">
        <v>0</v>
      </c>
      <c r="Z45" s="19">
        <v>0</v>
      </c>
      <c r="AA45" s="19">
        <v>0</v>
      </c>
      <c r="AB45" s="19">
        <f>C45/12</f>
        <v>10416.666666666666</v>
      </c>
      <c r="AC45" s="19">
        <f t="shared" ref="AC45:AJ45" si="37">+AB45</f>
        <v>10416.666666666666</v>
      </c>
      <c r="AD45" s="19">
        <f t="shared" si="37"/>
        <v>10416.666666666666</v>
      </c>
      <c r="AE45" s="19">
        <f t="shared" si="37"/>
        <v>10416.666666666666</v>
      </c>
      <c r="AF45" s="19">
        <f t="shared" si="37"/>
        <v>10416.666666666666</v>
      </c>
      <c r="AG45" s="19">
        <f t="shared" si="37"/>
        <v>10416.666666666666</v>
      </c>
      <c r="AH45" s="19">
        <f t="shared" si="37"/>
        <v>10416.666666666666</v>
      </c>
      <c r="AI45" s="19">
        <f t="shared" si="37"/>
        <v>10416.666666666666</v>
      </c>
      <c r="AJ45" s="19">
        <f t="shared" si="37"/>
        <v>10416.666666666666</v>
      </c>
      <c r="AK45" s="19">
        <f>AJ45*(1+$C$59)</f>
        <v>10937.5</v>
      </c>
      <c r="AL45" s="19">
        <f>+AK45</f>
        <v>10937.5</v>
      </c>
      <c r="AM45" s="19">
        <f t="shared" ref="AM45:AV45" si="38">+AL45</f>
        <v>10937.5</v>
      </c>
      <c r="AN45" s="19">
        <f t="shared" si="38"/>
        <v>10937.5</v>
      </c>
      <c r="AO45" s="19">
        <f t="shared" si="38"/>
        <v>10937.5</v>
      </c>
      <c r="AP45" s="19">
        <f t="shared" si="38"/>
        <v>10937.5</v>
      </c>
      <c r="AQ45" s="19">
        <f t="shared" si="38"/>
        <v>10937.5</v>
      </c>
      <c r="AR45" s="19">
        <f t="shared" si="38"/>
        <v>10937.5</v>
      </c>
      <c r="AS45" s="19">
        <f t="shared" si="38"/>
        <v>10937.5</v>
      </c>
      <c r="AT45" s="19">
        <f t="shared" si="38"/>
        <v>10937.5</v>
      </c>
      <c r="AU45" s="19">
        <f t="shared" si="38"/>
        <v>10937.5</v>
      </c>
      <c r="AV45" s="19">
        <f t="shared" si="38"/>
        <v>10937.5</v>
      </c>
      <c r="AW45" s="19">
        <f>AV45*(1+$C$59)</f>
        <v>11484.375</v>
      </c>
      <c r="AX45" s="19">
        <f t="shared" si="32"/>
        <v>11484.375</v>
      </c>
      <c r="AY45" s="19">
        <f t="shared" si="24"/>
        <v>11484.375</v>
      </c>
      <c r="AZ45" s="19">
        <f t="shared" si="24"/>
        <v>11484.375</v>
      </c>
      <c r="BA45" s="19">
        <f t="shared" si="24"/>
        <v>11484.375</v>
      </c>
      <c r="BB45" s="19">
        <f t="shared" si="24"/>
        <v>11484.375</v>
      </c>
      <c r="BC45" s="19">
        <f t="shared" si="24"/>
        <v>11484.375</v>
      </c>
      <c r="BD45" s="19">
        <f t="shared" si="24"/>
        <v>11484.375</v>
      </c>
      <c r="BE45" s="19">
        <f t="shared" si="24"/>
        <v>11484.375</v>
      </c>
      <c r="BF45" s="19">
        <f t="shared" si="24"/>
        <v>11484.375</v>
      </c>
      <c r="BG45" s="19">
        <f t="shared" si="24"/>
        <v>11484.375</v>
      </c>
      <c r="BH45" s="19">
        <f t="shared" si="24"/>
        <v>11484.375</v>
      </c>
      <c r="BI45" s="19">
        <f t="shared" si="31"/>
        <v>12058.59375</v>
      </c>
      <c r="BJ45" s="19">
        <f t="shared" si="19"/>
        <v>12058.59375</v>
      </c>
      <c r="BK45" s="19">
        <f t="shared" si="30"/>
        <v>12058.59375</v>
      </c>
      <c r="BL45" s="19">
        <f t="shared" si="30"/>
        <v>12058.59375</v>
      </c>
      <c r="BM45" s="19">
        <f t="shared" si="30"/>
        <v>12058.59375</v>
      </c>
      <c r="BN45" s="19">
        <f t="shared" si="30"/>
        <v>12058.59375</v>
      </c>
      <c r="BO45" s="19">
        <f t="shared" si="30"/>
        <v>12058.59375</v>
      </c>
      <c r="BP45" s="19">
        <f t="shared" si="30"/>
        <v>12058.59375</v>
      </c>
      <c r="BQ45" s="19">
        <f t="shared" si="30"/>
        <v>12058.59375</v>
      </c>
      <c r="BR45" s="19">
        <f t="shared" si="30"/>
        <v>12058.59375</v>
      </c>
      <c r="BS45" s="19">
        <f t="shared" si="30"/>
        <v>12058.59375</v>
      </c>
      <c r="BT45" s="19">
        <f t="shared" si="30"/>
        <v>12058.59375</v>
      </c>
    </row>
    <row r="46" spans="2:72" x14ac:dyDescent="0.3">
      <c r="B46" s="19" t="s">
        <v>163</v>
      </c>
      <c r="C46" s="19">
        <v>115000</v>
      </c>
      <c r="M46" s="19">
        <v>0</v>
      </c>
      <c r="N46" s="19">
        <v>0</v>
      </c>
      <c r="O46" s="19">
        <v>0</v>
      </c>
      <c r="P46" s="19">
        <v>0</v>
      </c>
      <c r="Q46" s="19">
        <v>0</v>
      </c>
      <c r="R46" s="19">
        <v>0</v>
      </c>
      <c r="S46" s="19">
        <v>0</v>
      </c>
      <c r="T46" s="19">
        <v>0</v>
      </c>
      <c r="U46" s="19">
        <v>0</v>
      </c>
      <c r="V46" s="19">
        <v>0</v>
      </c>
      <c r="W46" s="19">
        <v>0</v>
      </c>
      <c r="X46" s="19">
        <v>0</v>
      </c>
      <c r="Y46" s="19">
        <v>0</v>
      </c>
      <c r="Z46" s="19">
        <v>0</v>
      </c>
      <c r="AA46" s="19">
        <v>0</v>
      </c>
      <c r="AB46" s="19">
        <v>0</v>
      </c>
      <c r="AC46" s="19">
        <v>0</v>
      </c>
      <c r="AD46" s="19">
        <v>0</v>
      </c>
      <c r="AE46" s="19">
        <v>0</v>
      </c>
      <c r="AF46" s="19">
        <v>0</v>
      </c>
      <c r="AG46" s="19">
        <v>0</v>
      </c>
      <c r="AH46" s="19">
        <v>0</v>
      </c>
      <c r="AI46" s="19">
        <v>0</v>
      </c>
      <c r="AJ46" s="19">
        <v>0</v>
      </c>
      <c r="AK46" s="19">
        <v>0</v>
      </c>
      <c r="AL46" s="19">
        <f t="shared" si="14"/>
        <v>0</v>
      </c>
      <c r="AM46" s="19">
        <f t="shared" si="23"/>
        <v>0</v>
      </c>
      <c r="AN46" s="19">
        <f t="shared" si="23"/>
        <v>0</v>
      </c>
      <c r="AO46" s="19">
        <f t="shared" si="23"/>
        <v>0</v>
      </c>
      <c r="AP46" s="19">
        <f t="shared" si="23"/>
        <v>0</v>
      </c>
      <c r="AQ46" s="19">
        <f t="shared" si="23"/>
        <v>0</v>
      </c>
      <c r="AR46" s="19">
        <f t="shared" si="23"/>
        <v>0</v>
      </c>
      <c r="AS46" s="19">
        <f t="shared" si="23"/>
        <v>0</v>
      </c>
      <c r="AT46" s="19">
        <f t="shared" si="23"/>
        <v>0</v>
      </c>
      <c r="AU46" s="19">
        <f t="shared" si="23"/>
        <v>0</v>
      </c>
      <c r="AV46" s="19">
        <f t="shared" si="23"/>
        <v>0</v>
      </c>
      <c r="AW46" s="19">
        <f>C46/12</f>
        <v>9583.3333333333339</v>
      </c>
      <c r="AX46" s="19">
        <f t="shared" si="16"/>
        <v>9583.3333333333339</v>
      </c>
      <c r="AY46" s="19">
        <f t="shared" si="24"/>
        <v>9583.3333333333339</v>
      </c>
      <c r="AZ46" s="19">
        <f t="shared" si="24"/>
        <v>9583.3333333333339</v>
      </c>
      <c r="BA46" s="19">
        <f t="shared" si="24"/>
        <v>9583.3333333333339</v>
      </c>
      <c r="BB46" s="19">
        <f t="shared" si="24"/>
        <v>9583.3333333333339</v>
      </c>
      <c r="BC46" s="19">
        <f t="shared" si="24"/>
        <v>9583.3333333333339</v>
      </c>
      <c r="BD46" s="19">
        <f t="shared" si="24"/>
        <v>9583.3333333333339</v>
      </c>
      <c r="BE46" s="19">
        <f t="shared" si="24"/>
        <v>9583.3333333333339</v>
      </c>
      <c r="BF46" s="19">
        <f t="shared" si="24"/>
        <v>9583.3333333333339</v>
      </c>
      <c r="BG46" s="19">
        <f t="shared" si="24"/>
        <v>9583.3333333333339</v>
      </c>
      <c r="BH46" s="19">
        <f t="shared" si="24"/>
        <v>9583.3333333333339</v>
      </c>
      <c r="BI46" s="19">
        <f>BH46*(1+C$59)</f>
        <v>10062.500000000002</v>
      </c>
      <c r="BJ46" s="19">
        <f t="shared" si="19"/>
        <v>10062.500000000002</v>
      </c>
      <c r="BK46" s="19">
        <f t="shared" ref="BK46:BT54" si="39">+BJ46</f>
        <v>10062.500000000002</v>
      </c>
      <c r="BL46" s="19">
        <f t="shared" si="39"/>
        <v>10062.500000000002</v>
      </c>
      <c r="BM46" s="19">
        <f t="shared" si="39"/>
        <v>10062.500000000002</v>
      </c>
      <c r="BN46" s="19">
        <f t="shared" si="39"/>
        <v>10062.500000000002</v>
      </c>
      <c r="BO46" s="19">
        <f t="shared" si="39"/>
        <v>10062.500000000002</v>
      </c>
      <c r="BP46" s="19">
        <f t="shared" si="39"/>
        <v>10062.500000000002</v>
      </c>
      <c r="BQ46" s="19">
        <f t="shared" si="39"/>
        <v>10062.500000000002</v>
      </c>
      <c r="BR46" s="19">
        <f t="shared" si="39"/>
        <v>10062.500000000002</v>
      </c>
      <c r="BS46" s="19">
        <f t="shared" si="39"/>
        <v>10062.500000000002</v>
      </c>
      <c r="BT46" s="19">
        <f t="shared" si="39"/>
        <v>10062.500000000002</v>
      </c>
    </row>
    <row r="47" spans="2:72" x14ac:dyDescent="0.3">
      <c r="B47" s="19" t="s">
        <v>164</v>
      </c>
      <c r="C47" s="19">
        <v>50000</v>
      </c>
      <c r="M47" s="19">
        <v>0</v>
      </c>
      <c r="N47" s="19">
        <v>0</v>
      </c>
      <c r="O47" s="19">
        <v>0</v>
      </c>
      <c r="P47" s="19">
        <v>0</v>
      </c>
      <c r="Q47" s="19">
        <v>0</v>
      </c>
      <c r="R47" s="19">
        <v>0</v>
      </c>
      <c r="S47" s="19">
        <v>0</v>
      </c>
      <c r="T47" s="19">
        <v>0</v>
      </c>
      <c r="U47" s="19">
        <v>0</v>
      </c>
      <c r="V47" s="19">
        <v>0</v>
      </c>
      <c r="W47" s="19">
        <v>0</v>
      </c>
      <c r="X47" s="19">
        <v>0</v>
      </c>
      <c r="Y47" s="19">
        <v>0</v>
      </c>
      <c r="Z47" s="19">
        <v>0</v>
      </c>
      <c r="AA47" s="19">
        <v>0</v>
      </c>
      <c r="AB47" s="19">
        <v>0</v>
      </c>
      <c r="AC47" s="19">
        <v>0</v>
      </c>
      <c r="AD47" s="19">
        <v>0</v>
      </c>
      <c r="AE47" s="19">
        <f>C47/12</f>
        <v>4166.666666666667</v>
      </c>
      <c r="AF47" s="19">
        <f t="shared" ref="AF47:AJ47" si="40">+AE47</f>
        <v>4166.666666666667</v>
      </c>
      <c r="AG47" s="19">
        <f t="shared" si="40"/>
        <v>4166.666666666667</v>
      </c>
      <c r="AH47" s="19">
        <f t="shared" si="40"/>
        <v>4166.666666666667</v>
      </c>
      <c r="AI47" s="19">
        <f t="shared" si="40"/>
        <v>4166.666666666667</v>
      </c>
      <c r="AJ47" s="19">
        <f t="shared" si="40"/>
        <v>4166.666666666667</v>
      </c>
      <c r="AK47" s="19">
        <f>AJ47*(1+$C$59)</f>
        <v>4375.0000000000009</v>
      </c>
      <c r="AL47" s="19">
        <f t="shared" si="14"/>
        <v>4375.0000000000009</v>
      </c>
      <c r="AM47" s="19">
        <f t="shared" si="23"/>
        <v>4375.0000000000009</v>
      </c>
      <c r="AN47" s="19">
        <f t="shared" si="23"/>
        <v>4375.0000000000009</v>
      </c>
      <c r="AO47" s="19">
        <f t="shared" si="23"/>
        <v>4375.0000000000009</v>
      </c>
      <c r="AP47" s="19">
        <f t="shared" si="23"/>
        <v>4375.0000000000009</v>
      </c>
      <c r="AQ47" s="19">
        <f t="shared" si="23"/>
        <v>4375.0000000000009</v>
      </c>
      <c r="AR47" s="19">
        <f t="shared" si="23"/>
        <v>4375.0000000000009</v>
      </c>
      <c r="AS47" s="19">
        <f t="shared" si="23"/>
        <v>4375.0000000000009</v>
      </c>
      <c r="AT47" s="19">
        <f t="shared" si="23"/>
        <v>4375.0000000000009</v>
      </c>
      <c r="AU47" s="19">
        <f t="shared" si="23"/>
        <v>4375.0000000000009</v>
      </c>
      <c r="AV47" s="19">
        <f t="shared" si="23"/>
        <v>4375.0000000000009</v>
      </c>
      <c r="AW47" s="19">
        <f>AV47*(1+$C$59)</f>
        <v>4593.7500000000009</v>
      </c>
      <c r="AX47" s="19">
        <f>+AW47</f>
        <v>4593.7500000000009</v>
      </c>
      <c r="AY47" s="19">
        <f t="shared" si="24"/>
        <v>4593.7500000000009</v>
      </c>
      <c r="AZ47" s="19">
        <f t="shared" si="24"/>
        <v>4593.7500000000009</v>
      </c>
      <c r="BA47" s="19">
        <f t="shared" si="24"/>
        <v>4593.7500000000009</v>
      </c>
      <c r="BB47" s="19">
        <f t="shared" si="24"/>
        <v>4593.7500000000009</v>
      </c>
      <c r="BC47" s="19">
        <f t="shared" si="24"/>
        <v>4593.7500000000009</v>
      </c>
      <c r="BD47" s="19">
        <f t="shared" si="24"/>
        <v>4593.7500000000009</v>
      </c>
      <c r="BE47" s="19">
        <f t="shared" si="24"/>
        <v>4593.7500000000009</v>
      </c>
      <c r="BF47" s="19">
        <f t="shared" si="24"/>
        <v>4593.7500000000009</v>
      </c>
      <c r="BG47" s="19">
        <f t="shared" si="24"/>
        <v>4593.7500000000009</v>
      </c>
      <c r="BH47" s="19">
        <f t="shared" si="24"/>
        <v>4593.7500000000009</v>
      </c>
      <c r="BI47" s="19">
        <f>BH47*(1+C$59)</f>
        <v>4823.4375000000009</v>
      </c>
      <c r="BJ47" s="19">
        <f t="shared" si="19"/>
        <v>4823.4375000000009</v>
      </c>
      <c r="BK47" s="19">
        <f t="shared" si="39"/>
        <v>4823.4375000000009</v>
      </c>
      <c r="BL47" s="19">
        <f t="shared" si="39"/>
        <v>4823.4375000000009</v>
      </c>
      <c r="BM47" s="19">
        <f t="shared" si="39"/>
        <v>4823.4375000000009</v>
      </c>
      <c r="BN47" s="19">
        <f t="shared" si="39"/>
        <v>4823.4375000000009</v>
      </c>
      <c r="BO47" s="19">
        <f t="shared" si="39"/>
        <v>4823.4375000000009</v>
      </c>
      <c r="BP47" s="19">
        <f t="shared" si="39"/>
        <v>4823.4375000000009</v>
      </c>
      <c r="BQ47" s="19">
        <f t="shared" si="39"/>
        <v>4823.4375000000009</v>
      </c>
      <c r="BR47" s="19">
        <f t="shared" si="39"/>
        <v>4823.4375000000009</v>
      </c>
      <c r="BS47" s="19">
        <f t="shared" si="39"/>
        <v>4823.4375000000009</v>
      </c>
      <c r="BT47" s="19">
        <f t="shared" si="39"/>
        <v>4823.4375000000009</v>
      </c>
    </row>
    <row r="48" spans="2:72" x14ac:dyDescent="0.3">
      <c r="B48" s="19" t="s">
        <v>165</v>
      </c>
      <c r="C48" s="19">
        <v>50000</v>
      </c>
      <c r="M48" s="19">
        <v>0</v>
      </c>
      <c r="N48" s="19">
        <v>0</v>
      </c>
      <c r="O48" s="19">
        <v>0</v>
      </c>
      <c r="P48" s="19">
        <v>0</v>
      </c>
      <c r="Q48" s="19">
        <v>0</v>
      </c>
      <c r="R48" s="19">
        <v>0</v>
      </c>
      <c r="S48" s="19">
        <v>0</v>
      </c>
      <c r="T48" s="19">
        <v>0</v>
      </c>
      <c r="U48" s="19">
        <v>0</v>
      </c>
      <c r="V48" s="19">
        <v>0</v>
      </c>
      <c r="W48" s="19">
        <v>0</v>
      </c>
      <c r="X48" s="19">
        <v>0</v>
      </c>
      <c r="Y48" s="19">
        <v>0</v>
      </c>
      <c r="Z48" s="19">
        <v>0</v>
      </c>
      <c r="AA48" s="19">
        <v>0</v>
      </c>
      <c r="AB48" s="19">
        <v>0</v>
      </c>
      <c r="AC48" s="19">
        <v>0</v>
      </c>
      <c r="AD48" s="19">
        <v>0</v>
      </c>
      <c r="AE48" s="19">
        <f>C48/12</f>
        <v>4166.666666666667</v>
      </c>
      <c r="AF48" s="19">
        <f t="shared" ref="AF48:AJ48" si="41">+AE48</f>
        <v>4166.666666666667</v>
      </c>
      <c r="AG48" s="19">
        <f t="shared" si="41"/>
        <v>4166.666666666667</v>
      </c>
      <c r="AH48" s="19">
        <f t="shared" si="41"/>
        <v>4166.666666666667</v>
      </c>
      <c r="AI48" s="19">
        <f t="shared" si="41"/>
        <v>4166.666666666667</v>
      </c>
      <c r="AJ48" s="19">
        <f t="shared" si="41"/>
        <v>4166.666666666667</v>
      </c>
      <c r="AK48" s="19">
        <f>AJ48*(1+$C$59)</f>
        <v>4375.0000000000009</v>
      </c>
      <c r="AL48" s="19">
        <f>+AK48</f>
        <v>4375.0000000000009</v>
      </c>
      <c r="AM48" s="19">
        <f t="shared" ref="AM48:AV48" si="42">+AL48</f>
        <v>4375.0000000000009</v>
      </c>
      <c r="AN48" s="19">
        <f t="shared" si="42"/>
        <v>4375.0000000000009</v>
      </c>
      <c r="AO48" s="19">
        <f t="shared" si="42"/>
        <v>4375.0000000000009</v>
      </c>
      <c r="AP48" s="19">
        <f t="shared" si="42"/>
        <v>4375.0000000000009</v>
      </c>
      <c r="AQ48" s="19">
        <f t="shared" si="42"/>
        <v>4375.0000000000009</v>
      </c>
      <c r="AR48" s="19">
        <f t="shared" si="42"/>
        <v>4375.0000000000009</v>
      </c>
      <c r="AS48" s="19">
        <f t="shared" si="42"/>
        <v>4375.0000000000009</v>
      </c>
      <c r="AT48" s="19">
        <f t="shared" si="42"/>
        <v>4375.0000000000009</v>
      </c>
      <c r="AU48" s="19">
        <f t="shared" si="42"/>
        <v>4375.0000000000009</v>
      </c>
      <c r="AV48" s="19">
        <f t="shared" si="42"/>
        <v>4375.0000000000009</v>
      </c>
      <c r="AW48" s="19">
        <f>AV48*(1+$C$59)</f>
        <v>4593.7500000000009</v>
      </c>
      <c r="AX48" s="19">
        <f>+AW48</f>
        <v>4593.7500000000009</v>
      </c>
      <c r="AY48" s="19">
        <f t="shared" si="24"/>
        <v>4593.7500000000009</v>
      </c>
      <c r="AZ48" s="19">
        <f t="shared" si="24"/>
        <v>4593.7500000000009</v>
      </c>
      <c r="BA48" s="19">
        <f t="shared" si="24"/>
        <v>4593.7500000000009</v>
      </c>
      <c r="BB48" s="19">
        <f t="shared" si="24"/>
        <v>4593.7500000000009</v>
      </c>
      <c r="BC48" s="19">
        <f t="shared" si="24"/>
        <v>4593.7500000000009</v>
      </c>
      <c r="BD48" s="19">
        <f t="shared" si="24"/>
        <v>4593.7500000000009</v>
      </c>
      <c r="BE48" s="19">
        <f t="shared" si="24"/>
        <v>4593.7500000000009</v>
      </c>
      <c r="BF48" s="19">
        <f t="shared" si="24"/>
        <v>4593.7500000000009</v>
      </c>
      <c r="BG48" s="19">
        <f t="shared" si="24"/>
        <v>4593.7500000000009</v>
      </c>
      <c r="BH48" s="19">
        <f t="shared" si="24"/>
        <v>4593.7500000000009</v>
      </c>
      <c r="BI48" s="19">
        <f>BH48*(1+C$59)</f>
        <v>4823.4375000000009</v>
      </c>
      <c r="BJ48" s="19">
        <f>+BI48</f>
        <v>4823.4375000000009</v>
      </c>
      <c r="BK48" s="19">
        <f t="shared" si="39"/>
        <v>4823.4375000000009</v>
      </c>
      <c r="BL48" s="19">
        <f t="shared" si="39"/>
        <v>4823.4375000000009</v>
      </c>
      <c r="BM48" s="19">
        <f t="shared" si="39"/>
        <v>4823.4375000000009</v>
      </c>
      <c r="BN48" s="19">
        <f t="shared" si="39"/>
        <v>4823.4375000000009</v>
      </c>
      <c r="BO48" s="19">
        <f t="shared" si="39"/>
        <v>4823.4375000000009</v>
      </c>
      <c r="BP48" s="19">
        <f t="shared" si="39"/>
        <v>4823.4375000000009</v>
      </c>
      <c r="BQ48" s="19">
        <f t="shared" si="39"/>
        <v>4823.4375000000009</v>
      </c>
      <c r="BR48" s="19">
        <f t="shared" si="39"/>
        <v>4823.4375000000009</v>
      </c>
      <c r="BS48" s="19">
        <f t="shared" si="39"/>
        <v>4823.4375000000009</v>
      </c>
      <c r="BT48" s="19">
        <f t="shared" si="39"/>
        <v>4823.4375000000009</v>
      </c>
    </row>
    <row r="49" spans="1:72" x14ac:dyDescent="0.3">
      <c r="B49" s="19" t="s">
        <v>166</v>
      </c>
      <c r="C49" s="19">
        <v>48000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f>+AD49</f>
        <v>0</v>
      </c>
      <c r="AF49" s="19">
        <f t="shared" ref="AF49:AJ49" si="43">+AE49</f>
        <v>0</v>
      </c>
      <c r="AG49" s="19">
        <f t="shared" si="43"/>
        <v>0</v>
      </c>
      <c r="AH49" s="19">
        <f t="shared" si="43"/>
        <v>0</v>
      </c>
      <c r="AI49" s="19">
        <f t="shared" si="43"/>
        <v>0</v>
      </c>
      <c r="AJ49" s="19">
        <f t="shared" si="43"/>
        <v>0</v>
      </c>
      <c r="AK49" s="19">
        <v>0</v>
      </c>
      <c r="AL49" s="19">
        <f>+AK49</f>
        <v>0</v>
      </c>
      <c r="AM49" s="19">
        <f t="shared" ref="AM49:AV49" si="44">+AL49</f>
        <v>0</v>
      </c>
      <c r="AN49" s="19">
        <f t="shared" si="44"/>
        <v>0</v>
      </c>
      <c r="AO49" s="19">
        <f>C49/12</f>
        <v>4000</v>
      </c>
      <c r="AP49" s="19">
        <f>+AO49</f>
        <v>4000</v>
      </c>
      <c r="AQ49" s="19">
        <f t="shared" si="44"/>
        <v>4000</v>
      </c>
      <c r="AR49" s="19">
        <f t="shared" si="44"/>
        <v>4000</v>
      </c>
      <c r="AS49" s="19">
        <f t="shared" si="44"/>
        <v>4000</v>
      </c>
      <c r="AT49" s="19">
        <v>0</v>
      </c>
      <c r="AU49" s="19">
        <f t="shared" si="44"/>
        <v>0</v>
      </c>
      <c r="AV49" s="19">
        <f t="shared" si="44"/>
        <v>0</v>
      </c>
      <c r="AW49" s="19">
        <v>0</v>
      </c>
      <c r="AX49" s="19">
        <v>0</v>
      </c>
      <c r="AY49" s="19">
        <v>0</v>
      </c>
      <c r="AZ49" s="19">
        <v>0</v>
      </c>
      <c r="BA49" s="19">
        <v>0</v>
      </c>
      <c r="BB49" s="19">
        <v>0</v>
      </c>
      <c r="BC49" s="19">
        <v>0</v>
      </c>
      <c r="BD49" s="19">
        <v>0</v>
      </c>
      <c r="BE49" s="19">
        <v>0</v>
      </c>
      <c r="BF49" s="19">
        <v>0</v>
      </c>
      <c r="BG49" s="19">
        <v>0</v>
      </c>
      <c r="BH49" s="19">
        <v>0</v>
      </c>
      <c r="BI49" s="19">
        <v>0</v>
      </c>
      <c r="BJ49" s="19">
        <v>0</v>
      </c>
      <c r="BK49" s="19">
        <v>0</v>
      </c>
      <c r="BL49" s="19">
        <v>0</v>
      </c>
      <c r="BM49" s="19">
        <v>0</v>
      </c>
      <c r="BN49" s="19">
        <v>0</v>
      </c>
      <c r="BO49" s="19">
        <v>0</v>
      </c>
      <c r="BP49" s="19">
        <v>0</v>
      </c>
      <c r="BQ49" s="19">
        <v>0</v>
      </c>
      <c r="BR49" s="19">
        <v>0</v>
      </c>
      <c r="BS49" s="19">
        <v>0</v>
      </c>
      <c r="BT49" s="19">
        <v>0</v>
      </c>
    </row>
    <row r="50" spans="1:72" x14ac:dyDescent="0.3">
      <c r="B50" s="19" t="s">
        <v>167</v>
      </c>
      <c r="C50" s="19">
        <v>130000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c r="AO50" s="19">
        <v>0</v>
      </c>
      <c r="AP50" s="19">
        <v>0</v>
      </c>
      <c r="AQ50" s="19">
        <v>0</v>
      </c>
      <c r="AR50" s="19">
        <v>0</v>
      </c>
      <c r="AS50" s="19">
        <v>0</v>
      </c>
      <c r="AT50" s="19">
        <v>0</v>
      </c>
      <c r="AU50" s="19">
        <v>0</v>
      </c>
      <c r="AV50" s="19">
        <v>0</v>
      </c>
      <c r="AW50" s="19">
        <v>0</v>
      </c>
      <c r="AX50" s="19">
        <f>+AW50</f>
        <v>0</v>
      </c>
      <c r="AY50" s="19">
        <f t="shared" ref="AY50:BH50" si="45">+AX50</f>
        <v>0</v>
      </c>
      <c r="AZ50" s="19">
        <f t="shared" si="45"/>
        <v>0</v>
      </c>
      <c r="BA50" s="19">
        <f>C50/12</f>
        <v>10833.333333333334</v>
      </c>
      <c r="BB50" s="19">
        <f t="shared" si="45"/>
        <v>10833.333333333334</v>
      </c>
      <c r="BC50" s="19">
        <f t="shared" si="45"/>
        <v>10833.333333333334</v>
      </c>
      <c r="BD50" s="19">
        <f t="shared" si="45"/>
        <v>10833.333333333334</v>
      </c>
      <c r="BE50" s="19">
        <f t="shared" si="45"/>
        <v>10833.333333333334</v>
      </c>
      <c r="BF50" s="19">
        <f t="shared" si="45"/>
        <v>10833.333333333334</v>
      </c>
      <c r="BG50" s="19">
        <f t="shared" si="45"/>
        <v>10833.333333333334</v>
      </c>
      <c r="BH50" s="19">
        <f t="shared" si="45"/>
        <v>10833.333333333334</v>
      </c>
      <c r="BI50" s="19">
        <f>BH50*(1+$C$59)</f>
        <v>11375.000000000002</v>
      </c>
      <c r="BJ50" s="19">
        <f>+BI50</f>
        <v>11375.000000000002</v>
      </c>
      <c r="BK50" s="19">
        <f t="shared" ref="BK50:BT50" si="46">+BJ50</f>
        <v>11375.000000000002</v>
      </c>
      <c r="BL50" s="19">
        <f t="shared" si="46"/>
        <v>11375.000000000002</v>
      </c>
      <c r="BM50" s="19">
        <f t="shared" si="46"/>
        <v>11375.000000000002</v>
      </c>
      <c r="BN50" s="19">
        <f t="shared" si="46"/>
        <v>11375.000000000002</v>
      </c>
      <c r="BO50" s="19">
        <f t="shared" si="46"/>
        <v>11375.000000000002</v>
      </c>
      <c r="BP50" s="19">
        <f t="shared" si="46"/>
        <v>11375.000000000002</v>
      </c>
      <c r="BQ50" s="19">
        <f t="shared" si="46"/>
        <v>11375.000000000002</v>
      </c>
      <c r="BR50" s="19">
        <f t="shared" si="46"/>
        <v>11375.000000000002</v>
      </c>
      <c r="BS50" s="19">
        <f t="shared" si="46"/>
        <v>11375.000000000002</v>
      </c>
      <c r="BT50" s="19">
        <f t="shared" si="46"/>
        <v>11375.000000000002</v>
      </c>
    </row>
    <row r="51" spans="1:72" x14ac:dyDescent="0.3">
      <c r="B51" s="19" t="s">
        <v>168</v>
      </c>
      <c r="C51" s="19">
        <v>75000</v>
      </c>
      <c r="M51" s="19">
        <v>0</v>
      </c>
      <c r="N51" s="19">
        <v>0</v>
      </c>
      <c r="O51" s="19">
        <v>0</v>
      </c>
      <c r="P51" s="19">
        <v>0</v>
      </c>
      <c r="Q51" s="19">
        <v>0</v>
      </c>
      <c r="R51" s="19">
        <v>0</v>
      </c>
      <c r="S51" s="19">
        <v>0</v>
      </c>
      <c r="T51" s="19">
        <v>0</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f>C51/12</f>
        <v>6250</v>
      </c>
      <c r="AT51" s="19">
        <f t="shared" ref="AT51:AV51" si="47">+AS51</f>
        <v>6250</v>
      </c>
      <c r="AU51" s="19">
        <f t="shared" si="47"/>
        <v>6250</v>
      </c>
      <c r="AV51" s="19">
        <f t="shared" si="47"/>
        <v>6250</v>
      </c>
      <c r="AW51" s="19">
        <f>AV51*(1+$C$59)</f>
        <v>6562.5</v>
      </c>
      <c r="AX51" s="19">
        <f>+AW51</f>
        <v>6562.5</v>
      </c>
      <c r="AY51" s="19">
        <f t="shared" ref="AY51:BH51" si="48">+AX51</f>
        <v>6562.5</v>
      </c>
      <c r="AZ51" s="19">
        <f t="shared" si="48"/>
        <v>6562.5</v>
      </c>
      <c r="BA51" s="19">
        <f t="shared" si="48"/>
        <v>6562.5</v>
      </c>
      <c r="BB51" s="19">
        <f t="shared" si="48"/>
        <v>6562.5</v>
      </c>
      <c r="BC51" s="19">
        <f t="shared" si="48"/>
        <v>6562.5</v>
      </c>
      <c r="BD51" s="19">
        <f t="shared" si="48"/>
        <v>6562.5</v>
      </c>
      <c r="BE51" s="19">
        <f t="shared" si="48"/>
        <v>6562.5</v>
      </c>
      <c r="BF51" s="19">
        <f t="shared" si="48"/>
        <v>6562.5</v>
      </c>
      <c r="BG51" s="19">
        <f t="shared" si="48"/>
        <v>6562.5</v>
      </c>
      <c r="BH51" s="19">
        <f t="shared" si="48"/>
        <v>6562.5</v>
      </c>
      <c r="BI51" s="19">
        <f>BH51*(1+$C$59)</f>
        <v>6890.625</v>
      </c>
      <c r="BJ51" s="19">
        <f>+BI51</f>
        <v>6890.625</v>
      </c>
      <c r="BK51" s="19">
        <f t="shared" ref="BK51:BT51" si="49">+BJ51</f>
        <v>6890.625</v>
      </c>
      <c r="BL51" s="19">
        <f t="shared" si="49"/>
        <v>6890.625</v>
      </c>
      <c r="BM51" s="19">
        <f t="shared" si="49"/>
        <v>6890.625</v>
      </c>
      <c r="BN51" s="19">
        <f t="shared" si="49"/>
        <v>6890.625</v>
      </c>
      <c r="BO51" s="19">
        <f t="shared" si="49"/>
        <v>6890.625</v>
      </c>
      <c r="BP51" s="19">
        <f t="shared" si="49"/>
        <v>6890.625</v>
      </c>
      <c r="BQ51" s="19">
        <f t="shared" si="49"/>
        <v>6890.625</v>
      </c>
      <c r="BR51" s="19">
        <f t="shared" si="49"/>
        <v>6890.625</v>
      </c>
      <c r="BS51" s="19">
        <f t="shared" si="49"/>
        <v>6890.625</v>
      </c>
      <c r="BT51" s="19">
        <f t="shared" si="49"/>
        <v>6890.625</v>
      </c>
    </row>
    <row r="52" spans="1:72" x14ac:dyDescent="0.3">
      <c r="A52"/>
      <c r="B52" s="19" t="s">
        <v>273</v>
      </c>
      <c r="C52" s="19">
        <v>150000</v>
      </c>
      <c r="M52" s="19">
        <v>0</v>
      </c>
      <c r="N52" s="19">
        <v>0</v>
      </c>
      <c r="O52" s="19">
        <v>0</v>
      </c>
      <c r="P52" s="19">
        <v>0</v>
      </c>
      <c r="Q52" s="19">
        <v>0</v>
      </c>
      <c r="R52" s="19">
        <v>0</v>
      </c>
      <c r="S52" s="19">
        <v>0</v>
      </c>
      <c r="T52" s="19">
        <v>0</v>
      </c>
      <c r="U52" s="19">
        <v>0</v>
      </c>
      <c r="V52" s="19">
        <v>0</v>
      </c>
      <c r="W52" s="19">
        <v>0</v>
      </c>
      <c r="X52" s="19">
        <v>0</v>
      </c>
      <c r="Y52" s="19">
        <v>0</v>
      </c>
      <c r="Z52" s="19">
        <v>0</v>
      </c>
      <c r="AA52" s="19">
        <v>0</v>
      </c>
      <c r="AB52" s="19">
        <v>0</v>
      </c>
      <c r="AC52" s="19">
        <v>0</v>
      </c>
      <c r="AD52" s="19">
        <v>0</v>
      </c>
      <c r="AE52" s="19">
        <v>0</v>
      </c>
      <c r="AF52" s="19">
        <v>0</v>
      </c>
      <c r="AG52" s="19">
        <v>0</v>
      </c>
      <c r="AH52" s="19">
        <v>0</v>
      </c>
      <c r="AI52" s="19">
        <v>0</v>
      </c>
      <c r="AJ52" s="19">
        <v>0</v>
      </c>
      <c r="AK52" s="19">
        <v>0</v>
      </c>
      <c r="AL52" s="19">
        <v>0</v>
      </c>
      <c r="AM52" s="19">
        <v>0</v>
      </c>
      <c r="AN52" s="19">
        <v>0</v>
      </c>
      <c r="AO52" s="19">
        <v>0</v>
      </c>
      <c r="AP52" s="19">
        <f>C52/12</f>
        <v>12500</v>
      </c>
      <c r="AQ52" s="19">
        <f t="shared" ref="AQ52:AV52" si="50">+AP52</f>
        <v>12500</v>
      </c>
      <c r="AR52" s="19">
        <f t="shared" si="50"/>
        <v>12500</v>
      </c>
      <c r="AS52" s="19">
        <f t="shared" si="50"/>
        <v>12500</v>
      </c>
      <c r="AT52" s="19">
        <f t="shared" si="50"/>
        <v>12500</v>
      </c>
      <c r="AU52" s="19">
        <f t="shared" si="50"/>
        <v>12500</v>
      </c>
      <c r="AV52" s="19">
        <f t="shared" si="50"/>
        <v>12500</v>
      </c>
      <c r="AW52" s="19">
        <f>AV52*(1+$C$59)</f>
        <v>13125</v>
      </c>
      <c r="AX52" s="19">
        <f>+AW52</f>
        <v>13125</v>
      </c>
      <c r="AY52" s="19">
        <f t="shared" ref="AY52:BH52" si="51">+AX52</f>
        <v>13125</v>
      </c>
      <c r="AZ52" s="19">
        <f t="shared" si="51"/>
        <v>13125</v>
      </c>
      <c r="BA52" s="19">
        <f t="shared" si="51"/>
        <v>13125</v>
      </c>
      <c r="BB52" s="19">
        <f t="shared" si="51"/>
        <v>13125</v>
      </c>
      <c r="BC52" s="19">
        <f t="shared" si="51"/>
        <v>13125</v>
      </c>
      <c r="BD52" s="19">
        <f t="shared" si="51"/>
        <v>13125</v>
      </c>
      <c r="BE52" s="19">
        <f t="shared" si="51"/>
        <v>13125</v>
      </c>
      <c r="BF52" s="19">
        <f t="shared" si="51"/>
        <v>13125</v>
      </c>
      <c r="BG52" s="19">
        <f t="shared" si="51"/>
        <v>13125</v>
      </c>
      <c r="BH52" s="19">
        <f t="shared" si="51"/>
        <v>13125</v>
      </c>
      <c r="BI52" s="19">
        <f>BH52*(1+$C$59)</f>
        <v>13781.25</v>
      </c>
      <c r="BJ52" s="19">
        <f>+BI52</f>
        <v>13781.25</v>
      </c>
      <c r="BK52" s="19">
        <f t="shared" ref="BK52:BT52" si="52">+BJ52</f>
        <v>13781.25</v>
      </c>
      <c r="BL52" s="19">
        <f t="shared" si="52"/>
        <v>13781.25</v>
      </c>
      <c r="BM52" s="19">
        <f t="shared" si="52"/>
        <v>13781.25</v>
      </c>
      <c r="BN52" s="19">
        <f t="shared" si="52"/>
        <v>13781.25</v>
      </c>
      <c r="BO52" s="19">
        <f t="shared" si="52"/>
        <v>13781.25</v>
      </c>
      <c r="BP52" s="19">
        <f t="shared" si="52"/>
        <v>13781.25</v>
      </c>
      <c r="BQ52" s="19">
        <f t="shared" si="52"/>
        <v>13781.25</v>
      </c>
      <c r="BR52" s="19">
        <f t="shared" si="52"/>
        <v>13781.25</v>
      </c>
      <c r="BS52" s="19">
        <f t="shared" si="52"/>
        <v>13781.25</v>
      </c>
      <c r="BT52" s="19">
        <f t="shared" si="52"/>
        <v>13781.25</v>
      </c>
    </row>
    <row r="53" spans="1:72" x14ac:dyDescent="0.3">
      <c r="A53"/>
      <c r="B53" s="19" t="s">
        <v>169</v>
      </c>
      <c r="C53" s="19">
        <v>150000</v>
      </c>
      <c r="M53" s="19">
        <f>0</f>
        <v>0</v>
      </c>
      <c r="N53" s="19">
        <f>+M53</f>
        <v>0</v>
      </c>
      <c r="O53" s="19">
        <f t="shared" si="21"/>
        <v>0</v>
      </c>
      <c r="P53" s="19">
        <f t="shared" si="21"/>
        <v>0</v>
      </c>
      <c r="Q53" s="19">
        <f t="shared" si="21"/>
        <v>0</v>
      </c>
      <c r="R53" s="19">
        <f t="shared" si="21"/>
        <v>0</v>
      </c>
      <c r="S53" s="19">
        <f t="shared" si="21"/>
        <v>0</v>
      </c>
      <c r="T53" s="19">
        <f t="shared" si="21"/>
        <v>0</v>
      </c>
      <c r="U53" s="19">
        <f t="shared" si="21"/>
        <v>0</v>
      </c>
      <c r="V53" s="19">
        <f t="shared" si="21"/>
        <v>0</v>
      </c>
      <c r="W53" s="19">
        <f t="shared" si="21"/>
        <v>0</v>
      </c>
      <c r="X53" s="19">
        <f t="shared" si="21"/>
        <v>0</v>
      </c>
      <c r="Y53" s="19">
        <f>X53*(1+C$59)</f>
        <v>0</v>
      </c>
      <c r="Z53" s="19">
        <f>+Y53</f>
        <v>0</v>
      </c>
      <c r="AA53" s="19">
        <f t="shared" si="22"/>
        <v>0</v>
      </c>
      <c r="AB53" s="19">
        <f t="shared" si="22"/>
        <v>0</v>
      </c>
      <c r="AC53" s="19">
        <f t="shared" si="22"/>
        <v>0</v>
      </c>
      <c r="AD53" s="19">
        <f t="shared" si="22"/>
        <v>0</v>
      </c>
      <c r="AE53" s="19">
        <f t="shared" si="22"/>
        <v>0</v>
      </c>
      <c r="AF53" s="19">
        <f t="shared" si="22"/>
        <v>0</v>
      </c>
      <c r="AG53" s="19">
        <f t="shared" si="22"/>
        <v>0</v>
      </c>
      <c r="AH53" s="19">
        <f t="shared" si="22"/>
        <v>0</v>
      </c>
      <c r="AI53" s="19">
        <f t="shared" si="22"/>
        <v>0</v>
      </c>
      <c r="AJ53" s="19">
        <f t="shared" si="22"/>
        <v>0</v>
      </c>
      <c r="AK53" s="19">
        <v>0</v>
      </c>
      <c r="AL53" s="19">
        <f t="shared" si="14"/>
        <v>0</v>
      </c>
      <c r="AM53" s="19">
        <f t="shared" si="23"/>
        <v>0</v>
      </c>
      <c r="AN53" s="19">
        <f t="shared" si="23"/>
        <v>0</v>
      </c>
      <c r="AO53" s="19">
        <f t="shared" si="23"/>
        <v>0</v>
      </c>
      <c r="AP53" s="19">
        <f t="shared" si="23"/>
        <v>0</v>
      </c>
      <c r="AQ53" s="19">
        <f t="shared" si="23"/>
        <v>0</v>
      </c>
      <c r="AR53" s="19">
        <f t="shared" si="23"/>
        <v>0</v>
      </c>
      <c r="AS53" s="19">
        <v>0</v>
      </c>
      <c r="AT53" s="19">
        <f>C53/12</f>
        <v>12500</v>
      </c>
      <c r="AU53" s="19">
        <f t="shared" si="23"/>
        <v>12500</v>
      </c>
      <c r="AV53" s="19">
        <f t="shared" si="23"/>
        <v>12500</v>
      </c>
      <c r="AW53" s="19">
        <f>AV53*(1+$C$59)</f>
        <v>13125</v>
      </c>
      <c r="AX53" s="19">
        <f t="shared" si="16"/>
        <v>13125</v>
      </c>
      <c r="AY53" s="19">
        <f t="shared" si="24"/>
        <v>13125</v>
      </c>
      <c r="AZ53" s="19">
        <f t="shared" si="24"/>
        <v>13125</v>
      </c>
      <c r="BA53" s="19">
        <f t="shared" si="24"/>
        <v>13125</v>
      </c>
      <c r="BB53" s="19">
        <f t="shared" si="24"/>
        <v>13125</v>
      </c>
      <c r="BC53" s="19">
        <f t="shared" si="24"/>
        <v>13125</v>
      </c>
      <c r="BD53" s="19">
        <f t="shared" si="24"/>
        <v>13125</v>
      </c>
      <c r="BE53" s="19">
        <f t="shared" si="24"/>
        <v>13125</v>
      </c>
      <c r="BF53" s="19">
        <f t="shared" si="24"/>
        <v>13125</v>
      </c>
      <c r="BG53" s="19">
        <f t="shared" si="24"/>
        <v>13125</v>
      </c>
      <c r="BH53" s="19">
        <f t="shared" si="24"/>
        <v>13125</v>
      </c>
      <c r="BI53" s="19">
        <f>BH53*(1+C$59)</f>
        <v>13781.25</v>
      </c>
      <c r="BJ53" s="19">
        <f t="shared" si="19"/>
        <v>13781.25</v>
      </c>
      <c r="BK53" s="19">
        <f t="shared" si="39"/>
        <v>13781.25</v>
      </c>
      <c r="BL53" s="19">
        <f t="shared" si="39"/>
        <v>13781.25</v>
      </c>
      <c r="BM53" s="19">
        <f t="shared" si="39"/>
        <v>13781.25</v>
      </c>
      <c r="BN53" s="19">
        <f t="shared" si="39"/>
        <v>13781.25</v>
      </c>
      <c r="BO53" s="19">
        <f t="shared" si="39"/>
        <v>13781.25</v>
      </c>
      <c r="BP53" s="19">
        <f t="shared" si="39"/>
        <v>13781.25</v>
      </c>
      <c r="BQ53" s="19">
        <f t="shared" si="39"/>
        <v>13781.25</v>
      </c>
      <c r="BR53" s="19">
        <f t="shared" si="39"/>
        <v>13781.25</v>
      </c>
      <c r="BS53" s="19">
        <f t="shared" si="39"/>
        <v>13781.25</v>
      </c>
      <c r="BT53" s="19">
        <f t="shared" si="39"/>
        <v>13781.25</v>
      </c>
    </row>
    <row r="54" spans="1:72" x14ac:dyDescent="0.3">
      <c r="B54" s="19" t="s">
        <v>170</v>
      </c>
      <c r="C54" s="19">
        <v>140000</v>
      </c>
      <c r="M54" s="19">
        <v>0</v>
      </c>
      <c r="N54" s="19">
        <v>0</v>
      </c>
      <c r="O54" s="19">
        <v>0</v>
      </c>
      <c r="P54" s="19">
        <v>0</v>
      </c>
      <c r="Q54" s="19">
        <v>0</v>
      </c>
      <c r="R54" s="19">
        <v>0</v>
      </c>
      <c r="S54" s="19">
        <v>0</v>
      </c>
      <c r="T54" s="19">
        <v>0</v>
      </c>
      <c r="U54" s="19">
        <v>0</v>
      </c>
      <c r="V54" s="19">
        <v>0</v>
      </c>
      <c r="W54" s="19">
        <v>0</v>
      </c>
      <c r="X54" s="19">
        <v>0</v>
      </c>
      <c r="Y54" s="19">
        <v>0</v>
      </c>
      <c r="Z54" s="19">
        <v>0</v>
      </c>
      <c r="AA54" s="19">
        <v>0</v>
      </c>
      <c r="AB54" s="19">
        <v>0</v>
      </c>
      <c r="AC54" s="19">
        <v>0</v>
      </c>
      <c r="AD54" s="19">
        <v>0</v>
      </c>
      <c r="AE54" s="19">
        <v>0</v>
      </c>
      <c r="AF54" s="19">
        <v>0</v>
      </c>
      <c r="AG54" s="19">
        <v>0</v>
      </c>
      <c r="AH54" s="19">
        <v>0</v>
      </c>
      <c r="AI54" s="19">
        <v>0</v>
      </c>
      <c r="AJ54" s="19">
        <v>0</v>
      </c>
      <c r="AK54" s="19">
        <v>0</v>
      </c>
      <c r="AL54" s="19">
        <v>0</v>
      </c>
      <c r="AM54" s="19">
        <v>0</v>
      </c>
      <c r="AN54" s="19">
        <v>0</v>
      </c>
      <c r="AO54" s="19">
        <v>0</v>
      </c>
      <c r="AP54" s="19">
        <v>0</v>
      </c>
      <c r="AQ54" s="19">
        <v>0</v>
      </c>
      <c r="AR54" s="19">
        <v>0</v>
      </c>
      <c r="AS54" s="19">
        <v>0</v>
      </c>
      <c r="AT54" s="19">
        <v>0</v>
      </c>
      <c r="AU54" s="19">
        <v>0</v>
      </c>
      <c r="AV54" s="19">
        <v>0</v>
      </c>
      <c r="AW54" s="19">
        <v>0</v>
      </c>
      <c r="AX54" s="19">
        <f>+AW54</f>
        <v>0</v>
      </c>
      <c r="AY54" s="19">
        <f t="shared" si="24"/>
        <v>0</v>
      </c>
      <c r="AZ54" s="19">
        <f t="shared" si="24"/>
        <v>0</v>
      </c>
      <c r="BA54" s="19">
        <f t="shared" si="24"/>
        <v>0</v>
      </c>
      <c r="BB54" s="19">
        <f t="shared" si="24"/>
        <v>0</v>
      </c>
      <c r="BC54" s="19">
        <f t="shared" si="24"/>
        <v>0</v>
      </c>
      <c r="BD54" s="19">
        <f>C54/12</f>
        <v>11666.666666666666</v>
      </c>
      <c r="BE54" s="19">
        <f t="shared" si="24"/>
        <v>11666.666666666666</v>
      </c>
      <c r="BF54" s="19">
        <f t="shared" si="24"/>
        <v>11666.666666666666</v>
      </c>
      <c r="BG54" s="19">
        <f t="shared" si="24"/>
        <v>11666.666666666666</v>
      </c>
      <c r="BH54" s="19">
        <f t="shared" si="24"/>
        <v>11666.666666666666</v>
      </c>
      <c r="BI54" s="19">
        <f>BH54*(1+$C$59)</f>
        <v>12250</v>
      </c>
      <c r="BJ54" s="19">
        <f>+BI54</f>
        <v>12250</v>
      </c>
      <c r="BK54" s="19">
        <f t="shared" si="39"/>
        <v>12250</v>
      </c>
      <c r="BL54" s="19">
        <f t="shared" si="39"/>
        <v>12250</v>
      </c>
      <c r="BM54" s="19">
        <f t="shared" si="39"/>
        <v>12250</v>
      </c>
      <c r="BN54" s="19">
        <f t="shared" si="39"/>
        <v>12250</v>
      </c>
      <c r="BO54" s="19">
        <f t="shared" si="39"/>
        <v>12250</v>
      </c>
      <c r="BP54" s="19">
        <f t="shared" si="39"/>
        <v>12250</v>
      </c>
      <c r="BQ54" s="19">
        <f t="shared" si="39"/>
        <v>12250</v>
      </c>
      <c r="BR54" s="19">
        <f t="shared" si="39"/>
        <v>12250</v>
      </c>
      <c r="BS54" s="19">
        <f t="shared" si="39"/>
        <v>12250</v>
      </c>
      <c r="BT54" s="19">
        <f t="shared" si="39"/>
        <v>12250</v>
      </c>
    </row>
    <row r="56" spans="1:72" ht="15" thickBot="1" x14ac:dyDescent="0.35">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row>
    <row r="57" spans="1:72" ht="15" thickTop="1" x14ac:dyDescent="0.3">
      <c r="B57" s="19" t="s">
        <v>171</v>
      </c>
      <c r="M57" s="19">
        <f t="shared" ref="M57:AR57" si="53">SUM(M31:M54)</f>
        <v>10833.333333333334</v>
      </c>
      <c r="N57" s="19">
        <f t="shared" si="53"/>
        <v>10833.333333333334</v>
      </c>
      <c r="O57" s="19">
        <f t="shared" si="53"/>
        <v>10833.333333333334</v>
      </c>
      <c r="P57" s="19">
        <f t="shared" si="53"/>
        <v>21666.666666666668</v>
      </c>
      <c r="Q57" s="19">
        <f t="shared" si="53"/>
        <v>21666.666666666668</v>
      </c>
      <c r="R57" s="19">
        <f t="shared" si="53"/>
        <v>32500</v>
      </c>
      <c r="S57" s="19">
        <f t="shared" si="53"/>
        <v>32500</v>
      </c>
      <c r="T57" s="19">
        <f t="shared" si="53"/>
        <v>32500</v>
      </c>
      <c r="U57" s="19">
        <f t="shared" si="53"/>
        <v>32500</v>
      </c>
      <c r="V57" s="19">
        <f t="shared" si="53"/>
        <v>32500</v>
      </c>
      <c r="W57" s="19">
        <f t="shared" si="53"/>
        <v>32500</v>
      </c>
      <c r="X57" s="19">
        <f t="shared" si="53"/>
        <v>32500</v>
      </c>
      <c r="Y57" s="19">
        <f t="shared" si="53"/>
        <v>44958.333333333336</v>
      </c>
      <c r="Z57" s="19">
        <f t="shared" si="53"/>
        <v>44958.333333333336</v>
      </c>
      <c r="AA57" s="19">
        <f t="shared" si="53"/>
        <v>57041.666666666672</v>
      </c>
      <c r="AB57" s="19">
        <f t="shared" si="53"/>
        <v>67458.333333333343</v>
      </c>
      <c r="AC57" s="19">
        <f t="shared" si="53"/>
        <v>67458.333333333343</v>
      </c>
      <c r="AD57" s="19">
        <f t="shared" si="53"/>
        <v>78541.666666666672</v>
      </c>
      <c r="AE57" s="19">
        <f t="shared" si="53"/>
        <v>86875.000000000015</v>
      </c>
      <c r="AF57" s="19">
        <f t="shared" si="53"/>
        <v>86875.000000000015</v>
      </c>
      <c r="AG57" s="19">
        <f t="shared" si="53"/>
        <v>86875.000000000015</v>
      </c>
      <c r="AH57" s="19">
        <f t="shared" si="53"/>
        <v>86875.000000000015</v>
      </c>
      <c r="AI57" s="19">
        <f t="shared" si="53"/>
        <v>86875.000000000015</v>
      </c>
      <c r="AJ57" s="19">
        <f t="shared" si="53"/>
        <v>86875.000000000015</v>
      </c>
      <c r="AK57" s="19">
        <f t="shared" si="53"/>
        <v>91218.750000000015</v>
      </c>
      <c r="AL57" s="19">
        <f t="shared" si="53"/>
        <v>98718.750000000015</v>
      </c>
      <c r="AM57" s="19">
        <f t="shared" si="53"/>
        <v>109552.08333333334</v>
      </c>
      <c r="AN57" s="19">
        <f t="shared" si="53"/>
        <v>109552.08333333334</v>
      </c>
      <c r="AO57" s="19">
        <f t="shared" si="53"/>
        <v>121052.08333333334</v>
      </c>
      <c r="AP57" s="19">
        <f t="shared" si="53"/>
        <v>133552.08333333334</v>
      </c>
      <c r="AQ57" s="19">
        <f t="shared" si="53"/>
        <v>133552.08333333334</v>
      </c>
      <c r="AR57" s="19">
        <f t="shared" si="53"/>
        <v>144385.41666666669</v>
      </c>
      <c r="AS57" s="19">
        <f t="shared" ref="AS57:BT57" si="54">SUM(AS31:AS54)</f>
        <v>150635.41666666669</v>
      </c>
      <c r="AT57" s="19">
        <f t="shared" si="54"/>
        <v>159135.41666666669</v>
      </c>
      <c r="AU57" s="19">
        <f t="shared" si="54"/>
        <v>159135.41666666669</v>
      </c>
      <c r="AV57" s="19">
        <f t="shared" si="54"/>
        <v>159135.41666666669</v>
      </c>
      <c r="AW57" s="19">
        <f t="shared" si="54"/>
        <v>190425.52083333334</v>
      </c>
      <c r="AX57" s="19">
        <f t="shared" si="54"/>
        <v>190425.52083333334</v>
      </c>
      <c r="AY57" s="19">
        <f t="shared" si="54"/>
        <v>190425.52083333334</v>
      </c>
      <c r="AZ57" s="19">
        <f t="shared" si="54"/>
        <v>190425.52083333334</v>
      </c>
      <c r="BA57" s="19">
        <f t="shared" si="54"/>
        <v>201258.85416666669</v>
      </c>
      <c r="BB57" s="19">
        <f t="shared" si="54"/>
        <v>201258.85416666669</v>
      </c>
      <c r="BC57" s="19">
        <f t="shared" si="54"/>
        <v>213342.1875</v>
      </c>
      <c r="BD57" s="19">
        <f t="shared" si="54"/>
        <v>225008.85416666666</v>
      </c>
      <c r="BE57" s="19">
        <f t="shared" si="54"/>
        <v>236092.1875</v>
      </c>
      <c r="BF57" s="19">
        <f t="shared" si="54"/>
        <v>236092.1875</v>
      </c>
      <c r="BG57" s="19">
        <f t="shared" si="54"/>
        <v>246925.52083333334</v>
      </c>
      <c r="BH57" s="19">
        <f t="shared" si="54"/>
        <v>246925.52083333334</v>
      </c>
      <c r="BI57" s="19">
        <f t="shared" si="54"/>
        <v>259271.796875</v>
      </c>
      <c r="BJ57" s="19">
        <f t="shared" si="54"/>
        <v>259271.796875</v>
      </c>
      <c r="BK57" s="19">
        <f t="shared" si="54"/>
        <v>259271.796875</v>
      </c>
      <c r="BL57" s="19">
        <f t="shared" si="54"/>
        <v>259271.796875</v>
      </c>
      <c r="BM57" s="19">
        <f t="shared" si="54"/>
        <v>259271.796875</v>
      </c>
      <c r="BN57" s="19">
        <f t="shared" si="54"/>
        <v>259271.796875</v>
      </c>
      <c r="BO57" s="19">
        <f t="shared" si="54"/>
        <v>259271.796875</v>
      </c>
      <c r="BP57" s="19">
        <f t="shared" si="54"/>
        <v>259271.796875</v>
      </c>
      <c r="BQ57" s="19">
        <f t="shared" si="54"/>
        <v>259271.796875</v>
      </c>
      <c r="BR57" s="19">
        <f t="shared" si="54"/>
        <v>259271.796875</v>
      </c>
      <c r="BS57" s="19">
        <f t="shared" si="54"/>
        <v>259271.796875</v>
      </c>
      <c r="BT57" s="19">
        <f t="shared" si="54"/>
        <v>259271.796875</v>
      </c>
    </row>
    <row r="59" spans="1:72" x14ac:dyDescent="0.3">
      <c r="A59" s="19" t="s">
        <v>172</v>
      </c>
      <c r="C59" s="10">
        <v>0.05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C1E1F-2982-E644-A5CE-9EAC13BD5053}">
  <sheetPr>
    <tabColor rgb="FFFF0000"/>
  </sheetPr>
  <dimension ref="A1:ID80"/>
  <sheetViews>
    <sheetView tabSelected="1" workbookViewId="0">
      <selection activeCell="AK42" sqref="AK42:BT42"/>
    </sheetView>
  </sheetViews>
  <sheetFormatPr defaultColWidth="11.44140625" defaultRowHeight="14.4" x14ac:dyDescent="0.3"/>
  <cols>
    <col min="1" max="1" width="16.44140625" customWidth="1"/>
    <col min="2" max="2" width="18.33203125" bestFit="1" customWidth="1"/>
    <col min="3" max="3" width="13.109375" bestFit="1" customWidth="1"/>
    <col min="4" max="4" width="10.77734375" customWidth="1"/>
    <col min="5" max="5" width="6.6640625" customWidth="1"/>
    <col min="6" max="6" width="12.109375" bestFit="1" customWidth="1"/>
    <col min="7" max="7" width="1.77734375" customWidth="1"/>
    <col min="8" max="8" width="3" hidden="1" customWidth="1"/>
    <col min="9" max="9" width="2.44140625" hidden="1" customWidth="1"/>
    <col min="10" max="10" width="1.6640625" hidden="1" customWidth="1"/>
    <col min="11" max="12" width="2.6640625" hidden="1" customWidth="1"/>
    <col min="13" max="15" width="12.6640625" bestFit="1" customWidth="1"/>
    <col min="16" max="72" width="13.109375" bestFit="1" customWidth="1"/>
  </cols>
  <sheetData>
    <row r="1" spans="1:73" s="59" customFormat="1" x14ac:dyDescent="0.3">
      <c r="A1" t="s">
        <v>77</v>
      </c>
      <c r="B1"/>
      <c r="C1"/>
      <c r="D1"/>
      <c r="E1"/>
      <c r="F1"/>
      <c r="G1"/>
      <c r="H1"/>
      <c r="I1"/>
      <c r="J1"/>
      <c r="K1"/>
      <c r="L1"/>
    </row>
    <row r="2" spans="1:73" s="59" customFormat="1" x14ac:dyDescent="0.3">
      <c r="A2"/>
      <c r="B2"/>
      <c r="C2"/>
      <c r="D2"/>
      <c r="E2"/>
      <c r="F2"/>
      <c r="G2"/>
      <c r="H2"/>
      <c r="I2"/>
      <c r="J2"/>
      <c r="K2"/>
      <c r="L2"/>
    </row>
    <row r="3" spans="1:73" s="84" customFormat="1" x14ac:dyDescent="0.3">
      <c r="A3" s="6"/>
      <c r="B3" s="6"/>
      <c r="C3" s="6"/>
      <c r="D3" s="6"/>
      <c r="E3" s="6"/>
      <c r="F3" s="6"/>
      <c r="G3" s="6"/>
      <c r="H3" s="6"/>
      <c r="I3" s="6"/>
      <c r="J3" s="6"/>
      <c r="K3" s="6"/>
      <c r="L3" s="6"/>
      <c r="M3" s="85" t="s">
        <v>8</v>
      </c>
      <c r="N3" s="85" t="s">
        <v>8</v>
      </c>
      <c r="O3" s="85" t="s">
        <v>8</v>
      </c>
      <c r="P3" s="85" t="s">
        <v>8</v>
      </c>
      <c r="Q3" s="85" t="s">
        <v>8</v>
      </c>
      <c r="R3" s="85" t="s">
        <v>8</v>
      </c>
      <c r="S3" s="85" t="s">
        <v>8</v>
      </c>
      <c r="T3" s="85" t="s">
        <v>8</v>
      </c>
      <c r="U3" s="85" t="s">
        <v>8</v>
      </c>
      <c r="V3" s="85" t="s">
        <v>8</v>
      </c>
      <c r="W3" s="85" t="s">
        <v>8</v>
      </c>
      <c r="X3" s="85" t="s">
        <v>8</v>
      </c>
      <c r="Y3" s="85" t="s">
        <v>9</v>
      </c>
      <c r="Z3" s="85" t="s">
        <v>9</v>
      </c>
      <c r="AA3" s="85" t="s">
        <v>9</v>
      </c>
      <c r="AB3" s="85" t="s">
        <v>9</v>
      </c>
      <c r="AC3" s="85" t="s">
        <v>9</v>
      </c>
      <c r="AD3" s="85" t="s">
        <v>9</v>
      </c>
      <c r="AE3" s="85" t="s">
        <v>9</v>
      </c>
      <c r="AF3" s="85" t="s">
        <v>9</v>
      </c>
      <c r="AG3" s="85" t="s">
        <v>9</v>
      </c>
      <c r="AH3" s="85" t="s">
        <v>9</v>
      </c>
      <c r="AI3" s="85" t="s">
        <v>9</v>
      </c>
      <c r="AJ3" s="85" t="s">
        <v>9</v>
      </c>
      <c r="AK3" s="85" t="s">
        <v>10</v>
      </c>
      <c r="AL3" s="85" t="s">
        <v>10</v>
      </c>
      <c r="AM3" s="85" t="s">
        <v>10</v>
      </c>
      <c r="AN3" s="85" t="s">
        <v>10</v>
      </c>
      <c r="AO3" s="85" t="s">
        <v>10</v>
      </c>
      <c r="AP3" s="85" t="s">
        <v>10</v>
      </c>
      <c r="AQ3" s="85" t="s">
        <v>10</v>
      </c>
      <c r="AR3" s="85" t="s">
        <v>10</v>
      </c>
      <c r="AS3" s="85" t="s">
        <v>10</v>
      </c>
      <c r="AT3" s="85" t="s">
        <v>10</v>
      </c>
      <c r="AU3" s="85" t="s">
        <v>10</v>
      </c>
      <c r="AV3" s="85" t="s">
        <v>10</v>
      </c>
      <c r="AW3" s="85" t="s">
        <v>11</v>
      </c>
      <c r="AX3" s="85" t="s">
        <v>11</v>
      </c>
      <c r="AY3" s="85" t="s">
        <v>11</v>
      </c>
      <c r="AZ3" s="85" t="s">
        <v>11</v>
      </c>
      <c r="BA3" s="85" t="s">
        <v>11</v>
      </c>
      <c r="BB3" s="85" t="s">
        <v>11</v>
      </c>
      <c r="BC3" s="85" t="s">
        <v>11</v>
      </c>
      <c r="BD3" s="85" t="s">
        <v>11</v>
      </c>
      <c r="BE3" s="85" t="s">
        <v>11</v>
      </c>
      <c r="BF3" s="85" t="s">
        <v>11</v>
      </c>
      <c r="BG3" s="85" t="s">
        <v>11</v>
      </c>
      <c r="BH3" s="85" t="s">
        <v>11</v>
      </c>
      <c r="BI3" s="85" t="s">
        <v>12</v>
      </c>
      <c r="BJ3" s="85" t="s">
        <v>12</v>
      </c>
      <c r="BK3" s="85" t="s">
        <v>12</v>
      </c>
      <c r="BL3" s="85" t="s">
        <v>12</v>
      </c>
      <c r="BM3" s="85" t="s">
        <v>12</v>
      </c>
      <c r="BN3" s="85" t="s">
        <v>12</v>
      </c>
      <c r="BO3" s="85" t="s">
        <v>12</v>
      </c>
      <c r="BP3" s="85" t="s">
        <v>12</v>
      </c>
      <c r="BQ3" s="85" t="s">
        <v>12</v>
      </c>
      <c r="BR3" s="85" t="s">
        <v>12</v>
      </c>
      <c r="BS3" s="85" t="s">
        <v>12</v>
      </c>
      <c r="BT3" s="85" t="s">
        <v>12</v>
      </c>
    </row>
    <row r="4" spans="1:73" s="84" customFormat="1" x14ac:dyDescent="0.3">
      <c r="A4" s="6"/>
      <c r="B4" s="6"/>
      <c r="C4" s="6"/>
      <c r="D4" s="6"/>
      <c r="E4" s="6"/>
      <c r="F4" s="6"/>
      <c r="G4" s="6"/>
      <c r="H4" s="6"/>
      <c r="I4" s="6"/>
      <c r="J4" s="6"/>
      <c r="K4" s="6"/>
      <c r="L4" s="6"/>
      <c r="M4" s="86" t="s">
        <v>14</v>
      </c>
      <c r="N4" s="86" t="s">
        <v>15</v>
      </c>
      <c r="O4" s="86" t="s">
        <v>16</v>
      </c>
      <c r="P4" s="86" t="s">
        <v>17</v>
      </c>
      <c r="Q4" s="86" t="s">
        <v>18</v>
      </c>
      <c r="R4" s="86" t="s">
        <v>19</v>
      </c>
      <c r="S4" s="86" t="s">
        <v>20</v>
      </c>
      <c r="T4" s="86" t="s">
        <v>21</v>
      </c>
      <c r="U4" s="86" t="s">
        <v>22</v>
      </c>
      <c r="V4" s="86" t="s">
        <v>23</v>
      </c>
      <c r="W4" s="86" t="s">
        <v>24</v>
      </c>
      <c r="X4" s="86" t="s">
        <v>25</v>
      </c>
      <c r="Y4" s="86" t="s">
        <v>14</v>
      </c>
      <c r="Z4" s="86" t="s">
        <v>15</v>
      </c>
      <c r="AA4" s="86" t="s">
        <v>16</v>
      </c>
      <c r="AB4" s="86" t="s">
        <v>17</v>
      </c>
      <c r="AC4" s="86" t="s">
        <v>18</v>
      </c>
      <c r="AD4" s="86" t="s">
        <v>19</v>
      </c>
      <c r="AE4" s="86" t="s">
        <v>20</v>
      </c>
      <c r="AF4" s="86" t="s">
        <v>21</v>
      </c>
      <c r="AG4" s="86" t="s">
        <v>22</v>
      </c>
      <c r="AH4" s="86" t="s">
        <v>23</v>
      </c>
      <c r="AI4" s="86" t="s">
        <v>24</v>
      </c>
      <c r="AJ4" s="86" t="s">
        <v>25</v>
      </c>
      <c r="AK4" s="86" t="s">
        <v>14</v>
      </c>
      <c r="AL4" s="86" t="s">
        <v>15</v>
      </c>
      <c r="AM4" s="86" t="s">
        <v>16</v>
      </c>
      <c r="AN4" s="86" t="s">
        <v>17</v>
      </c>
      <c r="AO4" s="86" t="s">
        <v>18</v>
      </c>
      <c r="AP4" s="86" t="s">
        <v>19</v>
      </c>
      <c r="AQ4" s="86" t="s">
        <v>20</v>
      </c>
      <c r="AR4" s="86" t="s">
        <v>21</v>
      </c>
      <c r="AS4" s="86" t="s">
        <v>22</v>
      </c>
      <c r="AT4" s="86" t="s">
        <v>23</v>
      </c>
      <c r="AU4" s="86" t="s">
        <v>24</v>
      </c>
      <c r="AV4" s="86" t="s">
        <v>25</v>
      </c>
      <c r="AW4" s="86" t="s">
        <v>14</v>
      </c>
      <c r="AX4" s="86" t="s">
        <v>15</v>
      </c>
      <c r="AY4" s="86" t="s">
        <v>16</v>
      </c>
      <c r="AZ4" s="86" t="s">
        <v>17</v>
      </c>
      <c r="BA4" s="86" t="s">
        <v>18</v>
      </c>
      <c r="BB4" s="86" t="s">
        <v>19</v>
      </c>
      <c r="BC4" s="86" t="s">
        <v>20</v>
      </c>
      <c r="BD4" s="86" t="s">
        <v>21</v>
      </c>
      <c r="BE4" s="86" t="s">
        <v>22</v>
      </c>
      <c r="BF4" s="86" t="s">
        <v>23</v>
      </c>
      <c r="BG4" s="86" t="s">
        <v>24</v>
      </c>
      <c r="BH4" s="86" t="s">
        <v>25</v>
      </c>
      <c r="BI4" s="86" t="s">
        <v>14</v>
      </c>
      <c r="BJ4" s="86" t="s">
        <v>15</v>
      </c>
      <c r="BK4" s="86" t="s">
        <v>16</v>
      </c>
      <c r="BL4" s="86" t="s">
        <v>17</v>
      </c>
      <c r="BM4" s="86" t="s">
        <v>18</v>
      </c>
      <c r="BN4" s="86" t="s">
        <v>19</v>
      </c>
      <c r="BO4" s="86" t="s">
        <v>20</v>
      </c>
      <c r="BP4" s="86" t="s">
        <v>21</v>
      </c>
      <c r="BQ4" s="86" t="s">
        <v>22</v>
      </c>
      <c r="BR4" s="86" t="s">
        <v>23</v>
      </c>
      <c r="BS4" s="86" t="s">
        <v>24</v>
      </c>
      <c r="BT4" s="86" t="s">
        <v>25</v>
      </c>
    </row>
    <row r="5" spans="1:73" s="59" customFormat="1" x14ac:dyDescent="0.3">
      <c r="A5"/>
      <c r="B5"/>
      <c r="C5"/>
      <c r="D5"/>
      <c r="E5"/>
      <c r="F5"/>
      <c r="G5"/>
      <c r="H5"/>
      <c r="I5"/>
      <c r="J5"/>
      <c r="K5"/>
      <c r="L5"/>
    </row>
    <row r="6" spans="1:73" x14ac:dyDescent="0.3">
      <c r="A6" t="s">
        <v>190</v>
      </c>
      <c r="M6" s="15">
        <f t="shared" ref="M6:AR6" si="0">M54</f>
        <v>43750</v>
      </c>
      <c r="N6" s="15">
        <f t="shared" si="0"/>
        <v>43750</v>
      </c>
      <c r="O6" s="15">
        <f t="shared" si="0"/>
        <v>43750</v>
      </c>
      <c r="P6" s="15">
        <f t="shared" si="0"/>
        <v>43750</v>
      </c>
      <c r="Q6" s="15">
        <f t="shared" si="0"/>
        <v>43750</v>
      </c>
      <c r="R6" s="15">
        <f t="shared" si="0"/>
        <v>43750</v>
      </c>
      <c r="S6" s="15">
        <f t="shared" si="0"/>
        <v>43750</v>
      </c>
      <c r="T6" s="15">
        <f t="shared" si="0"/>
        <v>43750</v>
      </c>
      <c r="U6" s="15">
        <f t="shared" si="0"/>
        <v>47416.666666666664</v>
      </c>
      <c r="V6" s="15">
        <f t="shared" si="0"/>
        <v>47416.666666666664</v>
      </c>
      <c r="W6" s="15">
        <f t="shared" si="0"/>
        <v>47416.666666666664</v>
      </c>
      <c r="X6" s="15">
        <f t="shared" si="0"/>
        <v>47416.666666666664</v>
      </c>
      <c r="Y6" s="15">
        <f t="shared" si="0"/>
        <v>58999.999999999993</v>
      </c>
      <c r="Z6" s="15">
        <f t="shared" si="0"/>
        <v>58999.999999999993</v>
      </c>
      <c r="AA6" s="15">
        <f t="shared" si="0"/>
        <v>68166.666666666657</v>
      </c>
      <c r="AB6" s="15">
        <f t="shared" si="0"/>
        <v>87750</v>
      </c>
      <c r="AC6" s="15">
        <f t="shared" si="0"/>
        <v>87750</v>
      </c>
      <c r="AD6" s="15">
        <f t="shared" si="0"/>
        <v>87750</v>
      </c>
      <c r="AE6" s="15">
        <f t="shared" si="0"/>
        <v>87750</v>
      </c>
      <c r="AF6" s="15">
        <f t="shared" si="0"/>
        <v>87750</v>
      </c>
      <c r="AG6" s="15">
        <f t="shared" si="0"/>
        <v>87750</v>
      </c>
      <c r="AH6" s="15">
        <f t="shared" si="0"/>
        <v>87750</v>
      </c>
      <c r="AI6" s="15">
        <f t="shared" si="0"/>
        <v>87750</v>
      </c>
      <c r="AJ6" s="15">
        <f t="shared" si="0"/>
        <v>87750</v>
      </c>
      <c r="AK6" s="15">
        <f t="shared" si="0"/>
        <v>99333.333333333343</v>
      </c>
      <c r="AL6" s="15">
        <f t="shared" si="0"/>
        <v>99333.333333333343</v>
      </c>
      <c r="AM6" s="15">
        <f t="shared" si="0"/>
        <v>99333.333333333343</v>
      </c>
      <c r="AN6" s="15">
        <f t="shared" si="0"/>
        <v>99333.333333333343</v>
      </c>
      <c r="AO6" s="15">
        <f t="shared" si="0"/>
        <v>99333.333333333343</v>
      </c>
      <c r="AP6" s="15">
        <f t="shared" si="0"/>
        <v>99333.333333333343</v>
      </c>
      <c r="AQ6" s="15">
        <f t="shared" si="0"/>
        <v>99333.333333333343</v>
      </c>
      <c r="AR6" s="15">
        <f t="shared" si="0"/>
        <v>99333.333333333343</v>
      </c>
      <c r="AS6" s="15">
        <f t="shared" ref="AS6:BT6" si="1">AS54</f>
        <v>99333.333333333343</v>
      </c>
      <c r="AT6" s="15">
        <f t="shared" si="1"/>
        <v>99333.333333333343</v>
      </c>
      <c r="AU6" s="15">
        <f t="shared" si="1"/>
        <v>99333.333333333343</v>
      </c>
      <c r="AV6" s="15">
        <f t="shared" si="1"/>
        <v>99333.333333333343</v>
      </c>
      <c r="AW6" s="15">
        <f t="shared" si="1"/>
        <v>132250</v>
      </c>
      <c r="AX6" s="15">
        <f t="shared" si="1"/>
        <v>132250</v>
      </c>
      <c r="AY6" s="15">
        <f t="shared" si="1"/>
        <v>132250</v>
      </c>
      <c r="AZ6" s="15">
        <f t="shared" si="1"/>
        <v>132250</v>
      </c>
      <c r="BA6" s="15">
        <f t="shared" si="1"/>
        <v>132250</v>
      </c>
      <c r="BB6" s="15">
        <f t="shared" si="1"/>
        <v>132250</v>
      </c>
      <c r="BC6" s="15">
        <f t="shared" si="1"/>
        <v>132250</v>
      </c>
      <c r="BD6" s="15">
        <f t="shared" si="1"/>
        <v>132250</v>
      </c>
      <c r="BE6" s="15">
        <f t="shared" si="1"/>
        <v>132250</v>
      </c>
      <c r="BF6" s="15">
        <f t="shared" si="1"/>
        <v>132250</v>
      </c>
      <c r="BG6" s="15">
        <f t="shared" si="1"/>
        <v>132250</v>
      </c>
      <c r="BH6" s="15">
        <f t="shared" si="1"/>
        <v>132250</v>
      </c>
      <c r="BI6" s="15">
        <f t="shared" si="1"/>
        <v>132250</v>
      </c>
      <c r="BJ6" s="15">
        <f t="shared" si="1"/>
        <v>132250</v>
      </c>
      <c r="BK6" s="15">
        <f t="shared" si="1"/>
        <v>132250</v>
      </c>
      <c r="BL6" s="15">
        <f t="shared" si="1"/>
        <v>132250</v>
      </c>
      <c r="BM6" s="15">
        <f t="shared" si="1"/>
        <v>132250</v>
      </c>
      <c r="BN6" s="15">
        <f t="shared" si="1"/>
        <v>132250</v>
      </c>
      <c r="BO6" s="15">
        <f t="shared" si="1"/>
        <v>132250</v>
      </c>
      <c r="BP6" s="15">
        <f t="shared" si="1"/>
        <v>132250</v>
      </c>
      <c r="BQ6" s="15">
        <f t="shared" si="1"/>
        <v>132250</v>
      </c>
      <c r="BR6" s="15">
        <f t="shared" si="1"/>
        <v>132250</v>
      </c>
      <c r="BS6" s="15">
        <f t="shared" si="1"/>
        <v>132250</v>
      </c>
      <c r="BT6" s="15">
        <f t="shared" si="1"/>
        <v>132250</v>
      </c>
    </row>
    <row r="7" spans="1:73" x14ac:dyDescent="0.3">
      <c r="A7" t="s">
        <v>304</v>
      </c>
      <c r="M7" s="15">
        <f>M62</f>
        <v>28750</v>
      </c>
      <c r="N7" s="15">
        <f>N62</f>
        <v>28750</v>
      </c>
      <c r="O7" s="15">
        <f t="shared" ref="O7:BT7" si="2">O62</f>
        <v>28750</v>
      </c>
      <c r="P7" s="15">
        <f t="shared" si="2"/>
        <v>28750</v>
      </c>
      <c r="Q7" s="15">
        <f t="shared" si="2"/>
        <v>28750</v>
      </c>
      <c r="R7" s="15">
        <f t="shared" si="2"/>
        <v>28750</v>
      </c>
      <c r="S7" s="15">
        <f t="shared" si="2"/>
        <v>28750</v>
      </c>
      <c r="T7" s="15">
        <f t="shared" si="2"/>
        <v>28750</v>
      </c>
      <c r="U7" s="15">
        <f t="shared" si="2"/>
        <v>28750</v>
      </c>
      <c r="V7" s="15">
        <f t="shared" si="2"/>
        <v>28750</v>
      </c>
      <c r="W7" s="15">
        <f t="shared" si="2"/>
        <v>28750</v>
      </c>
      <c r="X7" s="15">
        <f t="shared" si="2"/>
        <v>28750</v>
      </c>
      <c r="Y7" s="15">
        <f t="shared" si="2"/>
        <v>28750</v>
      </c>
      <c r="Z7" s="15">
        <f t="shared" si="2"/>
        <v>28750</v>
      </c>
      <c r="AA7" s="15">
        <f t="shared" si="2"/>
        <v>28750</v>
      </c>
      <c r="AB7" s="15">
        <f t="shared" si="2"/>
        <v>28750</v>
      </c>
      <c r="AC7" s="15">
        <f t="shared" si="2"/>
        <v>28750</v>
      </c>
      <c r="AD7" s="15">
        <f t="shared" si="2"/>
        <v>28750</v>
      </c>
      <c r="AE7" s="15">
        <f t="shared" si="2"/>
        <v>28750</v>
      </c>
      <c r="AF7" s="15">
        <f t="shared" si="2"/>
        <v>28750</v>
      </c>
      <c r="AG7" s="15">
        <f t="shared" si="2"/>
        <v>0</v>
      </c>
      <c r="AH7" s="15">
        <f t="shared" si="2"/>
        <v>0</v>
      </c>
      <c r="AI7" s="15">
        <f t="shared" si="2"/>
        <v>0</v>
      </c>
      <c r="AJ7" s="15">
        <f t="shared" si="2"/>
        <v>0</v>
      </c>
      <c r="AK7" s="15">
        <f t="shared" si="2"/>
        <v>0</v>
      </c>
      <c r="AL7" s="15">
        <f t="shared" si="2"/>
        <v>0</v>
      </c>
      <c r="AM7" s="15">
        <f t="shared" si="2"/>
        <v>0</v>
      </c>
      <c r="AN7" s="15">
        <f t="shared" si="2"/>
        <v>0</v>
      </c>
      <c r="AO7" s="15">
        <f t="shared" si="2"/>
        <v>0</v>
      </c>
      <c r="AP7" s="15">
        <f t="shared" si="2"/>
        <v>0</v>
      </c>
      <c r="AQ7" s="15">
        <f t="shared" si="2"/>
        <v>0</v>
      </c>
      <c r="AR7" s="15">
        <f t="shared" si="2"/>
        <v>0</v>
      </c>
      <c r="AS7" s="15">
        <f t="shared" si="2"/>
        <v>0</v>
      </c>
      <c r="AT7" s="15">
        <f t="shared" si="2"/>
        <v>0</v>
      </c>
      <c r="AU7" s="15">
        <f t="shared" si="2"/>
        <v>0</v>
      </c>
      <c r="AV7" s="15">
        <f t="shared" si="2"/>
        <v>0</v>
      </c>
      <c r="AW7" s="15">
        <f t="shared" si="2"/>
        <v>0</v>
      </c>
      <c r="AX7" s="15">
        <f t="shared" si="2"/>
        <v>0</v>
      </c>
      <c r="AY7" s="15">
        <f t="shared" si="2"/>
        <v>0</v>
      </c>
      <c r="AZ7" s="15">
        <f t="shared" si="2"/>
        <v>0</v>
      </c>
      <c r="BA7" s="15">
        <f t="shared" si="2"/>
        <v>0</v>
      </c>
      <c r="BB7" s="15">
        <f t="shared" si="2"/>
        <v>0</v>
      </c>
      <c r="BC7" s="15">
        <f t="shared" si="2"/>
        <v>0</v>
      </c>
      <c r="BD7" s="15">
        <f t="shared" si="2"/>
        <v>0</v>
      </c>
      <c r="BE7" s="15">
        <f t="shared" si="2"/>
        <v>0</v>
      </c>
      <c r="BF7" s="15">
        <f t="shared" si="2"/>
        <v>0</v>
      </c>
      <c r="BG7" s="15">
        <f t="shared" si="2"/>
        <v>0</v>
      </c>
      <c r="BH7" s="15">
        <f t="shared" si="2"/>
        <v>0</v>
      </c>
      <c r="BI7" s="15">
        <f t="shared" si="2"/>
        <v>0</v>
      </c>
      <c r="BJ7" s="15">
        <f t="shared" si="2"/>
        <v>0</v>
      </c>
      <c r="BK7" s="15">
        <f t="shared" si="2"/>
        <v>0</v>
      </c>
      <c r="BL7" s="15">
        <f t="shared" si="2"/>
        <v>0</v>
      </c>
      <c r="BM7" s="15">
        <f t="shared" si="2"/>
        <v>0</v>
      </c>
      <c r="BN7" s="15">
        <f t="shared" si="2"/>
        <v>0</v>
      </c>
      <c r="BO7" s="15">
        <f t="shared" si="2"/>
        <v>0</v>
      </c>
      <c r="BP7" s="15">
        <f t="shared" si="2"/>
        <v>0</v>
      </c>
      <c r="BQ7" s="15">
        <f t="shared" si="2"/>
        <v>0</v>
      </c>
      <c r="BR7" s="15">
        <f t="shared" si="2"/>
        <v>0</v>
      </c>
      <c r="BS7" s="15">
        <f t="shared" si="2"/>
        <v>0</v>
      </c>
      <c r="BT7" s="15">
        <f t="shared" si="2"/>
        <v>0</v>
      </c>
    </row>
    <row r="8" spans="1:73" x14ac:dyDescent="0.3">
      <c r="A8" t="s">
        <v>305</v>
      </c>
      <c r="B8">
        <v>0.22</v>
      </c>
      <c r="M8" s="15">
        <f>M6*$B8</f>
        <v>9625</v>
      </c>
      <c r="N8" s="15">
        <f t="shared" ref="N8:BT8" si="3">N6*$B8</f>
        <v>9625</v>
      </c>
      <c r="O8" s="15">
        <f t="shared" si="3"/>
        <v>9625</v>
      </c>
      <c r="P8" s="15">
        <f t="shared" si="3"/>
        <v>9625</v>
      </c>
      <c r="Q8" s="15">
        <f t="shared" si="3"/>
        <v>9625</v>
      </c>
      <c r="R8" s="15">
        <f t="shared" si="3"/>
        <v>9625</v>
      </c>
      <c r="S8" s="15">
        <f t="shared" si="3"/>
        <v>9625</v>
      </c>
      <c r="T8" s="15">
        <f t="shared" si="3"/>
        <v>9625</v>
      </c>
      <c r="U8" s="15">
        <f t="shared" si="3"/>
        <v>10431.666666666666</v>
      </c>
      <c r="V8" s="15">
        <f t="shared" si="3"/>
        <v>10431.666666666666</v>
      </c>
      <c r="W8" s="15">
        <f t="shared" si="3"/>
        <v>10431.666666666666</v>
      </c>
      <c r="X8" s="15">
        <f t="shared" si="3"/>
        <v>10431.666666666666</v>
      </c>
      <c r="Y8" s="15">
        <f t="shared" si="3"/>
        <v>12979.999999999998</v>
      </c>
      <c r="Z8" s="15">
        <f t="shared" si="3"/>
        <v>12979.999999999998</v>
      </c>
      <c r="AA8" s="15">
        <f t="shared" si="3"/>
        <v>14996.666666666664</v>
      </c>
      <c r="AB8" s="15">
        <f t="shared" si="3"/>
        <v>19305</v>
      </c>
      <c r="AC8" s="15">
        <f t="shared" si="3"/>
        <v>19305</v>
      </c>
      <c r="AD8" s="15">
        <f t="shared" si="3"/>
        <v>19305</v>
      </c>
      <c r="AE8" s="15">
        <f t="shared" si="3"/>
        <v>19305</v>
      </c>
      <c r="AF8" s="15">
        <f t="shared" si="3"/>
        <v>19305</v>
      </c>
      <c r="AG8" s="15">
        <f t="shared" si="3"/>
        <v>19305</v>
      </c>
      <c r="AH8" s="15">
        <f t="shared" si="3"/>
        <v>19305</v>
      </c>
      <c r="AI8" s="15">
        <f t="shared" si="3"/>
        <v>19305</v>
      </c>
      <c r="AJ8" s="15">
        <f t="shared" si="3"/>
        <v>19305</v>
      </c>
      <c r="AK8" s="15">
        <f t="shared" si="3"/>
        <v>21853.333333333336</v>
      </c>
      <c r="AL8" s="15">
        <f t="shared" si="3"/>
        <v>21853.333333333336</v>
      </c>
      <c r="AM8" s="15">
        <f t="shared" si="3"/>
        <v>21853.333333333336</v>
      </c>
      <c r="AN8" s="15">
        <f t="shared" si="3"/>
        <v>21853.333333333336</v>
      </c>
      <c r="AO8" s="15">
        <f t="shared" si="3"/>
        <v>21853.333333333336</v>
      </c>
      <c r="AP8" s="15">
        <f t="shared" si="3"/>
        <v>21853.333333333336</v>
      </c>
      <c r="AQ8" s="15">
        <f t="shared" si="3"/>
        <v>21853.333333333336</v>
      </c>
      <c r="AR8" s="15">
        <f t="shared" si="3"/>
        <v>21853.333333333336</v>
      </c>
      <c r="AS8" s="15">
        <f t="shared" si="3"/>
        <v>21853.333333333336</v>
      </c>
      <c r="AT8" s="15">
        <f t="shared" si="3"/>
        <v>21853.333333333336</v>
      </c>
      <c r="AU8" s="15">
        <f t="shared" si="3"/>
        <v>21853.333333333336</v>
      </c>
      <c r="AV8" s="15">
        <f t="shared" si="3"/>
        <v>21853.333333333336</v>
      </c>
      <c r="AW8" s="15">
        <f t="shared" si="3"/>
        <v>29095</v>
      </c>
      <c r="AX8" s="15">
        <f t="shared" si="3"/>
        <v>29095</v>
      </c>
      <c r="AY8" s="15">
        <f t="shared" si="3"/>
        <v>29095</v>
      </c>
      <c r="AZ8" s="15">
        <f t="shared" si="3"/>
        <v>29095</v>
      </c>
      <c r="BA8" s="15">
        <f t="shared" si="3"/>
        <v>29095</v>
      </c>
      <c r="BB8" s="15">
        <f t="shared" si="3"/>
        <v>29095</v>
      </c>
      <c r="BC8" s="15">
        <f t="shared" si="3"/>
        <v>29095</v>
      </c>
      <c r="BD8" s="15">
        <f t="shared" si="3"/>
        <v>29095</v>
      </c>
      <c r="BE8" s="15">
        <f t="shared" si="3"/>
        <v>29095</v>
      </c>
      <c r="BF8" s="15">
        <f t="shared" si="3"/>
        <v>29095</v>
      </c>
      <c r="BG8" s="15">
        <f t="shared" si="3"/>
        <v>29095</v>
      </c>
      <c r="BH8" s="15">
        <f t="shared" si="3"/>
        <v>29095</v>
      </c>
      <c r="BI8" s="15">
        <f t="shared" si="3"/>
        <v>29095</v>
      </c>
      <c r="BJ8" s="15">
        <f t="shared" si="3"/>
        <v>29095</v>
      </c>
      <c r="BK8" s="15">
        <f t="shared" si="3"/>
        <v>29095</v>
      </c>
      <c r="BL8" s="15">
        <f t="shared" si="3"/>
        <v>29095</v>
      </c>
      <c r="BM8" s="15">
        <f t="shared" si="3"/>
        <v>29095</v>
      </c>
      <c r="BN8" s="15">
        <f t="shared" si="3"/>
        <v>29095</v>
      </c>
      <c r="BO8" s="15">
        <f t="shared" si="3"/>
        <v>29095</v>
      </c>
      <c r="BP8" s="15">
        <f t="shared" si="3"/>
        <v>29095</v>
      </c>
      <c r="BQ8" s="15">
        <f t="shared" si="3"/>
        <v>29095</v>
      </c>
      <c r="BR8" s="15">
        <f t="shared" si="3"/>
        <v>29095</v>
      </c>
      <c r="BS8" s="15">
        <f t="shared" si="3"/>
        <v>29095</v>
      </c>
      <c r="BT8" s="15">
        <f t="shared" si="3"/>
        <v>29095</v>
      </c>
      <c r="BU8" s="37"/>
    </row>
    <row r="9" spans="1:73" x14ac:dyDescent="0.3">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row>
    <row r="10" spans="1:73" x14ac:dyDescent="0.3">
      <c r="A10" t="s">
        <v>147</v>
      </c>
      <c r="M10" s="14">
        <v>2000</v>
      </c>
      <c r="N10" s="14">
        <v>2000</v>
      </c>
      <c r="O10" s="14">
        <v>2000</v>
      </c>
      <c r="P10" s="14">
        <v>2000</v>
      </c>
      <c r="Q10" s="14">
        <v>2000</v>
      </c>
      <c r="R10" s="14">
        <v>2000</v>
      </c>
      <c r="S10" s="14">
        <v>2000</v>
      </c>
      <c r="T10" s="14">
        <v>2000</v>
      </c>
      <c r="U10" s="14">
        <v>2000</v>
      </c>
      <c r="V10" s="14">
        <v>2000</v>
      </c>
      <c r="W10" s="14">
        <v>2000</v>
      </c>
      <c r="X10" s="14">
        <v>2000</v>
      </c>
      <c r="Y10" s="14">
        <v>2000</v>
      </c>
      <c r="Z10" s="14">
        <v>2000</v>
      </c>
      <c r="AA10" s="14">
        <v>2000</v>
      </c>
      <c r="AB10" s="14">
        <v>2000</v>
      </c>
      <c r="AC10" s="14">
        <v>5000</v>
      </c>
      <c r="AD10" s="14">
        <v>5000</v>
      </c>
      <c r="AE10" s="14">
        <v>5000</v>
      </c>
      <c r="AF10" s="14">
        <v>5000</v>
      </c>
      <c r="AG10" s="14">
        <v>5000</v>
      </c>
      <c r="AH10" s="14">
        <v>5000</v>
      </c>
      <c r="AI10" s="14">
        <v>10000</v>
      </c>
      <c r="AJ10" s="14">
        <v>10000</v>
      </c>
      <c r="AK10" s="14">
        <v>10000</v>
      </c>
      <c r="AL10" s="14">
        <v>10000</v>
      </c>
      <c r="AM10" s="14">
        <v>10000</v>
      </c>
      <c r="AN10" s="14">
        <v>10000</v>
      </c>
      <c r="AO10" s="14">
        <v>15000</v>
      </c>
      <c r="AP10" s="14">
        <v>15000</v>
      </c>
      <c r="AQ10" s="14">
        <v>15000</v>
      </c>
      <c r="AR10" s="14">
        <v>15000</v>
      </c>
      <c r="AS10" s="14">
        <v>15000</v>
      </c>
      <c r="AT10" s="14">
        <v>15000</v>
      </c>
      <c r="AU10" s="14">
        <v>15000</v>
      </c>
      <c r="AV10" s="14">
        <v>15000</v>
      </c>
      <c r="AW10" s="14">
        <v>15000</v>
      </c>
      <c r="AX10" s="14">
        <v>15000</v>
      </c>
      <c r="AY10" s="14">
        <v>15000</v>
      </c>
      <c r="AZ10" s="14">
        <v>15000</v>
      </c>
      <c r="BA10" s="14">
        <v>15000</v>
      </c>
      <c r="BB10" s="14">
        <v>15000</v>
      </c>
      <c r="BC10" s="14">
        <v>20000</v>
      </c>
      <c r="BD10" s="14">
        <v>20000</v>
      </c>
      <c r="BE10" s="14">
        <v>20000</v>
      </c>
      <c r="BF10" s="14">
        <v>20000</v>
      </c>
      <c r="BG10" s="14">
        <v>20000</v>
      </c>
      <c r="BH10" s="14">
        <v>20000</v>
      </c>
      <c r="BI10" s="14">
        <v>20000</v>
      </c>
      <c r="BJ10" s="14">
        <v>20000</v>
      </c>
      <c r="BK10" s="14">
        <v>20000</v>
      </c>
      <c r="BL10" s="14">
        <v>20000</v>
      </c>
      <c r="BM10" s="14">
        <v>20000</v>
      </c>
      <c r="BN10" s="14">
        <v>20000</v>
      </c>
      <c r="BO10" s="14">
        <v>20000</v>
      </c>
      <c r="BP10" s="14">
        <v>20000</v>
      </c>
      <c r="BQ10" s="14">
        <v>20000</v>
      </c>
      <c r="BR10" s="14">
        <v>20000</v>
      </c>
      <c r="BS10" s="14">
        <v>20000</v>
      </c>
      <c r="BT10" s="14">
        <v>20000</v>
      </c>
    </row>
    <row r="11" spans="1:73" x14ac:dyDescent="0.3">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row>
    <row r="12" spans="1:73" x14ac:dyDescent="0.3">
      <c r="A12" t="s">
        <v>191</v>
      </c>
      <c r="M12" s="14">
        <v>2000</v>
      </c>
      <c r="N12" s="14">
        <v>2000</v>
      </c>
      <c r="O12" s="14">
        <v>2000</v>
      </c>
      <c r="P12" s="14">
        <v>2000</v>
      </c>
      <c r="Q12" s="14">
        <v>2000</v>
      </c>
      <c r="R12" s="14">
        <v>2000</v>
      </c>
      <c r="S12" s="14">
        <v>2000</v>
      </c>
      <c r="T12" s="14">
        <v>2000</v>
      </c>
      <c r="U12" s="14">
        <v>2000</v>
      </c>
      <c r="V12" s="14">
        <v>2000</v>
      </c>
      <c r="W12" s="14">
        <v>2000</v>
      </c>
      <c r="X12" s="14">
        <v>2000</v>
      </c>
      <c r="Y12" s="14">
        <v>4000</v>
      </c>
      <c r="Z12" s="14">
        <v>4000</v>
      </c>
      <c r="AA12" s="14"/>
      <c r="AB12" s="14"/>
      <c r="AC12" s="14"/>
      <c r="AD12" s="14"/>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row>
    <row r="13" spans="1:73" x14ac:dyDescent="0.3">
      <c r="M13" s="14"/>
      <c r="N13" s="14"/>
      <c r="O13" s="14"/>
      <c r="P13" s="14"/>
      <c r="Q13" s="14"/>
      <c r="R13" s="14"/>
      <c r="S13" s="14"/>
      <c r="T13" s="14"/>
      <c r="U13" s="14"/>
      <c r="V13" s="14"/>
      <c r="W13" s="14"/>
      <c r="X13" s="14"/>
      <c r="Y13" s="14"/>
      <c r="Z13" s="14"/>
      <c r="AA13" s="14"/>
      <c r="AB13" s="14"/>
      <c r="AC13" s="14"/>
      <c r="AD13" s="14"/>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row>
    <row r="14" spans="1:73" x14ac:dyDescent="0.3">
      <c r="A14" t="s">
        <v>192</v>
      </c>
      <c r="M14" s="14">
        <f>100000/12</f>
        <v>8333.3333333333339</v>
      </c>
      <c r="N14" s="14">
        <f t="shared" ref="N14:X14" si="4">100000/12</f>
        <v>8333.3333333333339</v>
      </c>
      <c r="O14" s="14">
        <f t="shared" si="4"/>
        <v>8333.3333333333339</v>
      </c>
      <c r="P14" s="14">
        <f t="shared" si="4"/>
        <v>8333.3333333333339</v>
      </c>
      <c r="Q14" s="14">
        <f t="shared" si="4"/>
        <v>8333.3333333333339</v>
      </c>
      <c r="R14" s="14">
        <f t="shared" si="4"/>
        <v>8333.3333333333339</v>
      </c>
      <c r="S14" s="14">
        <f t="shared" si="4"/>
        <v>8333.3333333333339</v>
      </c>
      <c r="T14" s="14">
        <f t="shared" si="4"/>
        <v>8333.3333333333339</v>
      </c>
      <c r="U14" s="14">
        <f t="shared" si="4"/>
        <v>8333.3333333333339</v>
      </c>
      <c r="V14" s="14">
        <f t="shared" si="4"/>
        <v>8333.3333333333339</v>
      </c>
      <c r="W14" s="14">
        <f t="shared" si="4"/>
        <v>8333.3333333333339</v>
      </c>
      <c r="X14" s="14">
        <f t="shared" si="4"/>
        <v>8333.3333333333339</v>
      </c>
      <c r="Y14" s="14">
        <f>200000/12</f>
        <v>16666.666666666668</v>
      </c>
      <c r="Z14" s="14">
        <f t="shared" ref="Z14:AV14" si="5">200000/12</f>
        <v>16666.666666666668</v>
      </c>
      <c r="AA14" s="14">
        <f t="shared" si="5"/>
        <v>16666.666666666668</v>
      </c>
      <c r="AB14" s="14">
        <f t="shared" si="5"/>
        <v>16666.666666666668</v>
      </c>
      <c r="AC14" s="14">
        <f t="shared" si="5"/>
        <v>16666.666666666668</v>
      </c>
      <c r="AD14" s="14">
        <f t="shared" si="5"/>
        <v>16666.666666666668</v>
      </c>
      <c r="AE14" s="14">
        <f t="shared" si="5"/>
        <v>16666.666666666668</v>
      </c>
      <c r="AF14" s="14">
        <f t="shared" si="5"/>
        <v>16666.666666666668</v>
      </c>
      <c r="AG14" s="14">
        <f t="shared" si="5"/>
        <v>16666.666666666668</v>
      </c>
      <c r="AH14" s="14">
        <f t="shared" si="5"/>
        <v>16666.666666666668</v>
      </c>
      <c r="AI14" s="14">
        <f t="shared" si="5"/>
        <v>16666.666666666668</v>
      </c>
      <c r="AJ14" s="14">
        <f t="shared" si="5"/>
        <v>16666.666666666668</v>
      </c>
      <c r="AK14" s="14">
        <f t="shared" si="5"/>
        <v>16666.666666666668</v>
      </c>
      <c r="AL14" s="14">
        <f t="shared" si="5"/>
        <v>16666.666666666668</v>
      </c>
      <c r="AM14" s="14">
        <f t="shared" si="5"/>
        <v>16666.666666666668</v>
      </c>
      <c r="AN14" s="14">
        <f t="shared" si="5"/>
        <v>16666.666666666668</v>
      </c>
      <c r="AO14" s="14">
        <f t="shared" si="5"/>
        <v>16666.666666666668</v>
      </c>
      <c r="AP14" s="14">
        <f t="shared" si="5"/>
        <v>16666.666666666668</v>
      </c>
      <c r="AQ14" s="14">
        <f t="shared" si="5"/>
        <v>16666.666666666668</v>
      </c>
      <c r="AR14" s="14">
        <f t="shared" si="5"/>
        <v>16666.666666666668</v>
      </c>
      <c r="AS14" s="14">
        <f t="shared" si="5"/>
        <v>16666.666666666668</v>
      </c>
      <c r="AT14" s="14">
        <f t="shared" si="5"/>
        <v>16666.666666666668</v>
      </c>
      <c r="AU14" s="14">
        <f t="shared" si="5"/>
        <v>16666.666666666668</v>
      </c>
      <c r="AV14" s="14">
        <f t="shared" si="5"/>
        <v>16666.666666666668</v>
      </c>
      <c r="AW14" s="14">
        <f>500000/12</f>
        <v>41666.666666666664</v>
      </c>
      <c r="AX14" s="14">
        <f t="shared" ref="AX14:BT14" si="6">500000/12</f>
        <v>41666.666666666664</v>
      </c>
      <c r="AY14" s="14">
        <f t="shared" si="6"/>
        <v>41666.666666666664</v>
      </c>
      <c r="AZ14" s="14">
        <f t="shared" si="6"/>
        <v>41666.666666666664</v>
      </c>
      <c r="BA14" s="14">
        <f t="shared" si="6"/>
        <v>41666.666666666664</v>
      </c>
      <c r="BB14" s="14">
        <f t="shared" si="6"/>
        <v>41666.666666666664</v>
      </c>
      <c r="BC14" s="14">
        <f t="shared" si="6"/>
        <v>41666.666666666664</v>
      </c>
      <c r="BD14" s="14">
        <f t="shared" si="6"/>
        <v>41666.666666666664</v>
      </c>
      <c r="BE14" s="14">
        <f t="shared" si="6"/>
        <v>41666.666666666664</v>
      </c>
      <c r="BF14" s="14">
        <f t="shared" si="6"/>
        <v>41666.666666666664</v>
      </c>
      <c r="BG14" s="14">
        <f t="shared" si="6"/>
        <v>41666.666666666664</v>
      </c>
      <c r="BH14" s="14">
        <f t="shared" si="6"/>
        <v>41666.666666666664</v>
      </c>
      <c r="BI14" s="14">
        <f t="shared" si="6"/>
        <v>41666.666666666664</v>
      </c>
      <c r="BJ14" s="14">
        <f t="shared" si="6"/>
        <v>41666.666666666664</v>
      </c>
      <c r="BK14" s="14">
        <f t="shared" si="6"/>
        <v>41666.666666666664</v>
      </c>
      <c r="BL14" s="14">
        <f t="shared" si="6"/>
        <v>41666.666666666664</v>
      </c>
      <c r="BM14" s="14">
        <f t="shared" si="6"/>
        <v>41666.666666666664</v>
      </c>
      <c r="BN14" s="14">
        <f t="shared" si="6"/>
        <v>41666.666666666664</v>
      </c>
      <c r="BO14" s="14">
        <f t="shared" si="6"/>
        <v>41666.666666666664</v>
      </c>
      <c r="BP14" s="14">
        <f t="shared" si="6"/>
        <v>41666.666666666664</v>
      </c>
      <c r="BQ14" s="14">
        <f t="shared" si="6"/>
        <v>41666.666666666664</v>
      </c>
      <c r="BR14" s="14">
        <f t="shared" si="6"/>
        <v>41666.666666666664</v>
      </c>
      <c r="BS14" s="14">
        <f t="shared" si="6"/>
        <v>41666.666666666664</v>
      </c>
      <c r="BT14" s="14">
        <f t="shared" si="6"/>
        <v>41666.666666666664</v>
      </c>
    </row>
    <row r="15" spans="1:73" x14ac:dyDescent="0.3">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row>
    <row r="16" spans="1:73" x14ac:dyDescent="0.3">
      <c r="A16" t="s">
        <v>193</v>
      </c>
      <c r="M16" s="15">
        <f>7000/12</f>
        <v>583.33333333333337</v>
      </c>
      <c r="N16" s="15">
        <f t="shared" ref="N16:W16" si="7">7000/12</f>
        <v>583.33333333333337</v>
      </c>
      <c r="O16" s="15">
        <f t="shared" si="7"/>
        <v>583.33333333333337</v>
      </c>
      <c r="P16" s="15">
        <f t="shared" si="7"/>
        <v>583.33333333333337</v>
      </c>
      <c r="Q16" s="15">
        <f t="shared" si="7"/>
        <v>583.33333333333337</v>
      </c>
      <c r="R16" s="15">
        <f t="shared" si="7"/>
        <v>583.33333333333337</v>
      </c>
      <c r="S16" s="15">
        <f t="shared" si="7"/>
        <v>583.33333333333337</v>
      </c>
      <c r="T16" s="15">
        <f t="shared" si="7"/>
        <v>583.33333333333337</v>
      </c>
      <c r="U16" s="15">
        <f t="shared" si="7"/>
        <v>583.33333333333337</v>
      </c>
      <c r="V16" s="15">
        <f t="shared" si="7"/>
        <v>583.33333333333337</v>
      </c>
      <c r="W16" s="15">
        <f t="shared" si="7"/>
        <v>583.33333333333337</v>
      </c>
      <c r="X16" s="15">
        <f>20000/12</f>
        <v>1666.6666666666667</v>
      </c>
      <c r="Y16" s="15">
        <f t="shared" ref="Y16:AV16" si="8">20000/12</f>
        <v>1666.6666666666667</v>
      </c>
      <c r="Z16" s="15">
        <f t="shared" si="8"/>
        <v>1666.6666666666667</v>
      </c>
      <c r="AA16" s="15">
        <f t="shared" si="8"/>
        <v>1666.6666666666667</v>
      </c>
      <c r="AB16" s="15">
        <f t="shared" si="8"/>
        <v>1666.6666666666667</v>
      </c>
      <c r="AC16" s="15">
        <f t="shared" si="8"/>
        <v>1666.6666666666667</v>
      </c>
      <c r="AD16" s="15">
        <f t="shared" si="8"/>
        <v>1666.6666666666667</v>
      </c>
      <c r="AE16" s="15">
        <f t="shared" si="8"/>
        <v>1666.6666666666667</v>
      </c>
      <c r="AF16" s="15">
        <f t="shared" si="8"/>
        <v>1666.6666666666667</v>
      </c>
      <c r="AG16" s="15">
        <f t="shared" si="8"/>
        <v>1666.6666666666667</v>
      </c>
      <c r="AH16" s="15">
        <f t="shared" si="8"/>
        <v>1666.6666666666667</v>
      </c>
      <c r="AI16" s="15">
        <f t="shared" si="8"/>
        <v>1666.6666666666667</v>
      </c>
      <c r="AJ16" s="15">
        <f t="shared" si="8"/>
        <v>1666.6666666666667</v>
      </c>
      <c r="AK16" s="15">
        <f t="shared" si="8"/>
        <v>1666.6666666666667</v>
      </c>
      <c r="AL16" s="15">
        <f t="shared" si="8"/>
        <v>1666.6666666666667</v>
      </c>
      <c r="AM16" s="15">
        <f t="shared" si="8"/>
        <v>1666.6666666666667</v>
      </c>
      <c r="AN16" s="15">
        <f t="shared" si="8"/>
        <v>1666.6666666666667</v>
      </c>
      <c r="AO16" s="15">
        <f t="shared" si="8"/>
        <v>1666.6666666666667</v>
      </c>
      <c r="AP16" s="15">
        <f t="shared" si="8"/>
        <v>1666.6666666666667</v>
      </c>
      <c r="AQ16" s="15">
        <f t="shared" si="8"/>
        <v>1666.6666666666667</v>
      </c>
      <c r="AR16" s="15">
        <f t="shared" si="8"/>
        <v>1666.6666666666667</v>
      </c>
      <c r="AS16" s="15">
        <f t="shared" si="8"/>
        <v>1666.6666666666667</v>
      </c>
      <c r="AT16" s="15">
        <f t="shared" si="8"/>
        <v>1666.6666666666667</v>
      </c>
      <c r="AU16" s="15">
        <f t="shared" si="8"/>
        <v>1666.6666666666667</v>
      </c>
      <c r="AV16" s="15">
        <f t="shared" si="8"/>
        <v>1666.6666666666667</v>
      </c>
      <c r="AW16" s="15">
        <f>40000/12</f>
        <v>3333.3333333333335</v>
      </c>
      <c r="AX16" s="15">
        <f t="shared" ref="AX16:BT16" si="9">40000/12</f>
        <v>3333.3333333333335</v>
      </c>
      <c r="AY16" s="15">
        <f t="shared" si="9"/>
        <v>3333.3333333333335</v>
      </c>
      <c r="AZ16" s="15">
        <f t="shared" si="9"/>
        <v>3333.3333333333335</v>
      </c>
      <c r="BA16" s="15">
        <f t="shared" si="9"/>
        <v>3333.3333333333335</v>
      </c>
      <c r="BB16" s="15">
        <f t="shared" si="9"/>
        <v>3333.3333333333335</v>
      </c>
      <c r="BC16" s="15">
        <f t="shared" si="9"/>
        <v>3333.3333333333335</v>
      </c>
      <c r="BD16" s="15">
        <f t="shared" si="9"/>
        <v>3333.3333333333335</v>
      </c>
      <c r="BE16" s="15">
        <f t="shared" si="9"/>
        <v>3333.3333333333335</v>
      </c>
      <c r="BF16" s="15">
        <f t="shared" si="9"/>
        <v>3333.3333333333335</v>
      </c>
      <c r="BG16" s="15">
        <f t="shared" si="9"/>
        <v>3333.3333333333335</v>
      </c>
      <c r="BH16" s="15">
        <f t="shared" si="9"/>
        <v>3333.3333333333335</v>
      </c>
      <c r="BI16" s="15">
        <f t="shared" si="9"/>
        <v>3333.3333333333335</v>
      </c>
      <c r="BJ16" s="15">
        <f t="shared" si="9"/>
        <v>3333.3333333333335</v>
      </c>
      <c r="BK16" s="15">
        <f t="shared" si="9"/>
        <v>3333.3333333333335</v>
      </c>
      <c r="BL16" s="15">
        <f t="shared" si="9"/>
        <v>3333.3333333333335</v>
      </c>
      <c r="BM16" s="15">
        <f t="shared" si="9"/>
        <v>3333.3333333333335</v>
      </c>
      <c r="BN16" s="15">
        <f t="shared" si="9"/>
        <v>3333.3333333333335</v>
      </c>
      <c r="BO16" s="15">
        <f t="shared" si="9"/>
        <v>3333.3333333333335</v>
      </c>
      <c r="BP16" s="15">
        <f t="shared" si="9"/>
        <v>3333.3333333333335</v>
      </c>
      <c r="BQ16" s="15">
        <f t="shared" si="9"/>
        <v>3333.3333333333335</v>
      </c>
      <c r="BR16" s="15">
        <f t="shared" si="9"/>
        <v>3333.3333333333335</v>
      </c>
      <c r="BS16" s="15">
        <f t="shared" si="9"/>
        <v>3333.3333333333335</v>
      </c>
      <c r="BT16" s="15">
        <f t="shared" si="9"/>
        <v>3333.3333333333335</v>
      </c>
    </row>
    <row r="17" spans="1:72" x14ac:dyDescent="0.3">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row>
    <row r="18" spans="1:72" x14ac:dyDescent="0.3">
      <c r="A18" s="28" t="s">
        <v>194</v>
      </c>
      <c r="M18" s="14">
        <v>2500</v>
      </c>
      <c r="N18" s="14">
        <v>2500</v>
      </c>
      <c r="O18" s="14">
        <v>2500</v>
      </c>
      <c r="P18" s="14">
        <v>2500</v>
      </c>
      <c r="Q18" s="14">
        <v>2500</v>
      </c>
      <c r="R18" s="14">
        <v>2500</v>
      </c>
      <c r="S18" s="14">
        <v>2500</v>
      </c>
      <c r="T18" s="14">
        <v>2500</v>
      </c>
      <c r="U18" s="14">
        <v>2500</v>
      </c>
      <c r="V18" s="14">
        <v>2500</v>
      </c>
      <c r="W18" s="14">
        <v>2500</v>
      </c>
      <c r="X18" s="14">
        <v>5000</v>
      </c>
      <c r="Y18" s="14">
        <v>5000</v>
      </c>
      <c r="Z18" s="14">
        <v>5000</v>
      </c>
      <c r="AA18" s="14">
        <v>5000</v>
      </c>
      <c r="AB18" s="14">
        <v>5000</v>
      </c>
      <c r="AC18" s="14">
        <v>5000</v>
      </c>
      <c r="AD18" s="14">
        <v>5000</v>
      </c>
      <c r="AE18" s="14">
        <v>5000</v>
      </c>
      <c r="AF18" s="14">
        <v>5000</v>
      </c>
      <c r="AG18" s="14">
        <v>5000</v>
      </c>
      <c r="AH18" s="14">
        <v>5000</v>
      </c>
      <c r="AI18" s="14">
        <v>5000</v>
      </c>
      <c r="AJ18" s="14">
        <v>10000</v>
      </c>
      <c r="AK18" s="14">
        <v>10000</v>
      </c>
      <c r="AL18" s="14">
        <v>10000</v>
      </c>
      <c r="AM18" s="14">
        <v>10000</v>
      </c>
      <c r="AN18" s="14">
        <v>10000</v>
      </c>
      <c r="AO18" s="14">
        <v>10000</v>
      </c>
      <c r="AP18" s="14">
        <v>10000</v>
      </c>
      <c r="AQ18" s="14">
        <v>10000</v>
      </c>
      <c r="AR18" s="14">
        <v>10000</v>
      </c>
      <c r="AS18" s="14">
        <v>10000</v>
      </c>
      <c r="AT18" s="14">
        <v>10000</v>
      </c>
      <c r="AU18" s="14">
        <v>10000</v>
      </c>
      <c r="AV18" s="14">
        <v>10000</v>
      </c>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row>
    <row r="19" spans="1:72" x14ac:dyDescent="0.3">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row>
    <row r="20" spans="1:72" x14ac:dyDescent="0.3">
      <c r="A20" t="s">
        <v>195</v>
      </c>
      <c r="M20" s="14">
        <v>200</v>
      </c>
      <c r="N20" s="14">
        <v>200</v>
      </c>
      <c r="O20" s="14">
        <v>200</v>
      </c>
      <c r="P20" s="14">
        <v>200</v>
      </c>
      <c r="Q20" s="14">
        <v>200</v>
      </c>
      <c r="R20" s="14">
        <v>200</v>
      </c>
      <c r="S20" s="14">
        <v>200</v>
      </c>
      <c r="T20" s="14">
        <v>200</v>
      </c>
      <c r="U20" s="14">
        <v>200</v>
      </c>
      <c r="V20" s="14">
        <v>200</v>
      </c>
      <c r="W20" s="14">
        <v>200</v>
      </c>
      <c r="X20" s="14">
        <v>200</v>
      </c>
      <c r="Y20" s="14">
        <v>200</v>
      </c>
      <c r="Z20" s="14">
        <v>200</v>
      </c>
      <c r="AA20" s="14">
        <v>200</v>
      </c>
      <c r="AB20" s="14">
        <v>200</v>
      </c>
      <c r="AC20" s="14">
        <v>200</v>
      </c>
      <c r="AD20" s="14">
        <v>200</v>
      </c>
      <c r="AE20" s="14">
        <v>200</v>
      </c>
      <c r="AF20" s="14">
        <v>200</v>
      </c>
      <c r="AG20" s="14">
        <v>200</v>
      </c>
      <c r="AH20" s="14">
        <v>200</v>
      </c>
      <c r="AI20" s="14">
        <v>200</v>
      </c>
      <c r="AJ20" s="14">
        <v>200</v>
      </c>
      <c r="AK20" s="14">
        <v>200</v>
      </c>
      <c r="AL20" s="14">
        <v>200</v>
      </c>
      <c r="AM20" s="14">
        <v>200</v>
      </c>
      <c r="AN20" s="14">
        <v>200</v>
      </c>
      <c r="AO20" s="14">
        <v>200</v>
      </c>
      <c r="AP20" s="14">
        <v>200</v>
      </c>
      <c r="AQ20" s="14">
        <v>200</v>
      </c>
      <c r="AR20" s="14">
        <v>200</v>
      </c>
      <c r="AS20" s="14">
        <v>200</v>
      </c>
      <c r="AT20" s="14">
        <v>200</v>
      </c>
      <c r="AU20" s="14">
        <v>200</v>
      </c>
      <c r="AV20" s="14">
        <v>200</v>
      </c>
      <c r="AW20" s="14">
        <v>200</v>
      </c>
      <c r="AX20" s="14">
        <v>200</v>
      </c>
      <c r="AY20" s="14">
        <v>200</v>
      </c>
      <c r="AZ20" s="14">
        <v>200</v>
      </c>
      <c r="BA20" s="14">
        <v>200</v>
      </c>
      <c r="BB20" s="14">
        <v>200</v>
      </c>
      <c r="BC20" s="14">
        <v>200</v>
      </c>
      <c r="BD20" s="14">
        <v>200</v>
      </c>
      <c r="BE20" s="14">
        <v>200</v>
      </c>
      <c r="BF20" s="14">
        <v>200</v>
      </c>
      <c r="BG20" s="14">
        <v>200</v>
      </c>
      <c r="BH20" s="14">
        <v>200</v>
      </c>
      <c r="BI20" s="14">
        <v>200</v>
      </c>
      <c r="BJ20" s="14">
        <v>200</v>
      </c>
      <c r="BK20" s="14">
        <v>200</v>
      </c>
      <c r="BL20" s="14">
        <v>200</v>
      </c>
      <c r="BM20" s="14">
        <v>200</v>
      </c>
      <c r="BN20" s="14">
        <v>200</v>
      </c>
      <c r="BO20" s="14">
        <v>200</v>
      </c>
      <c r="BP20" s="14">
        <v>200</v>
      </c>
      <c r="BQ20" s="14">
        <v>200</v>
      </c>
      <c r="BR20" s="14">
        <v>200</v>
      </c>
      <c r="BS20" s="14">
        <v>200</v>
      </c>
      <c r="BT20" s="14">
        <v>200</v>
      </c>
    </row>
    <row r="21" spans="1:72" x14ac:dyDescent="0.3">
      <c r="A21" t="s">
        <v>196</v>
      </c>
      <c r="M21" s="14">
        <v>500</v>
      </c>
      <c r="N21" s="14">
        <v>500</v>
      </c>
      <c r="O21" s="14">
        <v>500</v>
      </c>
      <c r="P21" s="14">
        <v>500</v>
      </c>
      <c r="Q21" s="14">
        <v>500</v>
      </c>
      <c r="R21" s="14">
        <v>500</v>
      </c>
      <c r="S21" s="14">
        <v>500</v>
      </c>
      <c r="T21" s="14">
        <v>500</v>
      </c>
      <c r="U21" s="14">
        <v>500</v>
      </c>
      <c r="V21" s="14">
        <v>500</v>
      </c>
      <c r="W21" s="14">
        <v>500</v>
      </c>
      <c r="X21" s="14">
        <v>500</v>
      </c>
      <c r="Y21" s="14">
        <v>500</v>
      </c>
      <c r="Z21" s="14">
        <v>500</v>
      </c>
      <c r="AA21" s="14">
        <v>500</v>
      </c>
      <c r="AB21" s="14">
        <v>500</v>
      </c>
      <c r="AC21" s="14">
        <v>500</v>
      </c>
      <c r="AD21" s="14">
        <v>500</v>
      </c>
      <c r="AE21" s="14">
        <v>500</v>
      </c>
      <c r="AF21" s="14">
        <v>500</v>
      </c>
      <c r="AG21" s="14">
        <v>500</v>
      </c>
      <c r="AH21" s="14">
        <v>500</v>
      </c>
      <c r="AI21" s="14">
        <v>500</v>
      </c>
      <c r="AJ21" s="14">
        <v>500</v>
      </c>
      <c r="AK21" s="14">
        <v>500</v>
      </c>
      <c r="AL21" s="14">
        <v>500</v>
      </c>
      <c r="AM21" s="14">
        <v>500</v>
      </c>
      <c r="AN21" s="14">
        <v>500</v>
      </c>
      <c r="AO21" s="14">
        <v>500</v>
      </c>
      <c r="AP21" s="14">
        <v>500</v>
      </c>
      <c r="AQ21" s="14">
        <v>500</v>
      </c>
      <c r="AR21" s="14">
        <v>500</v>
      </c>
      <c r="AS21" s="14">
        <v>500</v>
      </c>
      <c r="AT21" s="14">
        <v>500</v>
      </c>
      <c r="AU21" s="14">
        <v>500</v>
      </c>
      <c r="AV21" s="14">
        <v>500</v>
      </c>
      <c r="AW21" s="14">
        <v>500</v>
      </c>
      <c r="AX21" s="14">
        <v>500</v>
      </c>
      <c r="AY21" s="14">
        <v>500</v>
      </c>
      <c r="AZ21" s="14">
        <v>500</v>
      </c>
      <c r="BA21" s="14">
        <v>500</v>
      </c>
      <c r="BB21" s="14">
        <v>500</v>
      </c>
      <c r="BC21" s="14">
        <v>500</v>
      </c>
      <c r="BD21" s="14">
        <v>500</v>
      </c>
      <c r="BE21" s="14">
        <v>500</v>
      </c>
      <c r="BF21" s="14">
        <v>500</v>
      </c>
      <c r="BG21" s="14">
        <v>500</v>
      </c>
      <c r="BH21" s="14">
        <v>500</v>
      </c>
      <c r="BI21" s="14">
        <v>500</v>
      </c>
      <c r="BJ21" s="14">
        <v>500</v>
      </c>
      <c r="BK21" s="14">
        <v>500</v>
      </c>
      <c r="BL21" s="14">
        <v>500</v>
      </c>
      <c r="BM21" s="14">
        <v>500</v>
      </c>
      <c r="BN21" s="14">
        <v>500</v>
      </c>
      <c r="BO21" s="14">
        <v>500</v>
      </c>
      <c r="BP21" s="14">
        <v>500</v>
      </c>
      <c r="BQ21" s="14">
        <v>500</v>
      </c>
      <c r="BR21" s="14">
        <v>500</v>
      </c>
      <c r="BS21" s="14">
        <v>500</v>
      </c>
      <c r="BT21" s="14">
        <v>500</v>
      </c>
    </row>
    <row r="22" spans="1:72" x14ac:dyDescent="0.3">
      <c r="A22" t="s">
        <v>197</v>
      </c>
      <c r="M22" s="14">
        <v>500</v>
      </c>
      <c r="N22" s="14">
        <v>500</v>
      </c>
      <c r="O22" s="14">
        <v>500</v>
      </c>
      <c r="P22" s="14">
        <v>500</v>
      </c>
      <c r="Q22" s="14">
        <v>500</v>
      </c>
      <c r="R22" s="14">
        <v>500</v>
      </c>
      <c r="S22" s="14">
        <v>500</v>
      </c>
      <c r="T22" s="14">
        <v>500</v>
      </c>
      <c r="U22" s="14">
        <v>500</v>
      </c>
      <c r="V22" s="14">
        <v>500</v>
      </c>
      <c r="W22" s="14">
        <v>500</v>
      </c>
      <c r="X22" s="14">
        <v>500</v>
      </c>
      <c r="Y22" s="14">
        <v>500</v>
      </c>
      <c r="Z22" s="14">
        <v>500</v>
      </c>
      <c r="AA22" s="14">
        <v>500</v>
      </c>
      <c r="AB22" s="14">
        <v>500</v>
      </c>
      <c r="AC22" s="14">
        <v>500</v>
      </c>
      <c r="AD22" s="14">
        <v>500</v>
      </c>
      <c r="AE22" s="14">
        <v>500</v>
      </c>
      <c r="AF22" s="14">
        <v>500</v>
      </c>
      <c r="AG22" s="14">
        <v>500</v>
      </c>
      <c r="AH22" s="14">
        <v>500</v>
      </c>
      <c r="AI22" s="14">
        <v>500</v>
      </c>
      <c r="AJ22" s="14">
        <v>500</v>
      </c>
      <c r="AK22" s="14">
        <v>500</v>
      </c>
      <c r="AL22" s="14">
        <v>500</v>
      </c>
      <c r="AM22" s="14">
        <v>500</v>
      </c>
      <c r="AN22" s="14">
        <v>500</v>
      </c>
      <c r="AO22" s="14">
        <v>500</v>
      </c>
      <c r="AP22" s="14">
        <v>500</v>
      </c>
      <c r="AQ22" s="14">
        <v>500</v>
      </c>
      <c r="AR22" s="14">
        <v>500</v>
      </c>
      <c r="AS22" s="14">
        <v>500</v>
      </c>
      <c r="AT22" s="14">
        <v>500</v>
      </c>
      <c r="AU22" s="14">
        <v>500</v>
      </c>
      <c r="AV22" s="14">
        <v>500</v>
      </c>
      <c r="AW22" s="14">
        <v>500</v>
      </c>
      <c r="AX22" s="14">
        <v>500</v>
      </c>
      <c r="AY22" s="14">
        <v>500</v>
      </c>
      <c r="AZ22" s="14">
        <v>500</v>
      </c>
      <c r="BA22" s="14">
        <v>500</v>
      </c>
      <c r="BB22" s="14">
        <v>500</v>
      </c>
      <c r="BC22" s="14">
        <v>500</v>
      </c>
      <c r="BD22" s="14">
        <v>500</v>
      </c>
      <c r="BE22" s="14">
        <v>500</v>
      </c>
      <c r="BF22" s="14">
        <v>500</v>
      </c>
      <c r="BG22" s="14">
        <v>500</v>
      </c>
      <c r="BH22" s="14">
        <v>500</v>
      </c>
      <c r="BI22" s="14">
        <v>500</v>
      </c>
      <c r="BJ22" s="14">
        <v>500</v>
      </c>
      <c r="BK22" s="14">
        <v>500</v>
      </c>
      <c r="BL22" s="14">
        <v>500</v>
      </c>
      <c r="BM22" s="14">
        <v>500</v>
      </c>
      <c r="BN22" s="14">
        <v>500</v>
      </c>
      <c r="BO22" s="14">
        <v>500</v>
      </c>
      <c r="BP22" s="14">
        <v>500</v>
      </c>
      <c r="BQ22" s="14">
        <v>500</v>
      </c>
      <c r="BR22" s="14">
        <v>500</v>
      </c>
      <c r="BS22" s="14">
        <v>500</v>
      </c>
      <c r="BT22" s="14">
        <v>500</v>
      </c>
    </row>
    <row r="23" spans="1:72" x14ac:dyDescent="0.3">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row>
    <row r="25" spans="1:72" ht="15" thickBot="1" x14ac:dyDescent="0.35">
      <c r="A25" t="s">
        <v>198</v>
      </c>
      <c r="M25" s="92">
        <f t="shared" ref="M25:AR25" ca="1" si="10">SUM(M6:M29)</f>
        <v>98741.666666666657</v>
      </c>
      <c r="N25" s="92">
        <f t="shared" ca="1" si="10"/>
        <v>98741.666666666657</v>
      </c>
      <c r="O25" s="92">
        <f t="shared" ca="1" si="10"/>
        <v>98741.666666666657</v>
      </c>
      <c r="P25" s="92">
        <f t="shared" ca="1" si="10"/>
        <v>98741.666666666657</v>
      </c>
      <c r="Q25" s="92">
        <f t="shared" ca="1" si="10"/>
        <v>98741.666666666657</v>
      </c>
      <c r="R25" s="92">
        <f t="shared" ca="1" si="10"/>
        <v>98741.666666666657</v>
      </c>
      <c r="S25" s="92">
        <f t="shared" ca="1" si="10"/>
        <v>98741.666666666657</v>
      </c>
      <c r="T25" s="92">
        <f t="shared" ca="1" si="10"/>
        <v>98741.666666666657</v>
      </c>
      <c r="U25" s="92">
        <f t="shared" ca="1" si="10"/>
        <v>103214.99999999999</v>
      </c>
      <c r="V25" s="92">
        <f t="shared" ca="1" si="10"/>
        <v>103214.99999999999</v>
      </c>
      <c r="W25" s="92">
        <f t="shared" ca="1" si="10"/>
        <v>103214.99999999999</v>
      </c>
      <c r="X25" s="92">
        <f t="shared" ca="1" si="10"/>
        <v>106798.33333333333</v>
      </c>
      <c r="Y25" s="92">
        <f t="shared" ca="1" si="10"/>
        <v>131263.33333333334</v>
      </c>
      <c r="Z25" s="92">
        <f t="shared" ca="1" si="10"/>
        <v>131263.33333333334</v>
      </c>
      <c r="AA25" s="92">
        <f t="shared" ca="1" si="10"/>
        <v>138446.66666666666</v>
      </c>
      <c r="AB25" s="92">
        <f t="shared" ca="1" si="10"/>
        <v>162338.33333333331</v>
      </c>
      <c r="AC25" s="92">
        <f t="shared" ca="1" si="10"/>
        <v>165338.33333333331</v>
      </c>
      <c r="AD25" s="92">
        <f t="shared" ca="1" si="10"/>
        <v>165338.33333333331</v>
      </c>
      <c r="AE25" s="92">
        <f t="shared" ca="1" si="10"/>
        <v>165338.33333333331</v>
      </c>
      <c r="AF25" s="92">
        <f t="shared" ca="1" si="10"/>
        <v>165338.33333333331</v>
      </c>
      <c r="AG25" s="92">
        <f t="shared" ca="1" si="10"/>
        <v>164588.33333333334</v>
      </c>
      <c r="AH25" s="92">
        <f t="shared" ca="1" si="10"/>
        <v>164588.33333333334</v>
      </c>
      <c r="AI25" s="92">
        <f t="shared" ca="1" si="10"/>
        <v>169588.33333333331</v>
      </c>
      <c r="AJ25" s="92">
        <f t="shared" ca="1" si="10"/>
        <v>174588.33333333331</v>
      </c>
      <c r="AK25" s="92">
        <f t="shared" ca="1" si="10"/>
        <v>188720</v>
      </c>
      <c r="AL25" s="92">
        <f t="shared" ca="1" si="10"/>
        <v>188720</v>
      </c>
      <c r="AM25" s="92">
        <f t="shared" ca="1" si="10"/>
        <v>188720</v>
      </c>
      <c r="AN25" s="92">
        <f t="shared" ca="1" si="10"/>
        <v>188720</v>
      </c>
      <c r="AO25" s="92">
        <f t="shared" ca="1" si="10"/>
        <v>193720</v>
      </c>
      <c r="AP25" s="92">
        <f t="shared" ca="1" si="10"/>
        <v>193720</v>
      </c>
      <c r="AQ25" s="92">
        <f t="shared" ca="1" si="10"/>
        <v>193720</v>
      </c>
      <c r="AR25" s="92">
        <f t="shared" ca="1" si="10"/>
        <v>193720</v>
      </c>
      <c r="AS25" s="92">
        <f t="shared" ref="AS25:BT25" ca="1" si="11">SUM(AS6:AS29)</f>
        <v>193720</v>
      </c>
      <c r="AT25" s="92">
        <f t="shared" ca="1" si="11"/>
        <v>193720</v>
      </c>
      <c r="AU25" s="92">
        <f t="shared" ca="1" si="11"/>
        <v>193720</v>
      </c>
      <c r="AV25" s="92">
        <f t="shared" ca="1" si="11"/>
        <v>193720</v>
      </c>
      <c r="AW25" s="92">
        <f t="shared" ca="1" si="11"/>
        <v>250545</v>
      </c>
      <c r="AX25" s="92">
        <f t="shared" ca="1" si="11"/>
        <v>250545</v>
      </c>
      <c r="AY25" s="92">
        <f t="shared" ca="1" si="11"/>
        <v>250545</v>
      </c>
      <c r="AZ25" s="92">
        <f t="shared" ca="1" si="11"/>
        <v>250545</v>
      </c>
      <c r="BA25" s="92">
        <f t="shared" ca="1" si="11"/>
        <v>237545</v>
      </c>
      <c r="BB25" s="92">
        <f t="shared" ca="1" si="11"/>
        <v>222545</v>
      </c>
      <c r="BC25" s="92">
        <f t="shared" ca="1" si="11"/>
        <v>227545</v>
      </c>
      <c r="BD25" s="92">
        <f t="shared" ca="1" si="11"/>
        <v>227545</v>
      </c>
      <c r="BE25" s="92">
        <f t="shared" ca="1" si="11"/>
        <v>227545</v>
      </c>
      <c r="BF25" s="92">
        <f t="shared" ca="1" si="11"/>
        <v>227545</v>
      </c>
      <c r="BG25" s="92">
        <f t="shared" ca="1" si="11"/>
        <v>227545</v>
      </c>
      <c r="BH25" s="92">
        <f t="shared" ca="1" si="11"/>
        <v>227545</v>
      </c>
      <c r="BI25" s="92">
        <f t="shared" ca="1" si="11"/>
        <v>227545</v>
      </c>
      <c r="BJ25" s="92">
        <f t="shared" ca="1" si="11"/>
        <v>227545</v>
      </c>
      <c r="BK25" s="92">
        <f t="shared" ca="1" si="11"/>
        <v>227545</v>
      </c>
      <c r="BL25" s="92">
        <f t="shared" ca="1" si="11"/>
        <v>227545</v>
      </c>
      <c r="BM25" s="92">
        <f t="shared" ca="1" si="11"/>
        <v>227545</v>
      </c>
      <c r="BN25" s="92">
        <f t="shared" ca="1" si="11"/>
        <v>227545</v>
      </c>
      <c r="BO25" s="92">
        <f t="shared" ca="1" si="11"/>
        <v>227545</v>
      </c>
      <c r="BP25" s="92">
        <f t="shared" ca="1" si="11"/>
        <v>227545</v>
      </c>
      <c r="BQ25" s="92">
        <f t="shared" ca="1" si="11"/>
        <v>227545</v>
      </c>
      <c r="BR25" s="92">
        <f t="shared" ca="1" si="11"/>
        <v>227545</v>
      </c>
      <c r="BS25" s="92">
        <f t="shared" ca="1" si="11"/>
        <v>227545</v>
      </c>
      <c r="BT25" s="92">
        <f t="shared" ca="1" si="11"/>
        <v>227545</v>
      </c>
    </row>
    <row r="26" spans="1:72" x14ac:dyDescent="0.3">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row>
    <row r="27" spans="1:72" x14ac:dyDescent="0.3">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row>
    <row r="28" spans="1:72" x14ac:dyDescent="0.3">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row>
    <row r="29" spans="1:72" x14ac:dyDescent="0.3">
      <c r="A29" t="s">
        <v>307</v>
      </c>
      <c r="M29" s="14"/>
      <c r="N29" s="14"/>
      <c r="O29" s="14"/>
      <c r="P29" s="14"/>
      <c r="Q29" s="14"/>
      <c r="R29" s="14"/>
      <c r="S29" s="14"/>
      <c r="T29" s="14"/>
      <c r="U29" s="14"/>
      <c r="V29" s="14"/>
      <c r="W29" s="14"/>
      <c r="X29" s="14"/>
      <c r="Y29" s="14"/>
      <c r="Z29" s="14"/>
      <c r="AA29" s="14"/>
      <c r="AB29" s="14"/>
      <c r="AC29" s="14"/>
      <c r="AD29" s="14"/>
      <c r="AE29" s="14"/>
      <c r="AF29" s="14"/>
      <c r="AG29" s="14">
        <v>28000</v>
      </c>
      <c r="AH29" s="14">
        <v>28000</v>
      </c>
      <c r="AI29" s="14">
        <v>28000</v>
      </c>
      <c r="AJ29" s="14">
        <v>28000</v>
      </c>
      <c r="AK29" s="14">
        <v>28000</v>
      </c>
      <c r="AL29" s="14">
        <v>28000</v>
      </c>
      <c r="AM29" s="14">
        <v>28000</v>
      </c>
      <c r="AN29" s="14">
        <v>28000</v>
      </c>
      <c r="AO29" s="14">
        <v>28000</v>
      </c>
      <c r="AP29" s="14">
        <v>28000</v>
      </c>
      <c r="AQ29" s="14">
        <v>28000</v>
      </c>
      <c r="AR29" s="14">
        <v>28000</v>
      </c>
      <c r="AS29" s="14">
        <v>28000</v>
      </c>
      <c r="AT29" s="14">
        <v>28000</v>
      </c>
      <c r="AU29" s="14">
        <v>28000</v>
      </c>
      <c r="AV29" s="14">
        <v>28000</v>
      </c>
      <c r="AW29" s="14">
        <v>28000</v>
      </c>
      <c r="AX29" s="14">
        <v>28000</v>
      </c>
      <c r="AY29" s="14">
        <v>28000</v>
      </c>
      <c r="AZ29" s="14">
        <v>28000</v>
      </c>
      <c r="BA29" s="14">
        <v>15000</v>
      </c>
      <c r="BB29" s="14"/>
      <c r="BC29" s="14"/>
      <c r="BD29" s="14"/>
      <c r="BE29" s="14"/>
      <c r="BF29" s="14"/>
      <c r="BG29" s="14"/>
      <c r="BH29" s="14"/>
      <c r="BI29" s="14"/>
      <c r="BJ29" s="14"/>
      <c r="BK29" s="14"/>
      <c r="BL29" s="14"/>
      <c r="BM29" s="14"/>
      <c r="BN29" s="14"/>
      <c r="BO29" s="14"/>
      <c r="BP29" s="14"/>
      <c r="BQ29" s="14"/>
      <c r="BR29" s="14"/>
      <c r="BS29" s="14"/>
      <c r="BT29" s="14"/>
    </row>
    <row r="30" spans="1:72" x14ac:dyDescent="0.3">
      <c r="A30" t="s">
        <v>309</v>
      </c>
      <c r="M30" s="15">
        <f>M29+G30</f>
        <v>0</v>
      </c>
      <c r="N30" s="15">
        <f t="shared" ref="N30:BT30" si="12">N29+H30</f>
        <v>0</v>
      </c>
      <c r="O30" s="15">
        <f t="shared" si="12"/>
        <v>0</v>
      </c>
      <c r="P30" s="15">
        <f t="shared" si="12"/>
        <v>0</v>
      </c>
      <c r="Q30" s="15">
        <f t="shared" si="12"/>
        <v>0</v>
      </c>
      <c r="R30" s="15">
        <f t="shared" si="12"/>
        <v>0</v>
      </c>
      <c r="S30" s="15">
        <f t="shared" si="12"/>
        <v>0</v>
      </c>
      <c r="T30" s="15">
        <f t="shared" si="12"/>
        <v>0</v>
      </c>
      <c r="U30" s="15">
        <f t="shared" si="12"/>
        <v>0</v>
      </c>
      <c r="V30" s="15">
        <f t="shared" si="12"/>
        <v>0</v>
      </c>
      <c r="W30" s="15">
        <f t="shared" si="12"/>
        <v>0</v>
      </c>
      <c r="X30" s="15">
        <f t="shared" si="12"/>
        <v>0</v>
      </c>
      <c r="Y30" s="15">
        <f t="shared" si="12"/>
        <v>0</v>
      </c>
      <c r="Z30" s="15">
        <f t="shared" si="12"/>
        <v>0</v>
      </c>
      <c r="AA30" s="15">
        <f t="shared" si="12"/>
        <v>0</v>
      </c>
      <c r="AB30" s="15">
        <f t="shared" si="12"/>
        <v>0</v>
      </c>
      <c r="AC30" s="15">
        <f t="shared" si="12"/>
        <v>0</v>
      </c>
      <c r="AD30" s="15">
        <f t="shared" si="12"/>
        <v>0</v>
      </c>
      <c r="AE30" s="15">
        <f t="shared" si="12"/>
        <v>0</v>
      </c>
      <c r="AF30" s="15">
        <f t="shared" si="12"/>
        <v>0</v>
      </c>
      <c r="AG30" s="15">
        <f t="shared" si="12"/>
        <v>28000</v>
      </c>
      <c r="AH30" s="15">
        <f t="shared" si="12"/>
        <v>28000</v>
      </c>
      <c r="AI30" s="15">
        <f t="shared" si="12"/>
        <v>28000</v>
      </c>
      <c r="AJ30" s="15">
        <f t="shared" si="12"/>
        <v>28000</v>
      </c>
      <c r="AK30" s="15">
        <f t="shared" si="12"/>
        <v>28000</v>
      </c>
      <c r="AL30" s="15">
        <f t="shared" si="12"/>
        <v>28000</v>
      </c>
      <c r="AM30" s="15">
        <f t="shared" si="12"/>
        <v>56000</v>
      </c>
      <c r="AN30" s="15">
        <f t="shared" si="12"/>
        <v>56000</v>
      </c>
      <c r="AO30" s="15">
        <f t="shared" si="12"/>
        <v>56000</v>
      </c>
      <c r="AP30" s="15">
        <f t="shared" si="12"/>
        <v>56000</v>
      </c>
      <c r="AQ30" s="15">
        <f t="shared" si="12"/>
        <v>56000</v>
      </c>
      <c r="AR30" s="15">
        <f t="shared" si="12"/>
        <v>56000</v>
      </c>
      <c r="AS30" s="15">
        <f t="shared" si="12"/>
        <v>84000</v>
      </c>
      <c r="AT30" s="15">
        <f t="shared" si="12"/>
        <v>84000</v>
      </c>
      <c r="AU30" s="15">
        <f t="shared" si="12"/>
        <v>84000</v>
      </c>
      <c r="AV30" s="15">
        <f t="shared" si="12"/>
        <v>84000</v>
      </c>
      <c r="AW30" s="15">
        <f t="shared" si="12"/>
        <v>84000</v>
      </c>
      <c r="AX30" s="15">
        <f t="shared" si="12"/>
        <v>84000</v>
      </c>
      <c r="AY30" s="15">
        <f t="shared" si="12"/>
        <v>112000</v>
      </c>
      <c r="AZ30" s="15">
        <f t="shared" si="12"/>
        <v>112000</v>
      </c>
      <c r="BA30" s="15">
        <f t="shared" si="12"/>
        <v>99000</v>
      </c>
      <c r="BB30" s="15">
        <f t="shared" si="12"/>
        <v>84000</v>
      </c>
      <c r="BC30" s="15">
        <f t="shared" si="12"/>
        <v>84000</v>
      </c>
      <c r="BD30" s="15">
        <f t="shared" si="12"/>
        <v>84000</v>
      </c>
      <c r="BE30" s="15">
        <f t="shared" si="12"/>
        <v>112000</v>
      </c>
      <c r="BF30" s="15">
        <f t="shared" si="12"/>
        <v>112000</v>
      </c>
      <c r="BG30" s="15">
        <f t="shared" si="12"/>
        <v>99000</v>
      </c>
      <c r="BH30" s="15">
        <f t="shared" si="12"/>
        <v>84000</v>
      </c>
      <c r="BI30" s="15">
        <f t="shared" si="12"/>
        <v>84000</v>
      </c>
      <c r="BJ30" s="15">
        <f t="shared" si="12"/>
        <v>84000</v>
      </c>
      <c r="BK30" s="15">
        <f t="shared" si="12"/>
        <v>112000</v>
      </c>
      <c r="BL30" s="15">
        <f t="shared" si="12"/>
        <v>112000</v>
      </c>
      <c r="BM30" s="15">
        <f t="shared" si="12"/>
        <v>99000</v>
      </c>
      <c r="BN30" s="15">
        <f t="shared" si="12"/>
        <v>84000</v>
      </c>
      <c r="BO30" s="15">
        <f t="shared" si="12"/>
        <v>84000</v>
      </c>
      <c r="BP30" s="15">
        <f t="shared" si="12"/>
        <v>84000</v>
      </c>
      <c r="BQ30" s="15">
        <f t="shared" si="12"/>
        <v>112000</v>
      </c>
      <c r="BR30" s="15">
        <f t="shared" si="12"/>
        <v>112000</v>
      </c>
      <c r="BS30" s="15">
        <f t="shared" si="12"/>
        <v>99000</v>
      </c>
      <c r="BT30" s="15">
        <f t="shared" si="12"/>
        <v>84000</v>
      </c>
    </row>
    <row r="31" spans="1:72" x14ac:dyDescent="0.3">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row>
    <row r="32" spans="1:72" x14ac:dyDescent="0.3">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row>
    <row r="33" spans="1:72" x14ac:dyDescent="0.3">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row>
    <row r="34" spans="1:72" x14ac:dyDescent="0.3">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row>
    <row r="35" spans="1:72" ht="15" thickBot="1" x14ac:dyDescent="0.3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row>
    <row r="36" spans="1:72" ht="15" thickBot="1" x14ac:dyDescent="0.35">
      <c r="A36" s="60"/>
      <c r="B36" s="61" t="s">
        <v>152</v>
      </c>
      <c r="C36" t="s">
        <v>199</v>
      </c>
      <c r="D36" t="s">
        <v>200</v>
      </c>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row>
    <row r="37" spans="1:72" x14ac:dyDescent="0.3">
      <c r="A37" s="28"/>
      <c r="B37" s="28"/>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row>
    <row r="38" spans="1:72" x14ac:dyDescent="0.3">
      <c r="A38" t="s">
        <v>201</v>
      </c>
      <c r="B38" s="62">
        <v>175000</v>
      </c>
      <c r="C38" t="s">
        <v>8</v>
      </c>
      <c r="D38" t="s">
        <v>14</v>
      </c>
      <c r="M38" s="15">
        <f>$B38/12</f>
        <v>14583.333333333334</v>
      </c>
      <c r="N38" s="15">
        <f t="shared" ref="N38:AS38" si="13">$B$38/12</f>
        <v>14583.333333333334</v>
      </c>
      <c r="O38" s="15">
        <f t="shared" si="13"/>
        <v>14583.333333333334</v>
      </c>
      <c r="P38" s="15">
        <f t="shared" si="13"/>
        <v>14583.333333333334</v>
      </c>
      <c r="Q38" s="15">
        <f t="shared" si="13"/>
        <v>14583.333333333334</v>
      </c>
      <c r="R38" s="15">
        <f t="shared" si="13"/>
        <v>14583.333333333334</v>
      </c>
      <c r="S38" s="15">
        <f t="shared" si="13"/>
        <v>14583.333333333334</v>
      </c>
      <c r="T38" s="15">
        <f t="shared" si="13"/>
        <v>14583.333333333334</v>
      </c>
      <c r="U38" s="15">
        <f t="shared" si="13"/>
        <v>14583.333333333334</v>
      </c>
      <c r="V38" s="15">
        <f t="shared" si="13"/>
        <v>14583.333333333334</v>
      </c>
      <c r="W38" s="15">
        <f t="shared" si="13"/>
        <v>14583.333333333334</v>
      </c>
      <c r="X38" s="15">
        <f t="shared" si="13"/>
        <v>14583.333333333334</v>
      </c>
      <c r="Y38" s="15">
        <f t="shared" si="13"/>
        <v>14583.333333333334</v>
      </c>
      <c r="Z38" s="15">
        <f t="shared" si="13"/>
        <v>14583.333333333334</v>
      </c>
      <c r="AA38" s="15">
        <f t="shared" si="13"/>
        <v>14583.333333333334</v>
      </c>
      <c r="AB38" s="15">
        <f t="shared" si="13"/>
        <v>14583.333333333334</v>
      </c>
      <c r="AC38" s="15">
        <f t="shared" si="13"/>
        <v>14583.333333333334</v>
      </c>
      <c r="AD38" s="15">
        <f t="shared" si="13"/>
        <v>14583.333333333334</v>
      </c>
      <c r="AE38" s="15">
        <f t="shared" si="13"/>
        <v>14583.333333333334</v>
      </c>
      <c r="AF38" s="15">
        <f t="shared" si="13"/>
        <v>14583.333333333334</v>
      </c>
      <c r="AG38" s="15">
        <f t="shared" si="13"/>
        <v>14583.333333333334</v>
      </c>
      <c r="AH38" s="15">
        <f t="shared" si="13"/>
        <v>14583.333333333334</v>
      </c>
      <c r="AI38" s="15">
        <f t="shared" si="13"/>
        <v>14583.333333333334</v>
      </c>
      <c r="AJ38" s="15">
        <f t="shared" si="13"/>
        <v>14583.333333333334</v>
      </c>
      <c r="AK38" s="15">
        <f t="shared" si="13"/>
        <v>14583.333333333334</v>
      </c>
      <c r="AL38" s="15">
        <f t="shared" si="13"/>
        <v>14583.333333333334</v>
      </c>
      <c r="AM38" s="15">
        <f t="shared" si="13"/>
        <v>14583.333333333334</v>
      </c>
      <c r="AN38" s="15">
        <f t="shared" si="13"/>
        <v>14583.333333333334</v>
      </c>
      <c r="AO38" s="15">
        <f t="shared" si="13"/>
        <v>14583.333333333334</v>
      </c>
      <c r="AP38" s="15">
        <f t="shared" si="13"/>
        <v>14583.333333333334</v>
      </c>
      <c r="AQ38" s="15">
        <f t="shared" si="13"/>
        <v>14583.333333333334</v>
      </c>
      <c r="AR38" s="15">
        <f t="shared" si="13"/>
        <v>14583.333333333334</v>
      </c>
      <c r="AS38" s="15">
        <f t="shared" si="13"/>
        <v>14583.333333333334</v>
      </c>
      <c r="AT38" s="15">
        <f t="shared" ref="AT38:BT38" si="14">$B$38/12</f>
        <v>14583.333333333334</v>
      </c>
      <c r="AU38" s="15">
        <f t="shared" si="14"/>
        <v>14583.333333333334</v>
      </c>
      <c r="AV38" s="15">
        <f t="shared" si="14"/>
        <v>14583.333333333334</v>
      </c>
      <c r="AW38" s="15">
        <f t="shared" si="14"/>
        <v>14583.333333333334</v>
      </c>
      <c r="AX38" s="15">
        <f t="shared" si="14"/>
        <v>14583.333333333334</v>
      </c>
      <c r="AY38" s="15">
        <f t="shared" si="14"/>
        <v>14583.333333333334</v>
      </c>
      <c r="AZ38" s="15">
        <f t="shared" si="14"/>
        <v>14583.333333333334</v>
      </c>
      <c r="BA38" s="15">
        <f t="shared" si="14"/>
        <v>14583.333333333334</v>
      </c>
      <c r="BB38" s="15">
        <f t="shared" si="14"/>
        <v>14583.333333333334</v>
      </c>
      <c r="BC38" s="15">
        <f t="shared" si="14"/>
        <v>14583.333333333334</v>
      </c>
      <c r="BD38" s="15">
        <f t="shared" si="14"/>
        <v>14583.333333333334</v>
      </c>
      <c r="BE38" s="15">
        <f t="shared" si="14"/>
        <v>14583.333333333334</v>
      </c>
      <c r="BF38" s="15">
        <f t="shared" si="14"/>
        <v>14583.333333333334</v>
      </c>
      <c r="BG38" s="15">
        <f t="shared" si="14"/>
        <v>14583.333333333334</v>
      </c>
      <c r="BH38" s="15">
        <f t="shared" si="14"/>
        <v>14583.333333333334</v>
      </c>
      <c r="BI38" s="15">
        <f t="shared" si="14"/>
        <v>14583.333333333334</v>
      </c>
      <c r="BJ38" s="15">
        <f t="shared" si="14"/>
        <v>14583.333333333334</v>
      </c>
      <c r="BK38" s="15">
        <f t="shared" si="14"/>
        <v>14583.333333333334</v>
      </c>
      <c r="BL38" s="15">
        <f t="shared" si="14"/>
        <v>14583.333333333334</v>
      </c>
      <c r="BM38" s="15">
        <f t="shared" si="14"/>
        <v>14583.333333333334</v>
      </c>
      <c r="BN38" s="15">
        <f t="shared" si="14"/>
        <v>14583.333333333334</v>
      </c>
      <c r="BO38" s="15">
        <f t="shared" si="14"/>
        <v>14583.333333333334</v>
      </c>
      <c r="BP38" s="15">
        <f t="shared" si="14"/>
        <v>14583.333333333334</v>
      </c>
      <c r="BQ38" s="15">
        <f t="shared" si="14"/>
        <v>14583.333333333334</v>
      </c>
      <c r="BR38" s="15">
        <f t="shared" si="14"/>
        <v>14583.333333333334</v>
      </c>
      <c r="BS38" s="15">
        <f t="shared" si="14"/>
        <v>14583.333333333334</v>
      </c>
      <c r="BT38" s="15">
        <f t="shared" si="14"/>
        <v>14583.333333333334</v>
      </c>
    </row>
    <row r="39" spans="1:72" x14ac:dyDescent="0.3">
      <c r="A39" t="s">
        <v>203</v>
      </c>
      <c r="B39" s="62">
        <v>175000</v>
      </c>
      <c r="C39" t="s">
        <v>8</v>
      </c>
      <c r="D39" t="s">
        <v>14</v>
      </c>
      <c r="M39" s="15">
        <f>$B39/12</f>
        <v>14583.333333333334</v>
      </c>
      <c r="N39" s="15">
        <f t="shared" ref="N39:W40" si="15">$B39/12</f>
        <v>14583.333333333334</v>
      </c>
      <c r="O39" s="15">
        <f t="shared" si="15"/>
        <v>14583.333333333334</v>
      </c>
      <c r="P39" s="15">
        <f t="shared" si="15"/>
        <v>14583.333333333334</v>
      </c>
      <c r="Q39" s="15">
        <f t="shared" si="15"/>
        <v>14583.333333333334</v>
      </c>
      <c r="R39" s="15">
        <f t="shared" si="15"/>
        <v>14583.333333333334</v>
      </c>
      <c r="S39" s="15">
        <f t="shared" si="15"/>
        <v>14583.333333333334</v>
      </c>
      <c r="T39" s="15">
        <f t="shared" si="15"/>
        <v>14583.333333333334</v>
      </c>
      <c r="U39" s="15">
        <f t="shared" si="15"/>
        <v>14583.333333333334</v>
      </c>
      <c r="V39" s="15">
        <f t="shared" si="15"/>
        <v>14583.333333333334</v>
      </c>
      <c r="W39" s="15">
        <f t="shared" si="15"/>
        <v>14583.333333333334</v>
      </c>
      <c r="X39" s="15">
        <f t="shared" ref="X39:AG40" si="16">$B39/12</f>
        <v>14583.333333333334</v>
      </c>
      <c r="Y39" s="15">
        <f t="shared" si="16"/>
        <v>14583.333333333334</v>
      </c>
      <c r="Z39" s="15">
        <f t="shared" si="16"/>
        <v>14583.333333333334</v>
      </c>
      <c r="AA39" s="15">
        <f t="shared" si="16"/>
        <v>14583.333333333334</v>
      </c>
      <c r="AB39" s="15">
        <f t="shared" si="16"/>
        <v>14583.333333333334</v>
      </c>
      <c r="AC39" s="15">
        <f t="shared" si="16"/>
        <v>14583.333333333334</v>
      </c>
      <c r="AD39" s="15">
        <f t="shared" si="16"/>
        <v>14583.333333333334</v>
      </c>
      <c r="AE39" s="15">
        <f t="shared" si="16"/>
        <v>14583.333333333334</v>
      </c>
      <c r="AF39" s="15">
        <f t="shared" si="16"/>
        <v>14583.333333333334</v>
      </c>
      <c r="AG39" s="15">
        <f t="shared" si="16"/>
        <v>14583.333333333334</v>
      </c>
      <c r="AH39" s="15">
        <f t="shared" ref="AH39:AQ40" si="17">$B39/12</f>
        <v>14583.333333333334</v>
      </c>
      <c r="AI39" s="15">
        <f t="shared" si="17"/>
        <v>14583.333333333334</v>
      </c>
      <c r="AJ39" s="15">
        <f t="shared" si="17"/>
        <v>14583.333333333334</v>
      </c>
      <c r="AK39" s="15">
        <f t="shared" si="17"/>
        <v>14583.333333333334</v>
      </c>
      <c r="AL39" s="15">
        <f t="shared" si="17"/>
        <v>14583.333333333334</v>
      </c>
      <c r="AM39" s="15">
        <f t="shared" si="17"/>
        <v>14583.333333333334</v>
      </c>
      <c r="AN39" s="15">
        <f t="shared" si="17"/>
        <v>14583.333333333334</v>
      </c>
      <c r="AO39" s="15">
        <f t="shared" si="17"/>
        <v>14583.333333333334</v>
      </c>
      <c r="AP39" s="15">
        <f t="shared" si="17"/>
        <v>14583.333333333334</v>
      </c>
      <c r="AQ39" s="15">
        <f t="shared" si="17"/>
        <v>14583.333333333334</v>
      </c>
      <c r="AR39" s="15">
        <f t="shared" ref="AR39:BA40" si="18">$B39/12</f>
        <v>14583.333333333334</v>
      </c>
      <c r="AS39" s="15">
        <f t="shared" si="18"/>
        <v>14583.333333333334</v>
      </c>
      <c r="AT39" s="15">
        <f t="shared" si="18"/>
        <v>14583.333333333334</v>
      </c>
      <c r="AU39" s="15">
        <f t="shared" si="18"/>
        <v>14583.333333333334</v>
      </c>
      <c r="AV39" s="15">
        <f t="shared" si="18"/>
        <v>14583.333333333334</v>
      </c>
      <c r="AW39" s="15">
        <f t="shared" si="18"/>
        <v>14583.333333333334</v>
      </c>
      <c r="AX39" s="15">
        <f t="shared" si="18"/>
        <v>14583.333333333334</v>
      </c>
      <c r="AY39" s="15">
        <f t="shared" si="18"/>
        <v>14583.333333333334</v>
      </c>
      <c r="AZ39" s="15">
        <f t="shared" si="18"/>
        <v>14583.333333333334</v>
      </c>
      <c r="BA39" s="15">
        <f t="shared" si="18"/>
        <v>14583.333333333334</v>
      </c>
      <c r="BB39" s="15">
        <f t="shared" ref="BB39:BK40" si="19">$B39/12</f>
        <v>14583.333333333334</v>
      </c>
      <c r="BC39" s="15">
        <f t="shared" si="19"/>
        <v>14583.333333333334</v>
      </c>
      <c r="BD39" s="15">
        <f t="shared" si="19"/>
        <v>14583.333333333334</v>
      </c>
      <c r="BE39" s="15">
        <f t="shared" si="19"/>
        <v>14583.333333333334</v>
      </c>
      <c r="BF39" s="15">
        <f t="shared" si="19"/>
        <v>14583.333333333334</v>
      </c>
      <c r="BG39" s="15">
        <f t="shared" si="19"/>
        <v>14583.333333333334</v>
      </c>
      <c r="BH39" s="15">
        <f t="shared" si="19"/>
        <v>14583.333333333334</v>
      </c>
      <c r="BI39" s="15">
        <f t="shared" si="19"/>
        <v>14583.333333333334</v>
      </c>
      <c r="BJ39" s="15">
        <f t="shared" si="19"/>
        <v>14583.333333333334</v>
      </c>
      <c r="BK39" s="15">
        <f t="shared" si="19"/>
        <v>14583.333333333334</v>
      </c>
      <c r="BL39" s="15">
        <f t="shared" ref="BL39:BT40" si="20">$B39/12</f>
        <v>14583.333333333334</v>
      </c>
      <c r="BM39" s="15">
        <f t="shared" si="20"/>
        <v>14583.333333333334</v>
      </c>
      <c r="BN39" s="15">
        <f t="shared" si="20"/>
        <v>14583.333333333334</v>
      </c>
      <c r="BO39" s="15">
        <f t="shared" si="20"/>
        <v>14583.333333333334</v>
      </c>
      <c r="BP39" s="15">
        <f t="shared" si="20"/>
        <v>14583.333333333334</v>
      </c>
      <c r="BQ39" s="15">
        <f t="shared" si="20"/>
        <v>14583.333333333334</v>
      </c>
      <c r="BR39" s="15">
        <f t="shared" si="20"/>
        <v>14583.333333333334</v>
      </c>
      <c r="BS39" s="15">
        <f t="shared" si="20"/>
        <v>14583.333333333334</v>
      </c>
      <c r="BT39" s="15">
        <f t="shared" si="20"/>
        <v>14583.333333333334</v>
      </c>
    </row>
    <row r="40" spans="1:72" x14ac:dyDescent="0.3">
      <c r="A40" s="28" t="s">
        <v>204</v>
      </c>
      <c r="B40" s="62">
        <v>175000</v>
      </c>
      <c r="C40" t="s">
        <v>8</v>
      </c>
      <c r="D40" t="s">
        <v>14</v>
      </c>
      <c r="M40" s="15">
        <f>$B40/12</f>
        <v>14583.333333333334</v>
      </c>
      <c r="N40" s="15">
        <f t="shared" si="15"/>
        <v>14583.333333333334</v>
      </c>
      <c r="O40" s="15">
        <f t="shared" si="15"/>
        <v>14583.333333333334</v>
      </c>
      <c r="P40" s="15">
        <f t="shared" si="15"/>
        <v>14583.333333333334</v>
      </c>
      <c r="Q40" s="15">
        <f t="shared" si="15"/>
        <v>14583.333333333334</v>
      </c>
      <c r="R40" s="15">
        <f t="shared" si="15"/>
        <v>14583.333333333334</v>
      </c>
      <c r="S40" s="15">
        <f t="shared" si="15"/>
        <v>14583.333333333334</v>
      </c>
      <c r="T40" s="15">
        <f t="shared" si="15"/>
        <v>14583.333333333334</v>
      </c>
      <c r="U40" s="15">
        <f t="shared" si="15"/>
        <v>14583.333333333334</v>
      </c>
      <c r="V40" s="15">
        <f t="shared" si="15"/>
        <v>14583.333333333334</v>
      </c>
      <c r="W40" s="15">
        <f t="shared" si="15"/>
        <v>14583.333333333334</v>
      </c>
      <c r="X40" s="15">
        <f t="shared" si="16"/>
        <v>14583.333333333334</v>
      </c>
      <c r="Y40" s="15">
        <f t="shared" si="16"/>
        <v>14583.333333333334</v>
      </c>
      <c r="Z40" s="15">
        <f t="shared" si="16"/>
        <v>14583.333333333334</v>
      </c>
      <c r="AA40" s="15">
        <f t="shared" si="16"/>
        <v>14583.333333333334</v>
      </c>
      <c r="AB40" s="15">
        <f t="shared" si="16"/>
        <v>14583.333333333334</v>
      </c>
      <c r="AC40" s="15">
        <f t="shared" si="16"/>
        <v>14583.333333333334</v>
      </c>
      <c r="AD40" s="15">
        <f t="shared" si="16"/>
        <v>14583.333333333334</v>
      </c>
      <c r="AE40" s="15">
        <f t="shared" si="16"/>
        <v>14583.333333333334</v>
      </c>
      <c r="AF40" s="15">
        <f t="shared" si="16"/>
        <v>14583.333333333334</v>
      </c>
      <c r="AG40" s="15">
        <f t="shared" si="16"/>
        <v>14583.333333333334</v>
      </c>
      <c r="AH40" s="15">
        <f t="shared" si="17"/>
        <v>14583.333333333334</v>
      </c>
      <c r="AI40" s="15">
        <f t="shared" si="17"/>
        <v>14583.333333333334</v>
      </c>
      <c r="AJ40" s="15">
        <f t="shared" si="17"/>
        <v>14583.333333333334</v>
      </c>
      <c r="AK40" s="15">
        <f t="shared" si="17"/>
        <v>14583.333333333334</v>
      </c>
      <c r="AL40" s="15">
        <f t="shared" si="17"/>
        <v>14583.333333333334</v>
      </c>
      <c r="AM40" s="15">
        <f t="shared" si="17"/>
        <v>14583.333333333334</v>
      </c>
      <c r="AN40" s="15">
        <f t="shared" si="17"/>
        <v>14583.333333333334</v>
      </c>
      <c r="AO40" s="15">
        <f t="shared" si="17"/>
        <v>14583.333333333334</v>
      </c>
      <c r="AP40" s="15">
        <f t="shared" si="17"/>
        <v>14583.333333333334</v>
      </c>
      <c r="AQ40" s="15">
        <f t="shared" si="17"/>
        <v>14583.333333333334</v>
      </c>
      <c r="AR40" s="15">
        <f t="shared" si="18"/>
        <v>14583.333333333334</v>
      </c>
      <c r="AS40" s="15">
        <f t="shared" si="18"/>
        <v>14583.333333333334</v>
      </c>
      <c r="AT40" s="15">
        <f t="shared" si="18"/>
        <v>14583.333333333334</v>
      </c>
      <c r="AU40" s="15">
        <f t="shared" si="18"/>
        <v>14583.333333333334</v>
      </c>
      <c r="AV40" s="15">
        <f t="shared" si="18"/>
        <v>14583.333333333334</v>
      </c>
      <c r="AW40" s="15">
        <f t="shared" si="18"/>
        <v>14583.333333333334</v>
      </c>
      <c r="AX40" s="15">
        <f t="shared" si="18"/>
        <v>14583.333333333334</v>
      </c>
      <c r="AY40" s="15">
        <f t="shared" si="18"/>
        <v>14583.333333333334</v>
      </c>
      <c r="AZ40" s="15">
        <f t="shared" si="18"/>
        <v>14583.333333333334</v>
      </c>
      <c r="BA40" s="15">
        <f t="shared" si="18"/>
        <v>14583.333333333334</v>
      </c>
      <c r="BB40" s="15">
        <f t="shared" si="19"/>
        <v>14583.333333333334</v>
      </c>
      <c r="BC40" s="15">
        <f t="shared" si="19"/>
        <v>14583.333333333334</v>
      </c>
      <c r="BD40" s="15">
        <f t="shared" si="19"/>
        <v>14583.333333333334</v>
      </c>
      <c r="BE40" s="15">
        <f t="shared" si="19"/>
        <v>14583.333333333334</v>
      </c>
      <c r="BF40" s="15">
        <f t="shared" si="19"/>
        <v>14583.333333333334</v>
      </c>
      <c r="BG40" s="15">
        <f t="shared" si="19"/>
        <v>14583.333333333334</v>
      </c>
      <c r="BH40" s="15">
        <f t="shared" si="19"/>
        <v>14583.333333333334</v>
      </c>
      <c r="BI40" s="15">
        <f t="shared" si="19"/>
        <v>14583.333333333334</v>
      </c>
      <c r="BJ40" s="15">
        <f t="shared" si="19"/>
        <v>14583.333333333334</v>
      </c>
      <c r="BK40" s="15">
        <f t="shared" si="19"/>
        <v>14583.333333333334</v>
      </c>
      <c r="BL40" s="15">
        <f t="shared" si="20"/>
        <v>14583.333333333334</v>
      </c>
      <c r="BM40" s="15">
        <f t="shared" si="20"/>
        <v>14583.333333333334</v>
      </c>
      <c r="BN40" s="15">
        <f t="shared" si="20"/>
        <v>14583.333333333334</v>
      </c>
      <c r="BO40" s="15">
        <f t="shared" si="20"/>
        <v>14583.333333333334</v>
      </c>
      <c r="BP40" s="15">
        <f t="shared" si="20"/>
        <v>14583.333333333334</v>
      </c>
      <c r="BQ40" s="15">
        <f t="shared" si="20"/>
        <v>14583.333333333334</v>
      </c>
      <c r="BR40" s="15">
        <f t="shared" si="20"/>
        <v>14583.333333333334</v>
      </c>
      <c r="BS40" s="15">
        <f t="shared" si="20"/>
        <v>14583.333333333334</v>
      </c>
      <c r="BT40" s="15">
        <f t="shared" si="20"/>
        <v>14583.333333333334</v>
      </c>
    </row>
    <row r="41" spans="1:72" x14ac:dyDescent="0.3">
      <c r="A41" t="s">
        <v>205</v>
      </c>
      <c r="B41" s="63">
        <v>110000</v>
      </c>
      <c r="C41" t="s">
        <v>9</v>
      </c>
      <c r="D41" t="s">
        <v>16</v>
      </c>
      <c r="M41" s="15">
        <v>0</v>
      </c>
      <c r="N41" s="15">
        <v>0</v>
      </c>
      <c r="O41" s="15">
        <v>0</v>
      </c>
      <c r="P41" s="15">
        <v>0</v>
      </c>
      <c r="Q41" s="15">
        <v>0</v>
      </c>
      <c r="R41" s="15">
        <v>0</v>
      </c>
      <c r="S41" s="15">
        <v>0</v>
      </c>
      <c r="T41" s="15">
        <v>0</v>
      </c>
      <c r="U41" s="15">
        <v>0</v>
      </c>
      <c r="V41" s="15">
        <v>0</v>
      </c>
      <c r="W41" s="15">
        <v>0</v>
      </c>
      <c r="X41" s="15">
        <v>0</v>
      </c>
      <c r="Y41" s="15">
        <v>0</v>
      </c>
      <c r="Z41" s="15">
        <v>0</v>
      </c>
      <c r="AA41" s="15">
        <f t="shared" ref="AA41:BT42" si="21">$B41/12</f>
        <v>9166.6666666666661</v>
      </c>
      <c r="AB41" s="15">
        <f t="shared" si="21"/>
        <v>9166.6666666666661</v>
      </c>
      <c r="AC41" s="15">
        <f t="shared" si="21"/>
        <v>9166.6666666666661</v>
      </c>
      <c r="AD41" s="15">
        <f t="shared" si="21"/>
        <v>9166.6666666666661</v>
      </c>
      <c r="AE41" s="15">
        <f t="shared" si="21"/>
        <v>9166.6666666666661</v>
      </c>
      <c r="AF41" s="15">
        <f t="shared" si="21"/>
        <v>9166.6666666666661</v>
      </c>
      <c r="AG41" s="15">
        <f t="shared" si="21"/>
        <v>9166.6666666666661</v>
      </c>
      <c r="AH41" s="15">
        <f t="shared" si="21"/>
        <v>9166.6666666666661</v>
      </c>
      <c r="AI41" s="15">
        <f t="shared" si="21"/>
        <v>9166.6666666666661</v>
      </c>
      <c r="AJ41" s="15">
        <f t="shared" si="21"/>
        <v>9166.6666666666661</v>
      </c>
      <c r="AK41" s="15">
        <f t="shared" si="21"/>
        <v>9166.6666666666661</v>
      </c>
      <c r="AL41" s="15">
        <f t="shared" si="21"/>
        <v>9166.6666666666661</v>
      </c>
      <c r="AM41" s="15">
        <f t="shared" si="21"/>
        <v>9166.6666666666661</v>
      </c>
      <c r="AN41" s="15">
        <f t="shared" si="21"/>
        <v>9166.6666666666661</v>
      </c>
      <c r="AO41" s="15">
        <f t="shared" si="21"/>
        <v>9166.6666666666661</v>
      </c>
      <c r="AP41" s="15">
        <f t="shared" si="21"/>
        <v>9166.6666666666661</v>
      </c>
      <c r="AQ41" s="15">
        <f t="shared" si="21"/>
        <v>9166.6666666666661</v>
      </c>
      <c r="AR41" s="15">
        <f t="shared" si="21"/>
        <v>9166.6666666666661</v>
      </c>
      <c r="AS41" s="15">
        <f t="shared" si="21"/>
        <v>9166.6666666666661</v>
      </c>
      <c r="AT41" s="15">
        <f t="shared" si="21"/>
        <v>9166.6666666666661</v>
      </c>
      <c r="AU41" s="15">
        <f t="shared" si="21"/>
        <v>9166.6666666666661</v>
      </c>
      <c r="AV41" s="15">
        <f t="shared" si="21"/>
        <v>9166.6666666666661</v>
      </c>
      <c r="AW41" s="15">
        <f t="shared" si="21"/>
        <v>9166.6666666666661</v>
      </c>
      <c r="AX41" s="15">
        <f t="shared" si="21"/>
        <v>9166.6666666666661</v>
      </c>
      <c r="AY41" s="15">
        <f t="shared" si="21"/>
        <v>9166.6666666666661</v>
      </c>
      <c r="AZ41" s="15">
        <f t="shared" si="21"/>
        <v>9166.6666666666661</v>
      </c>
      <c r="BA41" s="15">
        <f t="shared" si="21"/>
        <v>9166.6666666666661</v>
      </c>
      <c r="BB41" s="15">
        <f t="shared" si="21"/>
        <v>9166.6666666666661</v>
      </c>
      <c r="BC41" s="15">
        <f t="shared" si="21"/>
        <v>9166.6666666666661</v>
      </c>
      <c r="BD41" s="15">
        <f t="shared" si="21"/>
        <v>9166.6666666666661</v>
      </c>
      <c r="BE41" s="15">
        <f t="shared" si="21"/>
        <v>9166.6666666666661</v>
      </c>
      <c r="BF41" s="15">
        <f t="shared" si="21"/>
        <v>9166.6666666666661</v>
      </c>
      <c r="BG41" s="15">
        <f t="shared" si="21"/>
        <v>9166.6666666666661</v>
      </c>
      <c r="BH41" s="15">
        <f t="shared" si="21"/>
        <v>9166.6666666666661</v>
      </c>
      <c r="BI41" s="15">
        <f t="shared" si="21"/>
        <v>9166.6666666666661</v>
      </c>
      <c r="BJ41" s="15">
        <f t="shared" si="21"/>
        <v>9166.6666666666661</v>
      </c>
      <c r="BK41" s="15">
        <f t="shared" si="21"/>
        <v>9166.6666666666661</v>
      </c>
      <c r="BL41" s="15">
        <f t="shared" si="21"/>
        <v>9166.6666666666661</v>
      </c>
      <c r="BM41" s="15">
        <f t="shared" si="21"/>
        <v>9166.6666666666661</v>
      </c>
      <c r="BN41" s="15">
        <f t="shared" si="21"/>
        <v>9166.6666666666661</v>
      </c>
      <c r="BO41" s="15">
        <f t="shared" si="21"/>
        <v>9166.6666666666661</v>
      </c>
      <c r="BP41" s="15">
        <f t="shared" si="21"/>
        <v>9166.6666666666661</v>
      </c>
      <c r="BQ41" s="15">
        <f t="shared" si="21"/>
        <v>9166.6666666666661</v>
      </c>
      <c r="BR41" s="15">
        <f t="shared" si="21"/>
        <v>9166.6666666666661</v>
      </c>
      <c r="BS41" s="15">
        <f t="shared" si="21"/>
        <v>9166.6666666666661</v>
      </c>
      <c r="BT41" s="15">
        <f t="shared" si="21"/>
        <v>9166.6666666666661</v>
      </c>
    </row>
    <row r="42" spans="1:72" x14ac:dyDescent="0.3">
      <c r="A42" t="s">
        <v>205</v>
      </c>
      <c r="B42" s="62">
        <v>95000</v>
      </c>
      <c r="C42" t="s">
        <v>10</v>
      </c>
      <c r="D42" t="s">
        <v>14</v>
      </c>
      <c r="M42" s="15">
        <v>0</v>
      </c>
      <c r="N42" s="15">
        <v>0</v>
      </c>
      <c r="O42" s="15">
        <v>0</v>
      </c>
      <c r="P42" s="15">
        <v>0</v>
      </c>
      <c r="Q42" s="15">
        <v>0</v>
      </c>
      <c r="R42" s="15">
        <v>0</v>
      </c>
      <c r="S42" s="15">
        <v>0</v>
      </c>
      <c r="T42" s="15">
        <v>0</v>
      </c>
      <c r="U42" s="15">
        <v>0</v>
      </c>
      <c r="V42" s="15">
        <v>0</v>
      </c>
      <c r="W42" s="15">
        <v>0</v>
      </c>
      <c r="X42" s="15">
        <v>0</v>
      </c>
      <c r="Y42" s="15">
        <v>0</v>
      </c>
      <c r="Z42" s="15">
        <v>0</v>
      </c>
      <c r="AA42" s="15">
        <v>0</v>
      </c>
      <c r="AB42" s="15">
        <v>0</v>
      </c>
      <c r="AC42" s="15">
        <v>0</v>
      </c>
      <c r="AD42" s="15">
        <v>0</v>
      </c>
      <c r="AE42" s="15">
        <v>0</v>
      </c>
      <c r="AF42" s="15">
        <v>0</v>
      </c>
      <c r="AG42" s="15">
        <v>0</v>
      </c>
      <c r="AH42" s="15">
        <v>0</v>
      </c>
      <c r="AI42" s="15">
        <v>0</v>
      </c>
      <c r="AJ42" s="15">
        <v>0</v>
      </c>
      <c r="AK42" s="15">
        <f t="shared" si="21"/>
        <v>7916.666666666667</v>
      </c>
      <c r="AL42" s="15">
        <f t="shared" si="21"/>
        <v>7916.666666666667</v>
      </c>
      <c r="AM42" s="15">
        <f t="shared" si="21"/>
        <v>7916.666666666667</v>
      </c>
      <c r="AN42" s="15">
        <f t="shared" si="21"/>
        <v>7916.666666666667</v>
      </c>
      <c r="AO42" s="15">
        <f t="shared" si="21"/>
        <v>7916.666666666667</v>
      </c>
      <c r="AP42" s="15">
        <f t="shared" si="21"/>
        <v>7916.666666666667</v>
      </c>
      <c r="AQ42" s="15">
        <f t="shared" si="21"/>
        <v>7916.666666666667</v>
      </c>
      <c r="AR42" s="15">
        <f t="shared" si="21"/>
        <v>7916.666666666667</v>
      </c>
      <c r="AS42" s="15">
        <f t="shared" si="21"/>
        <v>7916.666666666667</v>
      </c>
      <c r="AT42" s="15">
        <f t="shared" si="21"/>
        <v>7916.666666666667</v>
      </c>
      <c r="AU42" s="15">
        <f t="shared" si="21"/>
        <v>7916.666666666667</v>
      </c>
      <c r="AV42" s="15">
        <f t="shared" si="21"/>
        <v>7916.666666666667</v>
      </c>
      <c r="AW42" s="15">
        <f t="shared" si="21"/>
        <v>7916.666666666667</v>
      </c>
      <c r="AX42" s="15">
        <f t="shared" si="21"/>
        <v>7916.666666666667</v>
      </c>
      <c r="AY42" s="15">
        <f t="shared" si="21"/>
        <v>7916.666666666667</v>
      </c>
      <c r="AZ42" s="15">
        <f t="shared" si="21"/>
        <v>7916.666666666667</v>
      </c>
      <c r="BA42" s="15">
        <f t="shared" si="21"/>
        <v>7916.666666666667</v>
      </c>
      <c r="BB42" s="15">
        <f t="shared" si="21"/>
        <v>7916.666666666667</v>
      </c>
      <c r="BC42" s="15">
        <f t="shared" si="21"/>
        <v>7916.666666666667</v>
      </c>
      <c r="BD42" s="15">
        <f t="shared" si="21"/>
        <v>7916.666666666667</v>
      </c>
      <c r="BE42" s="15">
        <f t="shared" si="21"/>
        <v>7916.666666666667</v>
      </c>
      <c r="BF42" s="15">
        <f t="shared" si="21"/>
        <v>7916.666666666667</v>
      </c>
      <c r="BG42" s="15">
        <f t="shared" si="21"/>
        <v>7916.666666666667</v>
      </c>
      <c r="BH42" s="15">
        <f t="shared" si="21"/>
        <v>7916.666666666667</v>
      </c>
      <c r="BI42" s="15">
        <f t="shared" si="21"/>
        <v>7916.666666666667</v>
      </c>
      <c r="BJ42" s="15">
        <f t="shared" si="21"/>
        <v>7916.666666666667</v>
      </c>
      <c r="BK42" s="15">
        <f t="shared" si="21"/>
        <v>7916.666666666667</v>
      </c>
      <c r="BL42" s="15">
        <f t="shared" si="21"/>
        <v>7916.666666666667</v>
      </c>
      <c r="BM42" s="15">
        <f t="shared" si="21"/>
        <v>7916.666666666667</v>
      </c>
      <c r="BN42" s="15">
        <f t="shared" si="21"/>
        <v>7916.666666666667</v>
      </c>
      <c r="BO42" s="15">
        <f t="shared" si="21"/>
        <v>7916.666666666667</v>
      </c>
      <c r="BP42" s="15">
        <f t="shared" si="21"/>
        <v>7916.666666666667</v>
      </c>
      <c r="BQ42" s="15">
        <f t="shared" si="21"/>
        <v>7916.666666666667</v>
      </c>
      <c r="BR42" s="15">
        <f t="shared" si="21"/>
        <v>7916.666666666667</v>
      </c>
      <c r="BS42" s="15">
        <f t="shared" si="21"/>
        <v>7916.666666666667</v>
      </c>
      <c r="BT42" s="15">
        <f t="shared" si="21"/>
        <v>7916.666666666667</v>
      </c>
    </row>
    <row r="43" spans="1:72" x14ac:dyDescent="0.3">
      <c r="A43" t="s">
        <v>206</v>
      </c>
      <c r="B43" s="62">
        <v>95000</v>
      </c>
      <c r="C43" t="s">
        <v>9</v>
      </c>
      <c r="D43" t="s">
        <v>14</v>
      </c>
      <c r="M43" s="15">
        <v>0</v>
      </c>
      <c r="N43" s="15">
        <v>0</v>
      </c>
      <c r="O43" s="15">
        <v>0</v>
      </c>
      <c r="P43" s="15">
        <v>0</v>
      </c>
      <c r="Q43" s="15">
        <v>0</v>
      </c>
      <c r="R43" s="15">
        <v>0</v>
      </c>
      <c r="S43" s="15">
        <v>0</v>
      </c>
      <c r="T43" s="15">
        <v>0</v>
      </c>
      <c r="U43" s="15">
        <v>0</v>
      </c>
      <c r="V43" s="15">
        <v>0</v>
      </c>
      <c r="W43" s="15">
        <v>0</v>
      </c>
      <c r="X43" s="15">
        <v>0</v>
      </c>
      <c r="Y43" s="15">
        <f t="shared" ref="Y43:BT43" si="22">$B43/12</f>
        <v>7916.666666666667</v>
      </c>
      <c r="Z43" s="15">
        <f t="shared" si="22"/>
        <v>7916.666666666667</v>
      </c>
      <c r="AA43" s="15">
        <f t="shared" si="22"/>
        <v>7916.666666666667</v>
      </c>
      <c r="AB43" s="15">
        <f t="shared" si="22"/>
        <v>7916.666666666667</v>
      </c>
      <c r="AC43" s="15">
        <f t="shared" si="22"/>
        <v>7916.666666666667</v>
      </c>
      <c r="AD43" s="15">
        <f t="shared" si="22"/>
        <v>7916.666666666667</v>
      </c>
      <c r="AE43" s="15">
        <f t="shared" si="22"/>
        <v>7916.666666666667</v>
      </c>
      <c r="AF43" s="15">
        <f t="shared" si="22"/>
        <v>7916.666666666667</v>
      </c>
      <c r="AG43" s="15">
        <f t="shared" si="22"/>
        <v>7916.666666666667</v>
      </c>
      <c r="AH43" s="15">
        <f t="shared" si="22"/>
        <v>7916.666666666667</v>
      </c>
      <c r="AI43" s="15">
        <f t="shared" si="22"/>
        <v>7916.666666666667</v>
      </c>
      <c r="AJ43" s="15">
        <f t="shared" si="22"/>
        <v>7916.666666666667</v>
      </c>
      <c r="AK43" s="15">
        <f t="shared" si="22"/>
        <v>7916.666666666667</v>
      </c>
      <c r="AL43" s="15">
        <f t="shared" si="22"/>
        <v>7916.666666666667</v>
      </c>
      <c r="AM43" s="15">
        <f t="shared" si="22"/>
        <v>7916.666666666667</v>
      </c>
      <c r="AN43" s="15">
        <f t="shared" si="22"/>
        <v>7916.666666666667</v>
      </c>
      <c r="AO43" s="15">
        <f t="shared" si="22"/>
        <v>7916.666666666667</v>
      </c>
      <c r="AP43" s="15">
        <f t="shared" si="22"/>
        <v>7916.666666666667</v>
      </c>
      <c r="AQ43" s="15">
        <f t="shared" si="22"/>
        <v>7916.666666666667</v>
      </c>
      <c r="AR43" s="15">
        <f t="shared" si="22"/>
        <v>7916.666666666667</v>
      </c>
      <c r="AS43" s="15">
        <f t="shared" si="22"/>
        <v>7916.666666666667</v>
      </c>
      <c r="AT43" s="15">
        <f t="shared" si="22"/>
        <v>7916.666666666667</v>
      </c>
      <c r="AU43" s="15">
        <f t="shared" si="22"/>
        <v>7916.666666666667</v>
      </c>
      <c r="AV43" s="15">
        <f t="shared" si="22"/>
        <v>7916.666666666667</v>
      </c>
      <c r="AW43" s="15">
        <f t="shared" si="22"/>
        <v>7916.666666666667</v>
      </c>
      <c r="AX43" s="15">
        <f t="shared" si="22"/>
        <v>7916.666666666667</v>
      </c>
      <c r="AY43" s="15">
        <f t="shared" si="22"/>
        <v>7916.666666666667</v>
      </c>
      <c r="AZ43" s="15">
        <f t="shared" si="22"/>
        <v>7916.666666666667</v>
      </c>
      <c r="BA43" s="15">
        <f t="shared" si="22"/>
        <v>7916.666666666667</v>
      </c>
      <c r="BB43" s="15">
        <f t="shared" si="22"/>
        <v>7916.666666666667</v>
      </c>
      <c r="BC43" s="15">
        <f t="shared" si="22"/>
        <v>7916.666666666667</v>
      </c>
      <c r="BD43" s="15">
        <f t="shared" si="22"/>
        <v>7916.666666666667</v>
      </c>
      <c r="BE43" s="15">
        <f t="shared" si="22"/>
        <v>7916.666666666667</v>
      </c>
      <c r="BF43" s="15">
        <f t="shared" si="22"/>
        <v>7916.666666666667</v>
      </c>
      <c r="BG43" s="15">
        <f t="shared" si="22"/>
        <v>7916.666666666667</v>
      </c>
      <c r="BH43" s="15">
        <f t="shared" si="22"/>
        <v>7916.666666666667</v>
      </c>
      <c r="BI43" s="15">
        <f t="shared" si="22"/>
        <v>7916.666666666667</v>
      </c>
      <c r="BJ43" s="15">
        <f t="shared" si="22"/>
        <v>7916.666666666667</v>
      </c>
      <c r="BK43" s="15">
        <f t="shared" si="22"/>
        <v>7916.666666666667</v>
      </c>
      <c r="BL43" s="15">
        <f t="shared" si="22"/>
        <v>7916.666666666667</v>
      </c>
      <c r="BM43" s="15">
        <f t="shared" si="22"/>
        <v>7916.666666666667</v>
      </c>
      <c r="BN43" s="15">
        <f t="shared" si="22"/>
        <v>7916.666666666667</v>
      </c>
      <c r="BO43" s="15">
        <f t="shared" si="22"/>
        <v>7916.666666666667</v>
      </c>
      <c r="BP43" s="15">
        <f t="shared" si="22"/>
        <v>7916.666666666667</v>
      </c>
      <c r="BQ43" s="15">
        <f t="shared" si="22"/>
        <v>7916.666666666667</v>
      </c>
      <c r="BR43" s="15">
        <f t="shared" si="22"/>
        <v>7916.666666666667</v>
      </c>
      <c r="BS43" s="15">
        <f t="shared" si="22"/>
        <v>7916.666666666667</v>
      </c>
      <c r="BT43" s="15">
        <f t="shared" si="22"/>
        <v>7916.666666666667</v>
      </c>
    </row>
    <row r="44" spans="1:72" x14ac:dyDescent="0.3">
      <c r="A44" s="28" t="s">
        <v>207</v>
      </c>
      <c r="B44" s="63">
        <v>85000</v>
      </c>
      <c r="C44" t="s">
        <v>10</v>
      </c>
      <c r="D44" t="s">
        <v>17</v>
      </c>
      <c r="M44" s="15">
        <v>0</v>
      </c>
      <c r="N44" s="15">
        <v>0</v>
      </c>
      <c r="O44" s="15">
        <v>0</v>
      </c>
      <c r="P44" s="15">
        <v>0</v>
      </c>
      <c r="Q44" s="15">
        <v>0</v>
      </c>
      <c r="R44" s="15">
        <v>0</v>
      </c>
      <c r="S44" s="15">
        <v>0</v>
      </c>
      <c r="T44" s="15">
        <v>0</v>
      </c>
      <c r="U44" s="15">
        <v>0</v>
      </c>
      <c r="V44" s="15">
        <v>0</v>
      </c>
      <c r="W44" s="15">
        <v>0</v>
      </c>
      <c r="X44" s="15">
        <v>0</v>
      </c>
      <c r="Y44" s="15">
        <v>0</v>
      </c>
      <c r="Z44" s="15">
        <v>0</v>
      </c>
      <c r="AA44" s="15">
        <v>0</v>
      </c>
      <c r="AB44" s="15">
        <f t="shared" ref="AB44:AK46" si="23">$B44/12</f>
        <v>7083.333333333333</v>
      </c>
      <c r="AC44" s="15">
        <f t="shared" si="23"/>
        <v>7083.333333333333</v>
      </c>
      <c r="AD44" s="15">
        <f t="shared" si="23"/>
        <v>7083.333333333333</v>
      </c>
      <c r="AE44" s="15">
        <f t="shared" si="23"/>
        <v>7083.333333333333</v>
      </c>
      <c r="AF44" s="15">
        <f t="shared" si="23"/>
        <v>7083.333333333333</v>
      </c>
      <c r="AG44" s="15">
        <f t="shared" si="23"/>
        <v>7083.333333333333</v>
      </c>
      <c r="AH44" s="15">
        <f t="shared" si="23"/>
        <v>7083.333333333333</v>
      </c>
      <c r="AI44" s="15">
        <f t="shared" si="23"/>
        <v>7083.333333333333</v>
      </c>
      <c r="AJ44" s="15">
        <f t="shared" si="23"/>
        <v>7083.333333333333</v>
      </c>
      <c r="AK44" s="15">
        <f t="shared" si="23"/>
        <v>7083.333333333333</v>
      </c>
      <c r="AL44" s="15">
        <f t="shared" ref="AL44:AU46" si="24">$B44/12</f>
        <v>7083.333333333333</v>
      </c>
      <c r="AM44" s="15">
        <f t="shared" si="24"/>
        <v>7083.333333333333</v>
      </c>
      <c r="AN44" s="15">
        <f t="shared" si="24"/>
        <v>7083.333333333333</v>
      </c>
      <c r="AO44" s="15">
        <f t="shared" si="24"/>
        <v>7083.333333333333</v>
      </c>
      <c r="AP44" s="15">
        <f t="shared" si="24"/>
        <v>7083.333333333333</v>
      </c>
      <c r="AQ44" s="15">
        <f t="shared" si="24"/>
        <v>7083.333333333333</v>
      </c>
      <c r="AR44" s="15">
        <f t="shared" si="24"/>
        <v>7083.333333333333</v>
      </c>
      <c r="AS44" s="15">
        <f t="shared" si="24"/>
        <v>7083.333333333333</v>
      </c>
      <c r="AT44" s="15">
        <f t="shared" si="24"/>
        <v>7083.333333333333</v>
      </c>
      <c r="AU44" s="15">
        <f t="shared" si="24"/>
        <v>7083.333333333333</v>
      </c>
      <c r="AV44" s="15">
        <f t="shared" ref="AV44:BE46" si="25">$B44/12</f>
        <v>7083.333333333333</v>
      </c>
      <c r="AW44" s="15">
        <f t="shared" si="25"/>
        <v>7083.333333333333</v>
      </c>
      <c r="AX44" s="15">
        <f t="shared" si="25"/>
        <v>7083.333333333333</v>
      </c>
      <c r="AY44" s="15">
        <f t="shared" si="25"/>
        <v>7083.333333333333</v>
      </c>
      <c r="AZ44" s="15">
        <f t="shared" si="25"/>
        <v>7083.333333333333</v>
      </c>
      <c r="BA44" s="15">
        <f t="shared" si="25"/>
        <v>7083.333333333333</v>
      </c>
      <c r="BB44" s="15">
        <f t="shared" si="25"/>
        <v>7083.333333333333</v>
      </c>
      <c r="BC44" s="15">
        <f t="shared" si="25"/>
        <v>7083.333333333333</v>
      </c>
      <c r="BD44" s="15">
        <f t="shared" si="25"/>
        <v>7083.333333333333</v>
      </c>
      <c r="BE44" s="15">
        <f t="shared" si="25"/>
        <v>7083.333333333333</v>
      </c>
      <c r="BF44" s="15">
        <f t="shared" ref="BF44:BT46" si="26">$B44/12</f>
        <v>7083.333333333333</v>
      </c>
      <c r="BG44" s="15">
        <f t="shared" si="26"/>
        <v>7083.333333333333</v>
      </c>
      <c r="BH44" s="15">
        <f t="shared" si="26"/>
        <v>7083.333333333333</v>
      </c>
      <c r="BI44" s="15">
        <f t="shared" si="26"/>
        <v>7083.333333333333</v>
      </c>
      <c r="BJ44" s="15">
        <f t="shared" si="26"/>
        <v>7083.333333333333</v>
      </c>
      <c r="BK44" s="15">
        <f t="shared" si="26"/>
        <v>7083.333333333333</v>
      </c>
      <c r="BL44" s="15">
        <f t="shared" si="26"/>
        <v>7083.333333333333</v>
      </c>
      <c r="BM44" s="15">
        <f t="shared" si="26"/>
        <v>7083.333333333333</v>
      </c>
      <c r="BN44" s="15">
        <f t="shared" si="26"/>
        <v>7083.333333333333</v>
      </c>
      <c r="BO44" s="15">
        <f t="shared" si="26"/>
        <v>7083.333333333333</v>
      </c>
      <c r="BP44" s="15">
        <f t="shared" si="26"/>
        <v>7083.333333333333</v>
      </c>
      <c r="BQ44" s="15">
        <f t="shared" si="26"/>
        <v>7083.333333333333</v>
      </c>
      <c r="BR44" s="15">
        <f t="shared" si="26"/>
        <v>7083.333333333333</v>
      </c>
      <c r="BS44" s="15">
        <f t="shared" si="26"/>
        <v>7083.333333333333</v>
      </c>
      <c r="BT44" s="15">
        <f t="shared" si="26"/>
        <v>7083.333333333333</v>
      </c>
    </row>
    <row r="45" spans="1:72" x14ac:dyDescent="0.3">
      <c r="A45" s="28" t="s">
        <v>207</v>
      </c>
      <c r="B45" s="63">
        <v>85000</v>
      </c>
      <c r="C45" t="s">
        <v>10</v>
      </c>
      <c r="D45" t="s">
        <v>17</v>
      </c>
      <c r="M45" s="15">
        <v>0</v>
      </c>
      <c r="N45" s="15">
        <v>0</v>
      </c>
      <c r="O45" s="15">
        <v>0</v>
      </c>
      <c r="P45" s="15">
        <v>0</v>
      </c>
      <c r="Q45" s="15">
        <v>0</v>
      </c>
      <c r="R45" s="15">
        <v>0</v>
      </c>
      <c r="S45" s="15">
        <v>0</v>
      </c>
      <c r="T45" s="15">
        <v>0</v>
      </c>
      <c r="U45" s="15">
        <v>0</v>
      </c>
      <c r="V45" s="15">
        <v>0</v>
      </c>
      <c r="W45" s="15">
        <v>0</v>
      </c>
      <c r="X45" s="15">
        <v>0</v>
      </c>
      <c r="Y45" s="15">
        <v>0</v>
      </c>
      <c r="Z45" s="15">
        <v>0</v>
      </c>
      <c r="AA45" s="15">
        <v>0</v>
      </c>
      <c r="AB45" s="15">
        <f t="shared" si="23"/>
        <v>7083.333333333333</v>
      </c>
      <c r="AC45" s="15">
        <f t="shared" si="23"/>
        <v>7083.333333333333</v>
      </c>
      <c r="AD45" s="15">
        <f t="shared" si="23"/>
        <v>7083.333333333333</v>
      </c>
      <c r="AE45" s="15">
        <f t="shared" si="23"/>
        <v>7083.333333333333</v>
      </c>
      <c r="AF45" s="15">
        <f t="shared" si="23"/>
        <v>7083.333333333333</v>
      </c>
      <c r="AG45" s="15">
        <f t="shared" si="23"/>
        <v>7083.333333333333</v>
      </c>
      <c r="AH45" s="15">
        <f t="shared" si="23"/>
        <v>7083.333333333333</v>
      </c>
      <c r="AI45" s="15">
        <f t="shared" si="23"/>
        <v>7083.333333333333</v>
      </c>
      <c r="AJ45" s="15">
        <f t="shared" si="23"/>
        <v>7083.333333333333</v>
      </c>
      <c r="AK45" s="15">
        <f t="shared" si="23"/>
        <v>7083.333333333333</v>
      </c>
      <c r="AL45" s="15">
        <f t="shared" si="24"/>
        <v>7083.333333333333</v>
      </c>
      <c r="AM45" s="15">
        <f t="shared" si="24"/>
        <v>7083.333333333333</v>
      </c>
      <c r="AN45" s="15">
        <f t="shared" si="24"/>
        <v>7083.333333333333</v>
      </c>
      <c r="AO45" s="15">
        <f t="shared" si="24"/>
        <v>7083.333333333333</v>
      </c>
      <c r="AP45" s="15">
        <f t="shared" si="24"/>
        <v>7083.333333333333</v>
      </c>
      <c r="AQ45" s="15">
        <f t="shared" si="24"/>
        <v>7083.333333333333</v>
      </c>
      <c r="AR45" s="15">
        <f t="shared" si="24"/>
        <v>7083.333333333333</v>
      </c>
      <c r="AS45" s="15">
        <f t="shared" si="24"/>
        <v>7083.333333333333</v>
      </c>
      <c r="AT45" s="15">
        <f t="shared" si="24"/>
        <v>7083.333333333333</v>
      </c>
      <c r="AU45" s="15">
        <f t="shared" si="24"/>
        <v>7083.333333333333</v>
      </c>
      <c r="AV45" s="15">
        <f t="shared" si="25"/>
        <v>7083.333333333333</v>
      </c>
      <c r="AW45" s="15">
        <f t="shared" si="25"/>
        <v>7083.333333333333</v>
      </c>
      <c r="AX45" s="15">
        <f t="shared" si="25"/>
        <v>7083.333333333333</v>
      </c>
      <c r="AY45" s="15">
        <f t="shared" si="25"/>
        <v>7083.333333333333</v>
      </c>
      <c r="AZ45" s="15">
        <f t="shared" si="25"/>
        <v>7083.333333333333</v>
      </c>
      <c r="BA45" s="15">
        <f t="shared" si="25"/>
        <v>7083.333333333333</v>
      </c>
      <c r="BB45" s="15">
        <f t="shared" si="25"/>
        <v>7083.333333333333</v>
      </c>
      <c r="BC45" s="15">
        <f t="shared" si="25"/>
        <v>7083.333333333333</v>
      </c>
      <c r="BD45" s="15">
        <f t="shared" si="25"/>
        <v>7083.333333333333</v>
      </c>
      <c r="BE45" s="15">
        <f t="shared" si="25"/>
        <v>7083.333333333333</v>
      </c>
      <c r="BF45" s="15">
        <f t="shared" si="26"/>
        <v>7083.333333333333</v>
      </c>
      <c r="BG45" s="15">
        <f t="shared" si="26"/>
        <v>7083.333333333333</v>
      </c>
      <c r="BH45" s="15">
        <f t="shared" si="26"/>
        <v>7083.333333333333</v>
      </c>
      <c r="BI45" s="15">
        <f t="shared" si="26"/>
        <v>7083.333333333333</v>
      </c>
      <c r="BJ45" s="15">
        <f t="shared" si="26"/>
        <v>7083.333333333333</v>
      </c>
      <c r="BK45" s="15">
        <f t="shared" si="26"/>
        <v>7083.333333333333</v>
      </c>
      <c r="BL45" s="15">
        <f t="shared" si="26"/>
        <v>7083.333333333333</v>
      </c>
      <c r="BM45" s="15">
        <f t="shared" si="26"/>
        <v>7083.333333333333</v>
      </c>
      <c r="BN45" s="15">
        <f t="shared" si="26"/>
        <v>7083.333333333333</v>
      </c>
      <c r="BO45" s="15">
        <f t="shared" si="26"/>
        <v>7083.333333333333</v>
      </c>
      <c r="BP45" s="15">
        <f t="shared" si="26"/>
        <v>7083.333333333333</v>
      </c>
      <c r="BQ45" s="15">
        <f t="shared" si="26"/>
        <v>7083.333333333333</v>
      </c>
      <c r="BR45" s="15">
        <f t="shared" si="26"/>
        <v>7083.333333333333</v>
      </c>
      <c r="BS45" s="15">
        <f t="shared" si="26"/>
        <v>7083.333333333333</v>
      </c>
      <c r="BT45" s="15">
        <f t="shared" si="26"/>
        <v>7083.333333333333</v>
      </c>
    </row>
    <row r="46" spans="1:72" x14ac:dyDescent="0.3">
      <c r="A46" s="28" t="s">
        <v>208</v>
      </c>
      <c r="B46" s="63">
        <v>65000</v>
      </c>
      <c r="C46" t="s">
        <v>10</v>
      </c>
      <c r="D46" t="s">
        <v>17</v>
      </c>
      <c r="M46" s="15">
        <v>0</v>
      </c>
      <c r="N46" s="15">
        <v>0</v>
      </c>
      <c r="O46" s="15">
        <v>0</v>
      </c>
      <c r="P46" s="15">
        <v>0</v>
      </c>
      <c r="Q46" s="15">
        <v>0</v>
      </c>
      <c r="R46" s="15">
        <v>0</v>
      </c>
      <c r="S46" s="15">
        <v>0</v>
      </c>
      <c r="T46" s="15">
        <v>0</v>
      </c>
      <c r="U46" s="15">
        <v>0</v>
      </c>
      <c r="V46" s="15">
        <v>0</v>
      </c>
      <c r="W46" s="15">
        <v>0</v>
      </c>
      <c r="X46" s="15">
        <v>0</v>
      </c>
      <c r="Y46" s="15">
        <v>0</v>
      </c>
      <c r="Z46" s="15">
        <v>0</v>
      </c>
      <c r="AA46" s="15">
        <v>0</v>
      </c>
      <c r="AB46" s="15">
        <f t="shared" si="23"/>
        <v>5416.666666666667</v>
      </c>
      <c r="AC46" s="15">
        <f t="shared" si="23"/>
        <v>5416.666666666667</v>
      </c>
      <c r="AD46" s="15">
        <f t="shared" si="23"/>
        <v>5416.666666666667</v>
      </c>
      <c r="AE46" s="15">
        <f t="shared" si="23"/>
        <v>5416.666666666667</v>
      </c>
      <c r="AF46" s="15">
        <f t="shared" si="23"/>
        <v>5416.666666666667</v>
      </c>
      <c r="AG46" s="15">
        <f t="shared" si="23"/>
        <v>5416.666666666667</v>
      </c>
      <c r="AH46" s="15">
        <f t="shared" si="23"/>
        <v>5416.666666666667</v>
      </c>
      <c r="AI46" s="15">
        <f t="shared" si="23"/>
        <v>5416.666666666667</v>
      </c>
      <c r="AJ46" s="15">
        <f t="shared" si="23"/>
        <v>5416.666666666667</v>
      </c>
      <c r="AK46" s="15">
        <f t="shared" si="23"/>
        <v>5416.666666666667</v>
      </c>
      <c r="AL46" s="15">
        <f t="shared" si="24"/>
        <v>5416.666666666667</v>
      </c>
      <c r="AM46" s="15">
        <f t="shared" si="24"/>
        <v>5416.666666666667</v>
      </c>
      <c r="AN46" s="15">
        <f t="shared" si="24"/>
        <v>5416.666666666667</v>
      </c>
      <c r="AO46" s="15">
        <f t="shared" si="24"/>
        <v>5416.666666666667</v>
      </c>
      <c r="AP46" s="15">
        <f t="shared" si="24"/>
        <v>5416.666666666667</v>
      </c>
      <c r="AQ46" s="15">
        <f t="shared" si="24"/>
        <v>5416.666666666667</v>
      </c>
      <c r="AR46" s="15">
        <f t="shared" si="24"/>
        <v>5416.666666666667</v>
      </c>
      <c r="AS46" s="15">
        <f t="shared" si="24"/>
        <v>5416.666666666667</v>
      </c>
      <c r="AT46" s="15">
        <f t="shared" si="24"/>
        <v>5416.666666666667</v>
      </c>
      <c r="AU46" s="15">
        <f t="shared" si="24"/>
        <v>5416.666666666667</v>
      </c>
      <c r="AV46" s="15">
        <f t="shared" si="25"/>
        <v>5416.666666666667</v>
      </c>
      <c r="AW46" s="15">
        <f t="shared" si="25"/>
        <v>5416.666666666667</v>
      </c>
      <c r="AX46" s="15">
        <f t="shared" si="25"/>
        <v>5416.666666666667</v>
      </c>
      <c r="AY46" s="15">
        <f t="shared" si="25"/>
        <v>5416.666666666667</v>
      </c>
      <c r="AZ46" s="15">
        <f t="shared" si="25"/>
        <v>5416.666666666667</v>
      </c>
      <c r="BA46" s="15">
        <f t="shared" si="25"/>
        <v>5416.666666666667</v>
      </c>
      <c r="BB46" s="15">
        <f t="shared" si="25"/>
        <v>5416.666666666667</v>
      </c>
      <c r="BC46" s="15">
        <f t="shared" si="25"/>
        <v>5416.666666666667</v>
      </c>
      <c r="BD46" s="15">
        <f t="shared" si="25"/>
        <v>5416.666666666667</v>
      </c>
      <c r="BE46" s="15">
        <f t="shared" si="25"/>
        <v>5416.666666666667</v>
      </c>
      <c r="BF46" s="15">
        <f t="shared" si="26"/>
        <v>5416.666666666667</v>
      </c>
      <c r="BG46" s="15">
        <f t="shared" si="26"/>
        <v>5416.666666666667</v>
      </c>
      <c r="BH46" s="15">
        <f t="shared" si="26"/>
        <v>5416.666666666667</v>
      </c>
      <c r="BI46" s="15">
        <f t="shared" si="26"/>
        <v>5416.666666666667</v>
      </c>
      <c r="BJ46" s="15">
        <f t="shared" si="26"/>
        <v>5416.666666666667</v>
      </c>
      <c r="BK46" s="15">
        <f t="shared" si="26"/>
        <v>5416.666666666667</v>
      </c>
      <c r="BL46" s="15">
        <f t="shared" si="26"/>
        <v>5416.666666666667</v>
      </c>
      <c r="BM46" s="15">
        <f t="shared" si="26"/>
        <v>5416.666666666667</v>
      </c>
      <c r="BN46" s="15">
        <f t="shared" si="26"/>
        <v>5416.666666666667</v>
      </c>
      <c r="BO46" s="15">
        <f t="shared" si="26"/>
        <v>5416.666666666667</v>
      </c>
      <c r="BP46" s="15">
        <f t="shared" si="26"/>
        <v>5416.666666666667</v>
      </c>
      <c r="BQ46" s="15">
        <f t="shared" si="26"/>
        <v>5416.666666666667</v>
      </c>
      <c r="BR46" s="15">
        <f t="shared" si="26"/>
        <v>5416.666666666667</v>
      </c>
      <c r="BS46" s="15">
        <f t="shared" si="26"/>
        <v>5416.666666666667</v>
      </c>
      <c r="BT46" s="15">
        <f t="shared" si="26"/>
        <v>5416.666666666667</v>
      </c>
    </row>
    <row r="47" spans="1:72" x14ac:dyDescent="0.3">
      <c r="A47" s="28" t="s">
        <v>208</v>
      </c>
      <c r="B47" s="63">
        <v>65000</v>
      </c>
      <c r="C47" t="s">
        <v>11</v>
      </c>
      <c r="D47" t="s">
        <v>14</v>
      </c>
      <c r="M47" s="15">
        <v>0</v>
      </c>
      <c r="N47" s="15">
        <v>0</v>
      </c>
      <c r="O47" s="15">
        <v>0</v>
      </c>
      <c r="P47" s="15">
        <v>0</v>
      </c>
      <c r="Q47" s="15">
        <v>0</v>
      </c>
      <c r="R47" s="15">
        <v>0</v>
      </c>
      <c r="S47" s="15">
        <v>0</v>
      </c>
      <c r="T47" s="15">
        <v>0</v>
      </c>
      <c r="U47" s="15">
        <v>0</v>
      </c>
      <c r="V47" s="15">
        <v>0</v>
      </c>
      <c r="W47" s="15">
        <v>0</v>
      </c>
      <c r="X47" s="15">
        <v>0</v>
      </c>
      <c r="Y47" s="15">
        <v>0</v>
      </c>
      <c r="Z47" s="15">
        <v>0</v>
      </c>
      <c r="AA47" s="15">
        <v>0</v>
      </c>
      <c r="AB47" s="15">
        <v>0</v>
      </c>
      <c r="AC47" s="15">
        <v>0</v>
      </c>
      <c r="AD47" s="15">
        <v>0</v>
      </c>
      <c r="AE47" s="15">
        <v>0</v>
      </c>
      <c r="AF47" s="15">
        <v>0</v>
      </c>
      <c r="AG47" s="15">
        <v>0</v>
      </c>
      <c r="AH47" s="15">
        <v>0</v>
      </c>
      <c r="AI47" s="15">
        <v>0</v>
      </c>
      <c r="AJ47" s="15">
        <v>0</v>
      </c>
      <c r="AK47" s="15">
        <v>0</v>
      </c>
      <c r="AL47" s="15">
        <v>0</v>
      </c>
      <c r="AM47" s="15">
        <v>0</v>
      </c>
      <c r="AN47" s="15">
        <v>0</v>
      </c>
      <c r="AO47" s="15">
        <v>0</v>
      </c>
      <c r="AP47" s="15">
        <v>0</v>
      </c>
      <c r="AQ47" s="15">
        <v>0</v>
      </c>
      <c r="AR47" s="15">
        <v>0</v>
      </c>
      <c r="AS47" s="15">
        <v>0</v>
      </c>
      <c r="AT47" s="15">
        <v>0</v>
      </c>
      <c r="AU47" s="15">
        <v>0</v>
      </c>
      <c r="AV47" s="15">
        <v>0</v>
      </c>
      <c r="AW47" s="15">
        <f t="shared" ref="AW47:BF52" si="27">$B47/12</f>
        <v>5416.666666666667</v>
      </c>
      <c r="AX47" s="15">
        <f t="shared" si="27"/>
        <v>5416.666666666667</v>
      </c>
      <c r="AY47" s="15">
        <f t="shared" si="27"/>
        <v>5416.666666666667</v>
      </c>
      <c r="AZ47" s="15">
        <f t="shared" si="27"/>
        <v>5416.666666666667</v>
      </c>
      <c r="BA47" s="15">
        <f t="shared" si="27"/>
        <v>5416.666666666667</v>
      </c>
      <c r="BB47" s="15">
        <f t="shared" si="27"/>
        <v>5416.666666666667</v>
      </c>
      <c r="BC47" s="15">
        <f t="shared" si="27"/>
        <v>5416.666666666667</v>
      </c>
      <c r="BD47" s="15">
        <f t="shared" si="27"/>
        <v>5416.666666666667</v>
      </c>
      <c r="BE47" s="15">
        <f t="shared" si="27"/>
        <v>5416.666666666667</v>
      </c>
      <c r="BF47" s="15">
        <f t="shared" si="27"/>
        <v>5416.666666666667</v>
      </c>
      <c r="BG47" s="15">
        <f t="shared" ref="BG47:BT52" si="28">$B47/12</f>
        <v>5416.666666666667</v>
      </c>
      <c r="BH47" s="15">
        <f t="shared" si="28"/>
        <v>5416.666666666667</v>
      </c>
      <c r="BI47" s="15">
        <f t="shared" si="28"/>
        <v>5416.666666666667</v>
      </c>
      <c r="BJ47" s="15">
        <f t="shared" si="28"/>
        <v>5416.666666666667</v>
      </c>
      <c r="BK47" s="15">
        <f t="shared" si="28"/>
        <v>5416.666666666667</v>
      </c>
      <c r="BL47" s="15">
        <f t="shared" si="28"/>
        <v>5416.666666666667</v>
      </c>
      <c r="BM47" s="15">
        <f t="shared" si="28"/>
        <v>5416.666666666667</v>
      </c>
      <c r="BN47" s="15">
        <f t="shared" si="28"/>
        <v>5416.666666666667</v>
      </c>
      <c r="BO47" s="15">
        <f t="shared" si="28"/>
        <v>5416.666666666667</v>
      </c>
      <c r="BP47" s="15">
        <f t="shared" si="28"/>
        <v>5416.666666666667</v>
      </c>
      <c r="BQ47" s="15">
        <f t="shared" si="28"/>
        <v>5416.666666666667</v>
      </c>
      <c r="BR47" s="15">
        <f t="shared" si="28"/>
        <v>5416.666666666667</v>
      </c>
      <c r="BS47" s="15">
        <f t="shared" si="28"/>
        <v>5416.666666666667</v>
      </c>
      <c r="BT47" s="15">
        <f t="shared" si="28"/>
        <v>5416.666666666667</v>
      </c>
    </row>
    <row r="48" spans="1:72" x14ac:dyDescent="0.3">
      <c r="A48" s="28" t="s">
        <v>209</v>
      </c>
      <c r="B48" s="63">
        <v>140000</v>
      </c>
      <c r="C48" t="s">
        <v>11</v>
      </c>
      <c r="D48" t="s">
        <v>14</v>
      </c>
      <c r="M48" s="15">
        <v>0</v>
      </c>
      <c r="N48" s="15">
        <v>0</v>
      </c>
      <c r="O48" s="15">
        <v>0</v>
      </c>
      <c r="P48" s="15">
        <v>0</v>
      </c>
      <c r="Q48" s="15">
        <v>0</v>
      </c>
      <c r="R48" s="15">
        <v>0</v>
      </c>
      <c r="S48" s="15">
        <v>0</v>
      </c>
      <c r="T48" s="15">
        <v>0</v>
      </c>
      <c r="U48" s="15">
        <v>0</v>
      </c>
      <c r="V48" s="15">
        <v>0</v>
      </c>
      <c r="W48" s="15">
        <v>0</v>
      </c>
      <c r="X48" s="15">
        <v>0</v>
      </c>
      <c r="Y48" s="15">
        <v>0</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0</v>
      </c>
      <c r="AT48" s="15">
        <v>0</v>
      </c>
      <c r="AU48" s="15">
        <v>0</v>
      </c>
      <c r="AV48" s="15">
        <v>0</v>
      </c>
      <c r="AW48" s="15">
        <f t="shared" si="27"/>
        <v>11666.666666666666</v>
      </c>
      <c r="AX48" s="15">
        <f t="shared" si="27"/>
        <v>11666.666666666666</v>
      </c>
      <c r="AY48" s="15">
        <f t="shared" si="27"/>
        <v>11666.666666666666</v>
      </c>
      <c r="AZ48" s="15">
        <f t="shared" si="27"/>
        <v>11666.666666666666</v>
      </c>
      <c r="BA48" s="15">
        <f t="shared" si="27"/>
        <v>11666.666666666666</v>
      </c>
      <c r="BB48" s="15">
        <f t="shared" si="27"/>
        <v>11666.666666666666</v>
      </c>
      <c r="BC48" s="15">
        <f t="shared" si="27"/>
        <v>11666.666666666666</v>
      </c>
      <c r="BD48" s="15">
        <f t="shared" si="27"/>
        <v>11666.666666666666</v>
      </c>
      <c r="BE48" s="15">
        <f t="shared" si="27"/>
        <v>11666.666666666666</v>
      </c>
      <c r="BF48" s="15">
        <f t="shared" si="27"/>
        <v>11666.666666666666</v>
      </c>
      <c r="BG48" s="15">
        <f t="shared" si="28"/>
        <v>11666.666666666666</v>
      </c>
      <c r="BH48" s="15">
        <f t="shared" si="28"/>
        <v>11666.666666666666</v>
      </c>
      <c r="BI48" s="15">
        <f t="shared" si="28"/>
        <v>11666.666666666666</v>
      </c>
      <c r="BJ48" s="15">
        <f t="shared" si="28"/>
        <v>11666.666666666666</v>
      </c>
      <c r="BK48" s="15">
        <f t="shared" si="28"/>
        <v>11666.666666666666</v>
      </c>
      <c r="BL48" s="15">
        <f t="shared" si="28"/>
        <v>11666.666666666666</v>
      </c>
      <c r="BM48" s="15">
        <f t="shared" si="28"/>
        <v>11666.666666666666</v>
      </c>
      <c r="BN48" s="15">
        <f t="shared" si="28"/>
        <v>11666.666666666666</v>
      </c>
      <c r="BO48" s="15">
        <f t="shared" si="28"/>
        <v>11666.666666666666</v>
      </c>
      <c r="BP48" s="15">
        <f t="shared" si="28"/>
        <v>11666.666666666666</v>
      </c>
      <c r="BQ48" s="15">
        <f t="shared" si="28"/>
        <v>11666.666666666666</v>
      </c>
      <c r="BR48" s="15">
        <f t="shared" si="28"/>
        <v>11666.666666666666</v>
      </c>
      <c r="BS48" s="15">
        <f t="shared" si="28"/>
        <v>11666.666666666666</v>
      </c>
      <c r="BT48" s="15">
        <f t="shared" si="28"/>
        <v>11666.666666666666</v>
      </c>
    </row>
    <row r="49" spans="1:238" x14ac:dyDescent="0.3">
      <c r="A49" s="28" t="s">
        <v>210</v>
      </c>
      <c r="B49" s="63">
        <v>190000</v>
      </c>
      <c r="C49" t="s">
        <v>11</v>
      </c>
      <c r="D49" t="s">
        <v>14</v>
      </c>
      <c r="M49" s="15">
        <v>0</v>
      </c>
      <c r="N49" s="15">
        <v>0</v>
      </c>
      <c r="O49" s="15">
        <v>0</v>
      </c>
      <c r="P49" s="15">
        <v>0</v>
      </c>
      <c r="Q49" s="15">
        <v>0</v>
      </c>
      <c r="R49" s="15">
        <v>0</v>
      </c>
      <c r="S49" s="15">
        <v>0</v>
      </c>
      <c r="T49" s="15">
        <v>0</v>
      </c>
      <c r="U49" s="15">
        <v>0</v>
      </c>
      <c r="V49" s="15">
        <v>0</v>
      </c>
      <c r="W49" s="15">
        <v>0</v>
      </c>
      <c r="X49" s="15">
        <v>0</v>
      </c>
      <c r="Y49" s="15">
        <v>0</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0</v>
      </c>
      <c r="AQ49" s="15">
        <v>0</v>
      </c>
      <c r="AR49" s="15">
        <v>0</v>
      </c>
      <c r="AS49" s="15">
        <v>0</v>
      </c>
      <c r="AT49" s="15">
        <v>0</v>
      </c>
      <c r="AU49" s="15">
        <v>0</v>
      </c>
      <c r="AV49" s="15">
        <v>0</v>
      </c>
      <c r="AW49" s="15">
        <f t="shared" si="27"/>
        <v>15833.333333333334</v>
      </c>
      <c r="AX49" s="15">
        <f t="shared" si="27"/>
        <v>15833.333333333334</v>
      </c>
      <c r="AY49" s="15">
        <f t="shared" si="27"/>
        <v>15833.333333333334</v>
      </c>
      <c r="AZ49" s="15">
        <f t="shared" si="27"/>
        <v>15833.333333333334</v>
      </c>
      <c r="BA49" s="15">
        <f t="shared" si="27"/>
        <v>15833.333333333334</v>
      </c>
      <c r="BB49" s="15">
        <f t="shared" si="27"/>
        <v>15833.333333333334</v>
      </c>
      <c r="BC49" s="15">
        <f t="shared" si="27"/>
        <v>15833.333333333334</v>
      </c>
      <c r="BD49" s="15">
        <f t="shared" si="27"/>
        <v>15833.333333333334</v>
      </c>
      <c r="BE49" s="15">
        <f t="shared" si="27"/>
        <v>15833.333333333334</v>
      </c>
      <c r="BF49" s="15">
        <f t="shared" si="27"/>
        <v>15833.333333333334</v>
      </c>
      <c r="BG49" s="15">
        <f t="shared" si="28"/>
        <v>15833.333333333334</v>
      </c>
      <c r="BH49" s="15">
        <f t="shared" si="28"/>
        <v>15833.333333333334</v>
      </c>
      <c r="BI49" s="15">
        <f t="shared" si="28"/>
        <v>15833.333333333334</v>
      </c>
      <c r="BJ49" s="15">
        <f t="shared" si="28"/>
        <v>15833.333333333334</v>
      </c>
      <c r="BK49" s="15">
        <f t="shared" si="28"/>
        <v>15833.333333333334</v>
      </c>
      <c r="BL49" s="15">
        <f t="shared" si="28"/>
        <v>15833.333333333334</v>
      </c>
      <c r="BM49" s="15">
        <f t="shared" si="28"/>
        <v>15833.333333333334</v>
      </c>
      <c r="BN49" s="15">
        <f t="shared" si="28"/>
        <v>15833.333333333334</v>
      </c>
      <c r="BO49" s="15">
        <f t="shared" si="28"/>
        <v>15833.333333333334</v>
      </c>
      <c r="BP49" s="15">
        <f t="shared" si="28"/>
        <v>15833.333333333334</v>
      </c>
      <c r="BQ49" s="15">
        <f t="shared" si="28"/>
        <v>15833.333333333334</v>
      </c>
      <c r="BR49" s="15">
        <f t="shared" si="28"/>
        <v>15833.333333333334</v>
      </c>
      <c r="BS49" s="15">
        <f t="shared" si="28"/>
        <v>15833.333333333334</v>
      </c>
      <c r="BT49" s="15">
        <f t="shared" si="28"/>
        <v>15833.333333333334</v>
      </c>
    </row>
    <row r="50" spans="1:238" x14ac:dyDescent="0.3">
      <c r="A50" s="28" t="s">
        <v>211</v>
      </c>
      <c r="B50" s="63">
        <v>44000</v>
      </c>
      <c r="C50" t="s">
        <v>8</v>
      </c>
      <c r="D50" t="s">
        <v>212</v>
      </c>
      <c r="M50" s="15"/>
      <c r="N50" s="15"/>
      <c r="O50" s="15"/>
      <c r="P50" s="15"/>
      <c r="Q50" s="15"/>
      <c r="R50" s="15"/>
      <c r="S50" s="15"/>
      <c r="T50" s="15"/>
      <c r="U50" s="15">
        <f t="shared" ref="U50:AV50" si="29">$B50/12</f>
        <v>3666.6666666666665</v>
      </c>
      <c r="V50" s="15">
        <f t="shared" si="29"/>
        <v>3666.6666666666665</v>
      </c>
      <c r="W50" s="15">
        <f t="shared" si="29"/>
        <v>3666.6666666666665</v>
      </c>
      <c r="X50" s="15">
        <f t="shared" si="29"/>
        <v>3666.6666666666665</v>
      </c>
      <c r="Y50" s="15">
        <f t="shared" si="29"/>
        <v>3666.6666666666665</v>
      </c>
      <c r="Z50" s="15">
        <f t="shared" si="29"/>
        <v>3666.6666666666665</v>
      </c>
      <c r="AA50" s="15">
        <f t="shared" si="29"/>
        <v>3666.6666666666665</v>
      </c>
      <c r="AB50" s="15">
        <f t="shared" si="29"/>
        <v>3666.6666666666665</v>
      </c>
      <c r="AC50" s="15">
        <f t="shared" si="29"/>
        <v>3666.6666666666665</v>
      </c>
      <c r="AD50" s="15">
        <f t="shared" si="29"/>
        <v>3666.6666666666665</v>
      </c>
      <c r="AE50" s="15">
        <f t="shared" si="29"/>
        <v>3666.6666666666665</v>
      </c>
      <c r="AF50" s="15">
        <f t="shared" si="29"/>
        <v>3666.6666666666665</v>
      </c>
      <c r="AG50" s="15">
        <f t="shared" si="29"/>
        <v>3666.6666666666665</v>
      </c>
      <c r="AH50" s="15">
        <f t="shared" si="29"/>
        <v>3666.6666666666665</v>
      </c>
      <c r="AI50" s="15">
        <f t="shared" si="29"/>
        <v>3666.6666666666665</v>
      </c>
      <c r="AJ50" s="15">
        <f t="shared" si="29"/>
        <v>3666.6666666666665</v>
      </c>
      <c r="AK50" s="15">
        <f t="shared" si="29"/>
        <v>3666.6666666666665</v>
      </c>
      <c r="AL50" s="15">
        <f t="shared" si="29"/>
        <v>3666.6666666666665</v>
      </c>
      <c r="AM50" s="15">
        <f t="shared" si="29"/>
        <v>3666.6666666666665</v>
      </c>
      <c r="AN50" s="15">
        <f t="shared" si="29"/>
        <v>3666.6666666666665</v>
      </c>
      <c r="AO50" s="15">
        <f t="shared" si="29"/>
        <v>3666.6666666666665</v>
      </c>
      <c r="AP50" s="15">
        <f t="shared" si="29"/>
        <v>3666.6666666666665</v>
      </c>
      <c r="AQ50" s="15">
        <f t="shared" si="29"/>
        <v>3666.6666666666665</v>
      </c>
      <c r="AR50" s="15">
        <f t="shared" si="29"/>
        <v>3666.6666666666665</v>
      </c>
      <c r="AS50" s="15">
        <f t="shared" si="29"/>
        <v>3666.6666666666665</v>
      </c>
      <c r="AT50" s="15">
        <f t="shared" si="29"/>
        <v>3666.6666666666665</v>
      </c>
      <c r="AU50" s="15">
        <f t="shared" si="29"/>
        <v>3666.6666666666665</v>
      </c>
      <c r="AV50" s="15">
        <f t="shared" si="29"/>
        <v>3666.6666666666665</v>
      </c>
      <c r="AW50" s="15">
        <f t="shared" si="27"/>
        <v>3666.6666666666665</v>
      </c>
      <c r="AX50" s="15">
        <f t="shared" si="27"/>
        <v>3666.6666666666665</v>
      </c>
      <c r="AY50" s="15">
        <f t="shared" si="27"/>
        <v>3666.6666666666665</v>
      </c>
      <c r="AZ50" s="15">
        <f t="shared" si="27"/>
        <v>3666.6666666666665</v>
      </c>
      <c r="BA50" s="15">
        <f t="shared" si="27"/>
        <v>3666.6666666666665</v>
      </c>
      <c r="BB50" s="15">
        <f t="shared" si="27"/>
        <v>3666.6666666666665</v>
      </c>
      <c r="BC50" s="15">
        <f t="shared" si="27"/>
        <v>3666.6666666666665</v>
      </c>
      <c r="BD50" s="15">
        <f t="shared" si="27"/>
        <v>3666.6666666666665</v>
      </c>
      <c r="BE50" s="15">
        <f t="shared" si="27"/>
        <v>3666.6666666666665</v>
      </c>
      <c r="BF50" s="15">
        <f t="shared" si="27"/>
        <v>3666.6666666666665</v>
      </c>
      <c r="BG50" s="15">
        <f t="shared" si="28"/>
        <v>3666.6666666666665</v>
      </c>
      <c r="BH50" s="15">
        <f t="shared" si="28"/>
        <v>3666.6666666666665</v>
      </c>
      <c r="BI50" s="15">
        <f t="shared" si="28"/>
        <v>3666.6666666666665</v>
      </c>
      <c r="BJ50" s="15">
        <f t="shared" si="28"/>
        <v>3666.6666666666665</v>
      </c>
      <c r="BK50" s="15">
        <f t="shared" si="28"/>
        <v>3666.6666666666665</v>
      </c>
      <c r="BL50" s="15">
        <f t="shared" si="28"/>
        <v>3666.6666666666665</v>
      </c>
      <c r="BM50" s="15">
        <f t="shared" si="28"/>
        <v>3666.6666666666665</v>
      </c>
      <c r="BN50" s="15">
        <f t="shared" si="28"/>
        <v>3666.6666666666665</v>
      </c>
      <c r="BO50" s="15">
        <f t="shared" si="28"/>
        <v>3666.6666666666665</v>
      </c>
      <c r="BP50" s="15">
        <f t="shared" si="28"/>
        <v>3666.6666666666665</v>
      </c>
      <c r="BQ50" s="15">
        <f t="shared" si="28"/>
        <v>3666.6666666666665</v>
      </c>
      <c r="BR50" s="15">
        <f t="shared" si="28"/>
        <v>3666.6666666666665</v>
      </c>
      <c r="BS50" s="15">
        <f t="shared" si="28"/>
        <v>3666.6666666666665</v>
      </c>
      <c r="BT50" s="15">
        <f t="shared" si="28"/>
        <v>3666.6666666666665</v>
      </c>
    </row>
    <row r="51" spans="1:238" x14ac:dyDescent="0.3">
      <c r="A51" s="28" t="s">
        <v>211</v>
      </c>
      <c r="B51" s="63">
        <v>44000</v>
      </c>
      <c r="C51" t="s">
        <v>9</v>
      </c>
      <c r="D51" t="s">
        <v>14</v>
      </c>
      <c r="M51" s="15"/>
      <c r="N51" s="15"/>
      <c r="O51" s="15"/>
      <c r="P51" s="15"/>
      <c r="Q51" s="15"/>
      <c r="R51" s="15"/>
      <c r="S51" s="15"/>
      <c r="T51" s="15"/>
      <c r="U51" s="15"/>
      <c r="V51" s="15"/>
      <c r="W51" s="15"/>
      <c r="X51" s="15"/>
      <c r="Y51" s="15">
        <f t="shared" ref="Y51:AV51" si="30">$B51/12</f>
        <v>3666.6666666666665</v>
      </c>
      <c r="Z51" s="15">
        <f t="shared" si="30"/>
        <v>3666.6666666666665</v>
      </c>
      <c r="AA51" s="15">
        <f t="shared" si="30"/>
        <v>3666.6666666666665</v>
      </c>
      <c r="AB51" s="15">
        <f t="shared" si="30"/>
        <v>3666.6666666666665</v>
      </c>
      <c r="AC51" s="15">
        <f t="shared" si="30"/>
        <v>3666.6666666666665</v>
      </c>
      <c r="AD51" s="15">
        <f t="shared" si="30"/>
        <v>3666.6666666666665</v>
      </c>
      <c r="AE51" s="15">
        <f t="shared" si="30"/>
        <v>3666.6666666666665</v>
      </c>
      <c r="AF51" s="15">
        <f t="shared" si="30"/>
        <v>3666.6666666666665</v>
      </c>
      <c r="AG51" s="15">
        <f t="shared" si="30"/>
        <v>3666.6666666666665</v>
      </c>
      <c r="AH51" s="15">
        <f t="shared" si="30"/>
        <v>3666.6666666666665</v>
      </c>
      <c r="AI51" s="15">
        <f t="shared" si="30"/>
        <v>3666.6666666666665</v>
      </c>
      <c r="AJ51" s="15">
        <f t="shared" si="30"/>
        <v>3666.6666666666665</v>
      </c>
      <c r="AK51" s="15">
        <f t="shared" si="30"/>
        <v>3666.6666666666665</v>
      </c>
      <c r="AL51" s="15">
        <f t="shared" si="30"/>
        <v>3666.6666666666665</v>
      </c>
      <c r="AM51" s="15">
        <f t="shared" si="30"/>
        <v>3666.6666666666665</v>
      </c>
      <c r="AN51" s="15">
        <f t="shared" si="30"/>
        <v>3666.6666666666665</v>
      </c>
      <c r="AO51" s="15">
        <f t="shared" si="30"/>
        <v>3666.6666666666665</v>
      </c>
      <c r="AP51" s="15">
        <f t="shared" si="30"/>
        <v>3666.6666666666665</v>
      </c>
      <c r="AQ51" s="15">
        <f t="shared" si="30"/>
        <v>3666.6666666666665</v>
      </c>
      <c r="AR51" s="15">
        <f t="shared" si="30"/>
        <v>3666.6666666666665</v>
      </c>
      <c r="AS51" s="15">
        <f t="shared" si="30"/>
        <v>3666.6666666666665</v>
      </c>
      <c r="AT51" s="15">
        <f t="shared" si="30"/>
        <v>3666.6666666666665</v>
      </c>
      <c r="AU51" s="15">
        <f t="shared" si="30"/>
        <v>3666.6666666666665</v>
      </c>
      <c r="AV51" s="15">
        <f t="shared" si="30"/>
        <v>3666.6666666666665</v>
      </c>
      <c r="AW51" s="15">
        <f t="shared" si="27"/>
        <v>3666.6666666666665</v>
      </c>
      <c r="AX51" s="15">
        <f t="shared" si="27"/>
        <v>3666.6666666666665</v>
      </c>
      <c r="AY51" s="15">
        <f t="shared" si="27"/>
        <v>3666.6666666666665</v>
      </c>
      <c r="AZ51" s="15">
        <f t="shared" si="27"/>
        <v>3666.6666666666665</v>
      </c>
      <c r="BA51" s="15">
        <f t="shared" si="27"/>
        <v>3666.6666666666665</v>
      </c>
      <c r="BB51" s="15">
        <f t="shared" si="27"/>
        <v>3666.6666666666665</v>
      </c>
      <c r="BC51" s="15">
        <f t="shared" si="27"/>
        <v>3666.6666666666665</v>
      </c>
      <c r="BD51" s="15">
        <f t="shared" si="27"/>
        <v>3666.6666666666665</v>
      </c>
      <c r="BE51" s="15">
        <f t="shared" si="27"/>
        <v>3666.6666666666665</v>
      </c>
      <c r="BF51" s="15">
        <f t="shared" si="27"/>
        <v>3666.6666666666665</v>
      </c>
      <c r="BG51" s="15">
        <f t="shared" si="28"/>
        <v>3666.6666666666665</v>
      </c>
      <c r="BH51" s="15">
        <f t="shared" si="28"/>
        <v>3666.6666666666665</v>
      </c>
      <c r="BI51" s="15">
        <f t="shared" si="28"/>
        <v>3666.6666666666665</v>
      </c>
      <c r="BJ51" s="15">
        <f t="shared" si="28"/>
        <v>3666.6666666666665</v>
      </c>
      <c r="BK51" s="15">
        <f t="shared" si="28"/>
        <v>3666.6666666666665</v>
      </c>
      <c r="BL51" s="15">
        <f t="shared" si="28"/>
        <v>3666.6666666666665</v>
      </c>
      <c r="BM51" s="15">
        <f t="shared" si="28"/>
        <v>3666.6666666666665</v>
      </c>
      <c r="BN51" s="15">
        <f t="shared" si="28"/>
        <v>3666.6666666666665</v>
      </c>
      <c r="BO51" s="15">
        <f t="shared" si="28"/>
        <v>3666.6666666666665</v>
      </c>
      <c r="BP51" s="15">
        <f t="shared" si="28"/>
        <v>3666.6666666666665</v>
      </c>
      <c r="BQ51" s="15">
        <f t="shared" si="28"/>
        <v>3666.6666666666665</v>
      </c>
      <c r="BR51" s="15">
        <f t="shared" si="28"/>
        <v>3666.6666666666665</v>
      </c>
      <c r="BS51" s="15">
        <f t="shared" si="28"/>
        <v>3666.6666666666665</v>
      </c>
      <c r="BT51" s="15">
        <f t="shared" si="28"/>
        <v>3666.6666666666665</v>
      </c>
    </row>
    <row r="52" spans="1:238" x14ac:dyDescent="0.3">
      <c r="A52" s="28" t="s">
        <v>211</v>
      </c>
      <c r="B52" s="63">
        <v>44000</v>
      </c>
      <c r="C52" t="s">
        <v>10</v>
      </c>
      <c r="D52" t="s">
        <v>14</v>
      </c>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f t="shared" ref="AK52:AV52" si="31">$B52/12</f>
        <v>3666.6666666666665</v>
      </c>
      <c r="AL52" s="15">
        <f t="shared" si="31"/>
        <v>3666.6666666666665</v>
      </c>
      <c r="AM52" s="15">
        <f t="shared" si="31"/>
        <v>3666.6666666666665</v>
      </c>
      <c r="AN52" s="15">
        <f t="shared" si="31"/>
        <v>3666.6666666666665</v>
      </c>
      <c r="AO52" s="15">
        <f t="shared" si="31"/>
        <v>3666.6666666666665</v>
      </c>
      <c r="AP52" s="15">
        <f t="shared" si="31"/>
        <v>3666.6666666666665</v>
      </c>
      <c r="AQ52" s="15">
        <f t="shared" si="31"/>
        <v>3666.6666666666665</v>
      </c>
      <c r="AR52" s="15">
        <f t="shared" si="31"/>
        <v>3666.6666666666665</v>
      </c>
      <c r="AS52" s="15">
        <f t="shared" si="31"/>
        <v>3666.6666666666665</v>
      </c>
      <c r="AT52" s="15">
        <f t="shared" si="31"/>
        <v>3666.6666666666665</v>
      </c>
      <c r="AU52" s="15">
        <f t="shared" si="31"/>
        <v>3666.6666666666665</v>
      </c>
      <c r="AV52" s="15">
        <f t="shared" si="31"/>
        <v>3666.6666666666665</v>
      </c>
      <c r="AW52" s="15">
        <f t="shared" si="27"/>
        <v>3666.6666666666665</v>
      </c>
      <c r="AX52" s="15">
        <f t="shared" si="27"/>
        <v>3666.6666666666665</v>
      </c>
      <c r="AY52" s="15">
        <f t="shared" si="27"/>
        <v>3666.6666666666665</v>
      </c>
      <c r="AZ52" s="15">
        <f t="shared" si="27"/>
        <v>3666.6666666666665</v>
      </c>
      <c r="BA52" s="15">
        <f t="shared" si="27"/>
        <v>3666.6666666666665</v>
      </c>
      <c r="BB52" s="15">
        <f t="shared" si="27"/>
        <v>3666.6666666666665</v>
      </c>
      <c r="BC52" s="15">
        <f t="shared" si="27"/>
        <v>3666.6666666666665</v>
      </c>
      <c r="BD52" s="15">
        <f t="shared" si="27"/>
        <v>3666.6666666666665</v>
      </c>
      <c r="BE52" s="15">
        <f t="shared" si="27"/>
        <v>3666.6666666666665</v>
      </c>
      <c r="BF52" s="15">
        <f t="shared" si="27"/>
        <v>3666.6666666666665</v>
      </c>
      <c r="BG52" s="15">
        <f t="shared" si="28"/>
        <v>3666.6666666666665</v>
      </c>
      <c r="BH52" s="15">
        <f t="shared" si="28"/>
        <v>3666.6666666666665</v>
      </c>
      <c r="BI52" s="15">
        <f t="shared" si="28"/>
        <v>3666.6666666666665</v>
      </c>
      <c r="BJ52" s="15">
        <f t="shared" si="28"/>
        <v>3666.6666666666665</v>
      </c>
      <c r="BK52" s="15">
        <f t="shared" si="28"/>
        <v>3666.6666666666665</v>
      </c>
      <c r="BL52" s="15">
        <f t="shared" si="28"/>
        <v>3666.6666666666665</v>
      </c>
      <c r="BM52" s="15">
        <f t="shared" si="28"/>
        <v>3666.6666666666665</v>
      </c>
      <c r="BN52" s="15">
        <f t="shared" si="28"/>
        <v>3666.6666666666665</v>
      </c>
      <c r="BO52" s="15">
        <f t="shared" si="28"/>
        <v>3666.6666666666665</v>
      </c>
      <c r="BP52" s="15">
        <f t="shared" si="28"/>
        <v>3666.6666666666665</v>
      </c>
      <c r="BQ52" s="15">
        <f t="shared" si="28"/>
        <v>3666.6666666666665</v>
      </c>
      <c r="BR52" s="15">
        <f t="shared" si="28"/>
        <v>3666.6666666666665</v>
      </c>
      <c r="BS52" s="15">
        <f t="shared" si="28"/>
        <v>3666.6666666666665</v>
      </c>
      <c r="BT52" s="15">
        <f t="shared" si="28"/>
        <v>3666.6666666666665</v>
      </c>
    </row>
    <row r="53" spans="1:238" x14ac:dyDescent="0.3">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row>
    <row r="54" spans="1:238" ht="15" thickBot="1" x14ac:dyDescent="0.35">
      <c r="B54" s="28" t="s">
        <v>189</v>
      </c>
      <c r="M54" s="110">
        <f t="shared" ref="M54:AR54" si="32">SUM(M38:M53)</f>
        <v>43750</v>
      </c>
      <c r="N54" s="110">
        <f t="shared" si="32"/>
        <v>43750</v>
      </c>
      <c r="O54" s="110">
        <f t="shared" si="32"/>
        <v>43750</v>
      </c>
      <c r="P54" s="110">
        <f t="shared" si="32"/>
        <v>43750</v>
      </c>
      <c r="Q54" s="110">
        <f t="shared" si="32"/>
        <v>43750</v>
      </c>
      <c r="R54" s="110">
        <f t="shared" si="32"/>
        <v>43750</v>
      </c>
      <c r="S54" s="110">
        <f t="shared" si="32"/>
        <v>43750</v>
      </c>
      <c r="T54" s="110">
        <f t="shared" si="32"/>
        <v>43750</v>
      </c>
      <c r="U54" s="110">
        <f t="shared" si="32"/>
        <v>47416.666666666664</v>
      </c>
      <c r="V54" s="110">
        <f t="shared" si="32"/>
        <v>47416.666666666664</v>
      </c>
      <c r="W54" s="110">
        <f t="shared" si="32"/>
        <v>47416.666666666664</v>
      </c>
      <c r="X54" s="110">
        <f t="shared" si="32"/>
        <v>47416.666666666664</v>
      </c>
      <c r="Y54" s="110">
        <f t="shared" si="32"/>
        <v>58999.999999999993</v>
      </c>
      <c r="Z54" s="110">
        <f t="shared" si="32"/>
        <v>58999.999999999993</v>
      </c>
      <c r="AA54" s="110">
        <f t="shared" si="32"/>
        <v>68166.666666666657</v>
      </c>
      <c r="AB54" s="110">
        <f t="shared" si="32"/>
        <v>87750</v>
      </c>
      <c r="AC54" s="110">
        <f t="shared" si="32"/>
        <v>87750</v>
      </c>
      <c r="AD54" s="110">
        <f t="shared" si="32"/>
        <v>87750</v>
      </c>
      <c r="AE54" s="110">
        <f t="shared" si="32"/>
        <v>87750</v>
      </c>
      <c r="AF54" s="110">
        <f t="shared" si="32"/>
        <v>87750</v>
      </c>
      <c r="AG54" s="110">
        <f t="shared" si="32"/>
        <v>87750</v>
      </c>
      <c r="AH54" s="110">
        <f t="shared" si="32"/>
        <v>87750</v>
      </c>
      <c r="AI54" s="110">
        <f t="shared" si="32"/>
        <v>87750</v>
      </c>
      <c r="AJ54" s="110">
        <f t="shared" si="32"/>
        <v>87750</v>
      </c>
      <c r="AK54" s="110">
        <f t="shared" si="32"/>
        <v>99333.333333333343</v>
      </c>
      <c r="AL54" s="110">
        <f t="shared" si="32"/>
        <v>99333.333333333343</v>
      </c>
      <c r="AM54" s="110">
        <f t="shared" si="32"/>
        <v>99333.333333333343</v>
      </c>
      <c r="AN54" s="110">
        <f t="shared" si="32"/>
        <v>99333.333333333343</v>
      </c>
      <c r="AO54" s="110">
        <f t="shared" si="32"/>
        <v>99333.333333333343</v>
      </c>
      <c r="AP54" s="110">
        <f t="shared" si="32"/>
        <v>99333.333333333343</v>
      </c>
      <c r="AQ54" s="110">
        <f t="shared" si="32"/>
        <v>99333.333333333343</v>
      </c>
      <c r="AR54" s="110">
        <f t="shared" si="32"/>
        <v>99333.333333333343</v>
      </c>
      <c r="AS54" s="110">
        <f t="shared" ref="AS54:BT54" si="33">SUM(AS38:AS53)</f>
        <v>99333.333333333343</v>
      </c>
      <c r="AT54" s="110">
        <f t="shared" si="33"/>
        <v>99333.333333333343</v>
      </c>
      <c r="AU54" s="110">
        <f t="shared" si="33"/>
        <v>99333.333333333343</v>
      </c>
      <c r="AV54" s="110">
        <f t="shared" si="33"/>
        <v>99333.333333333343</v>
      </c>
      <c r="AW54" s="110">
        <f t="shared" si="33"/>
        <v>132250</v>
      </c>
      <c r="AX54" s="110">
        <f t="shared" si="33"/>
        <v>132250</v>
      </c>
      <c r="AY54" s="110">
        <f t="shared" si="33"/>
        <v>132250</v>
      </c>
      <c r="AZ54" s="110">
        <f t="shared" si="33"/>
        <v>132250</v>
      </c>
      <c r="BA54" s="110">
        <f t="shared" si="33"/>
        <v>132250</v>
      </c>
      <c r="BB54" s="110">
        <f t="shared" si="33"/>
        <v>132250</v>
      </c>
      <c r="BC54" s="110">
        <f t="shared" si="33"/>
        <v>132250</v>
      </c>
      <c r="BD54" s="110">
        <f t="shared" si="33"/>
        <v>132250</v>
      </c>
      <c r="BE54" s="110">
        <f t="shared" si="33"/>
        <v>132250</v>
      </c>
      <c r="BF54" s="110">
        <f t="shared" si="33"/>
        <v>132250</v>
      </c>
      <c r="BG54" s="110">
        <f t="shared" si="33"/>
        <v>132250</v>
      </c>
      <c r="BH54" s="110">
        <f t="shared" si="33"/>
        <v>132250</v>
      </c>
      <c r="BI54" s="110">
        <f t="shared" si="33"/>
        <v>132250</v>
      </c>
      <c r="BJ54" s="110">
        <f t="shared" si="33"/>
        <v>132250</v>
      </c>
      <c r="BK54" s="110">
        <f t="shared" si="33"/>
        <v>132250</v>
      </c>
      <c r="BL54" s="110">
        <f t="shared" si="33"/>
        <v>132250</v>
      </c>
      <c r="BM54" s="110">
        <f t="shared" si="33"/>
        <v>132250</v>
      </c>
      <c r="BN54" s="110">
        <f t="shared" si="33"/>
        <v>132250</v>
      </c>
      <c r="BO54" s="110">
        <f t="shared" si="33"/>
        <v>132250</v>
      </c>
      <c r="BP54" s="110">
        <f t="shared" si="33"/>
        <v>132250</v>
      </c>
      <c r="BQ54" s="110">
        <f t="shared" si="33"/>
        <v>132250</v>
      </c>
      <c r="BR54" s="110">
        <f t="shared" si="33"/>
        <v>132250</v>
      </c>
      <c r="BS54" s="110">
        <f t="shared" si="33"/>
        <v>132250</v>
      </c>
      <c r="BT54" s="110">
        <f t="shared" si="33"/>
        <v>132250</v>
      </c>
    </row>
    <row r="55" spans="1:238" ht="15" thickTop="1" x14ac:dyDescent="0.3">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row>
    <row r="56" spans="1:238" x14ac:dyDescent="0.3">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row>
    <row r="57" spans="1:238" x14ac:dyDescent="0.3">
      <c r="B57" t="s">
        <v>253</v>
      </c>
      <c r="F57" t="s">
        <v>213</v>
      </c>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row>
    <row r="58" spans="1:238" x14ac:dyDescent="0.3">
      <c r="B58" t="s">
        <v>201</v>
      </c>
      <c r="C58" s="62">
        <f>B38</f>
        <v>175000</v>
      </c>
      <c r="D58" t="s">
        <v>202</v>
      </c>
      <c r="E58" t="s">
        <v>14</v>
      </c>
      <c r="F58" s="58">
        <v>60000</v>
      </c>
      <c r="M58" s="15">
        <f t="shared" ref="M58:V60" si="34">($C58-$F58)/12</f>
        <v>9583.3333333333339</v>
      </c>
      <c r="N58" s="15">
        <f t="shared" si="34"/>
        <v>9583.3333333333339</v>
      </c>
      <c r="O58" s="15">
        <f t="shared" si="34"/>
        <v>9583.3333333333339</v>
      </c>
      <c r="P58" s="15">
        <f t="shared" si="34"/>
        <v>9583.3333333333339</v>
      </c>
      <c r="Q58" s="15">
        <f t="shared" si="34"/>
        <v>9583.3333333333339</v>
      </c>
      <c r="R58" s="15">
        <f t="shared" si="34"/>
        <v>9583.3333333333339</v>
      </c>
      <c r="S58" s="15">
        <f t="shared" si="34"/>
        <v>9583.3333333333339</v>
      </c>
      <c r="T58" s="15">
        <f t="shared" si="34"/>
        <v>9583.3333333333339</v>
      </c>
      <c r="U58" s="15">
        <f t="shared" si="34"/>
        <v>9583.3333333333339</v>
      </c>
      <c r="V58" s="15">
        <f t="shared" si="34"/>
        <v>9583.3333333333339</v>
      </c>
      <c r="W58" s="15">
        <f t="shared" ref="W58:AF60" si="35">($C58-$F58)/12</f>
        <v>9583.3333333333339</v>
      </c>
      <c r="X58" s="15">
        <f t="shared" si="35"/>
        <v>9583.3333333333339</v>
      </c>
      <c r="Y58" s="15">
        <f t="shared" si="35"/>
        <v>9583.3333333333339</v>
      </c>
      <c r="Z58" s="15">
        <f t="shared" si="35"/>
        <v>9583.3333333333339</v>
      </c>
      <c r="AA58" s="15">
        <f t="shared" si="35"/>
        <v>9583.3333333333339</v>
      </c>
      <c r="AB58" s="15">
        <f t="shared" si="35"/>
        <v>9583.3333333333339</v>
      </c>
      <c r="AC58" s="15">
        <f t="shared" si="35"/>
        <v>9583.3333333333339</v>
      </c>
      <c r="AD58" s="15">
        <f t="shared" si="35"/>
        <v>9583.3333333333339</v>
      </c>
      <c r="AE58" s="15">
        <f t="shared" si="35"/>
        <v>9583.3333333333339</v>
      </c>
      <c r="AF58" s="15">
        <f t="shared" si="35"/>
        <v>9583.3333333333339</v>
      </c>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row>
    <row r="59" spans="1:238" x14ac:dyDescent="0.3">
      <c r="B59" t="s">
        <v>203</v>
      </c>
      <c r="C59" s="62">
        <f>B39</f>
        <v>175000</v>
      </c>
      <c r="D59" t="s">
        <v>202</v>
      </c>
      <c r="E59" t="s">
        <v>14</v>
      </c>
      <c r="F59" s="58">
        <v>60000</v>
      </c>
      <c r="M59" s="15">
        <f t="shared" si="34"/>
        <v>9583.3333333333339</v>
      </c>
      <c r="N59" s="15">
        <f t="shared" si="34"/>
        <v>9583.3333333333339</v>
      </c>
      <c r="O59" s="15">
        <f t="shared" si="34"/>
        <v>9583.3333333333339</v>
      </c>
      <c r="P59" s="15">
        <f t="shared" si="34"/>
        <v>9583.3333333333339</v>
      </c>
      <c r="Q59" s="15">
        <f t="shared" si="34"/>
        <v>9583.3333333333339</v>
      </c>
      <c r="R59" s="15">
        <f t="shared" si="34"/>
        <v>9583.3333333333339</v>
      </c>
      <c r="S59" s="15">
        <f t="shared" si="34"/>
        <v>9583.3333333333339</v>
      </c>
      <c r="T59" s="15">
        <f t="shared" si="34"/>
        <v>9583.3333333333339</v>
      </c>
      <c r="U59" s="15">
        <f t="shared" si="34"/>
        <v>9583.3333333333339</v>
      </c>
      <c r="V59" s="15">
        <f t="shared" si="34"/>
        <v>9583.3333333333339</v>
      </c>
      <c r="W59" s="15">
        <f t="shared" si="35"/>
        <v>9583.3333333333339</v>
      </c>
      <c r="X59" s="15">
        <f t="shared" si="35"/>
        <v>9583.3333333333339</v>
      </c>
      <c r="Y59" s="15">
        <f t="shared" si="35"/>
        <v>9583.3333333333339</v>
      </c>
      <c r="Z59" s="15">
        <f t="shared" si="35"/>
        <v>9583.3333333333339</v>
      </c>
      <c r="AA59" s="15">
        <f t="shared" si="35"/>
        <v>9583.3333333333339</v>
      </c>
      <c r="AB59" s="15">
        <f t="shared" si="35"/>
        <v>9583.3333333333339</v>
      </c>
      <c r="AC59" s="15">
        <f t="shared" si="35"/>
        <v>9583.3333333333339</v>
      </c>
      <c r="AD59" s="15">
        <f t="shared" si="35"/>
        <v>9583.3333333333339</v>
      </c>
      <c r="AE59" s="15">
        <f t="shared" si="35"/>
        <v>9583.3333333333339</v>
      </c>
      <c r="AF59" s="15">
        <f t="shared" si="35"/>
        <v>9583.3333333333339</v>
      </c>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row>
    <row r="60" spans="1:238" x14ac:dyDescent="0.3">
      <c r="B60" t="s">
        <v>204</v>
      </c>
      <c r="C60" s="62">
        <f>B40</f>
        <v>175000</v>
      </c>
      <c r="D60" t="s">
        <v>202</v>
      </c>
      <c r="E60" t="s">
        <v>14</v>
      </c>
      <c r="F60" s="58">
        <v>60000</v>
      </c>
      <c r="M60" s="15">
        <f t="shared" si="34"/>
        <v>9583.3333333333339</v>
      </c>
      <c r="N60" s="15">
        <f t="shared" si="34"/>
        <v>9583.3333333333339</v>
      </c>
      <c r="O60" s="15">
        <f t="shared" si="34"/>
        <v>9583.3333333333339</v>
      </c>
      <c r="P60" s="15">
        <f t="shared" si="34"/>
        <v>9583.3333333333339</v>
      </c>
      <c r="Q60" s="15">
        <f t="shared" si="34"/>
        <v>9583.3333333333339</v>
      </c>
      <c r="R60" s="15">
        <f t="shared" si="34"/>
        <v>9583.3333333333339</v>
      </c>
      <c r="S60" s="15">
        <f t="shared" si="34"/>
        <v>9583.3333333333339</v>
      </c>
      <c r="T60" s="15">
        <f t="shared" si="34"/>
        <v>9583.3333333333339</v>
      </c>
      <c r="U60" s="15">
        <f t="shared" si="34"/>
        <v>9583.3333333333339</v>
      </c>
      <c r="V60" s="15">
        <f t="shared" si="34"/>
        <v>9583.3333333333339</v>
      </c>
      <c r="W60" s="15">
        <f t="shared" si="35"/>
        <v>9583.3333333333339</v>
      </c>
      <c r="X60" s="15">
        <f t="shared" si="35"/>
        <v>9583.3333333333339</v>
      </c>
      <c r="Y60" s="15">
        <f t="shared" si="35"/>
        <v>9583.3333333333339</v>
      </c>
      <c r="Z60" s="15">
        <f t="shared" si="35"/>
        <v>9583.3333333333339</v>
      </c>
      <c r="AA60" s="15">
        <f t="shared" si="35"/>
        <v>9583.3333333333339</v>
      </c>
      <c r="AB60" s="15">
        <f t="shared" si="35"/>
        <v>9583.3333333333339</v>
      </c>
      <c r="AC60" s="15">
        <f t="shared" si="35"/>
        <v>9583.3333333333339</v>
      </c>
      <c r="AD60" s="15">
        <f t="shared" si="35"/>
        <v>9583.3333333333339</v>
      </c>
      <c r="AE60" s="15">
        <f t="shared" si="35"/>
        <v>9583.3333333333339</v>
      </c>
      <c r="AF60" s="15">
        <f t="shared" si="35"/>
        <v>9583.3333333333339</v>
      </c>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row>
    <row r="61" spans="1:238" x14ac:dyDescent="0.3">
      <c r="D61" t="s">
        <v>26</v>
      </c>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row>
    <row r="62" spans="1:238" s="68" customFormat="1" x14ac:dyDescent="0.3">
      <c r="A62"/>
      <c r="B62" t="s">
        <v>214</v>
      </c>
      <c r="C62"/>
      <c r="D62"/>
      <c r="E62"/>
      <c r="F62"/>
      <c r="G62"/>
      <c r="M62" s="93">
        <f t="shared" ref="M62:AR62" si="36">SUM(M58:M61)</f>
        <v>28750</v>
      </c>
      <c r="N62" s="93">
        <f t="shared" si="36"/>
        <v>28750</v>
      </c>
      <c r="O62" s="93">
        <f t="shared" si="36"/>
        <v>28750</v>
      </c>
      <c r="P62" s="93">
        <f t="shared" si="36"/>
        <v>28750</v>
      </c>
      <c r="Q62" s="93">
        <f t="shared" si="36"/>
        <v>28750</v>
      </c>
      <c r="R62" s="93">
        <f t="shared" si="36"/>
        <v>28750</v>
      </c>
      <c r="S62" s="93">
        <f t="shared" si="36"/>
        <v>28750</v>
      </c>
      <c r="T62" s="93">
        <f t="shared" si="36"/>
        <v>28750</v>
      </c>
      <c r="U62" s="93">
        <f t="shared" si="36"/>
        <v>28750</v>
      </c>
      <c r="V62" s="93">
        <f t="shared" si="36"/>
        <v>28750</v>
      </c>
      <c r="W62" s="93">
        <f t="shared" si="36"/>
        <v>28750</v>
      </c>
      <c r="X62" s="93">
        <f t="shared" si="36"/>
        <v>28750</v>
      </c>
      <c r="Y62" s="93">
        <f t="shared" si="36"/>
        <v>28750</v>
      </c>
      <c r="Z62" s="93">
        <f t="shared" si="36"/>
        <v>28750</v>
      </c>
      <c r="AA62" s="93">
        <f t="shared" si="36"/>
        <v>28750</v>
      </c>
      <c r="AB62" s="93">
        <f t="shared" si="36"/>
        <v>28750</v>
      </c>
      <c r="AC62" s="93">
        <f t="shared" si="36"/>
        <v>28750</v>
      </c>
      <c r="AD62" s="93">
        <f t="shared" si="36"/>
        <v>28750</v>
      </c>
      <c r="AE62" s="93">
        <f t="shared" si="36"/>
        <v>28750</v>
      </c>
      <c r="AF62" s="93">
        <f t="shared" si="36"/>
        <v>28750</v>
      </c>
      <c r="AG62" s="93">
        <f t="shared" si="36"/>
        <v>0</v>
      </c>
      <c r="AH62" s="93">
        <f t="shared" si="36"/>
        <v>0</v>
      </c>
      <c r="AI62" s="93">
        <f t="shared" si="36"/>
        <v>0</v>
      </c>
      <c r="AJ62" s="93">
        <f t="shared" si="36"/>
        <v>0</v>
      </c>
      <c r="AK62" s="93">
        <f t="shared" si="36"/>
        <v>0</v>
      </c>
      <c r="AL62" s="93">
        <f t="shared" si="36"/>
        <v>0</v>
      </c>
      <c r="AM62" s="93">
        <f t="shared" si="36"/>
        <v>0</v>
      </c>
      <c r="AN62" s="93">
        <f t="shared" si="36"/>
        <v>0</v>
      </c>
      <c r="AO62" s="93">
        <f t="shared" si="36"/>
        <v>0</v>
      </c>
      <c r="AP62" s="93">
        <f t="shared" si="36"/>
        <v>0</v>
      </c>
      <c r="AQ62" s="93">
        <f t="shared" si="36"/>
        <v>0</v>
      </c>
      <c r="AR62" s="93">
        <f t="shared" si="36"/>
        <v>0</v>
      </c>
      <c r="AS62" s="93">
        <f t="shared" ref="AS62:BT62" si="37">SUM(AS58:AS61)</f>
        <v>0</v>
      </c>
      <c r="AT62" s="93">
        <f t="shared" si="37"/>
        <v>0</v>
      </c>
      <c r="AU62" s="93">
        <f t="shared" si="37"/>
        <v>0</v>
      </c>
      <c r="AV62" s="93">
        <f t="shared" si="37"/>
        <v>0</v>
      </c>
      <c r="AW62" s="93">
        <f t="shared" si="37"/>
        <v>0</v>
      </c>
      <c r="AX62" s="93">
        <f t="shared" si="37"/>
        <v>0</v>
      </c>
      <c r="AY62" s="93">
        <f t="shared" si="37"/>
        <v>0</v>
      </c>
      <c r="AZ62" s="93">
        <f t="shared" si="37"/>
        <v>0</v>
      </c>
      <c r="BA62" s="93">
        <f t="shared" si="37"/>
        <v>0</v>
      </c>
      <c r="BB62" s="93">
        <f t="shared" si="37"/>
        <v>0</v>
      </c>
      <c r="BC62" s="93">
        <f t="shared" si="37"/>
        <v>0</v>
      </c>
      <c r="BD62" s="93">
        <f t="shared" si="37"/>
        <v>0</v>
      </c>
      <c r="BE62" s="93">
        <f t="shared" si="37"/>
        <v>0</v>
      </c>
      <c r="BF62" s="93">
        <f t="shared" si="37"/>
        <v>0</v>
      </c>
      <c r="BG62" s="93">
        <f t="shared" si="37"/>
        <v>0</v>
      </c>
      <c r="BH62" s="93">
        <f t="shared" si="37"/>
        <v>0</v>
      </c>
      <c r="BI62" s="93">
        <f t="shared" si="37"/>
        <v>0</v>
      </c>
      <c r="BJ62" s="93">
        <f t="shared" si="37"/>
        <v>0</v>
      </c>
      <c r="BK62" s="93">
        <f t="shared" si="37"/>
        <v>0</v>
      </c>
      <c r="BL62" s="93">
        <f t="shared" si="37"/>
        <v>0</v>
      </c>
      <c r="BM62" s="93">
        <f t="shared" si="37"/>
        <v>0</v>
      </c>
      <c r="BN62" s="93">
        <f t="shared" si="37"/>
        <v>0</v>
      </c>
      <c r="BO62" s="93">
        <f t="shared" si="37"/>
        <v>0</v>
      </c>
      <c r="BP62" s="93">
        <f t="shared" si="37"/>
        <v>0</v>
      </c>
      <c r="BQ62" s="93">
        <f t="shared" si="37"/>
        <v>0</v>
      </c>
      <c r="BR62" s="93">
        <f t="shared" si="37"/>
        <v>0</v>
      </c>
      <c r="BS62" s="93">
        <f t="shared" si="37"/>
        <v>0</v>
      </c>
      <c r="BT62" s="93">
        <f t="shared" si="37"/>
        <v>0</v>
      </c>
      <c r="BU62" s="37"/>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row>
    <row r="63" spans="1:238" x14ac:dyDescent="0.3">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row>
    <row r="64" spans="1:238" x14ac:dyDescent="0.3">
      <c r="E64" t="s">
        <v>278</v>
      </c>
      <c r="M64" s="15">
        <f>'G&amp;A'!M62</f>
        <v>28750</v>
      </c>
      <c r="N64" s="15">
        <f>'G&amp;A'!N62+M64</f>
        <v>57500</v>
      </c>
      <c r="O64" s="15">
        <f>'G&amp;A'!O62+N64</f>
        <v>86250</v>
      </c>
      <c r="P64" s="15">
        <f>'G&amp;A'!P62+O64</f>
        <v>115000</v>
      </c>
      <c r="Q64" s="15">
        <f>'G&amp;A'!Q62+P64</f>
        <v>143750</v>
      </c>
      <c r="R64" s="15">
        <f>'G&amp;A'!R62+Q64</f>
        <v>172500</v>
      </c>
      <c r="S64" s="15">
        <f>'G&amp;A'!S62+R64</f>
        <v>201250</v>
      </c>
      <c r="T64" s="15">
        <f>'G&amp;A'!T62+S64</f>
        <v>230000</v>
      </c>
      <c r="U64" s="15">
        <f>'G&amp;A'!U62+T64</f>
        <v>258750</v>
      </c>
      <c r="V64" s="15">
        <f>'G&amp;A'!V62+U64</f>
        <v>287500</v>
      </c>
      <c r="W64" s="15">
        <f>'G&amp;A'!W62+V64</f>
        <v>316250</v>
      </c>
      <c r="X64" s="15">
        <f>'G&amp;A'!X62+W64</f>
        <v>345000</v>
      </c>
      <c r="Y64" s="15">
        <f>'G&amp;A'!Y62+X64</f>
        <v>373750</v>
      </c>
      <c r="Z64" s="15">
        <f>'G&amp;A'!Z62+Y64</f>
        <v>402500</v>
      </c>
      <c r="AA64" s="15">
        <f>'G&amp;A'!AA62+Z64</f>
        <v>431250</v>
      </c>
      <c r="AB64" s="15">
        <f>'G&amp;A'!AB62+AA64</f>
        <v>460000</v>
      </c>
      <c r="AC64" s="15">
        <f>'G&amp;A'!AC62+AB64</f>
        <v>488750</v>
      </c>
      <c r="AD64" s="15">
        <f>'G&amp;A'!AD62+AC64</f>
        <v>517500</v>
      </c>
      <c r="AE64" s="15">
        <f>'G&amp;A'!AE62+AD64</f>
        <v>546250</v>
      </c>
      <c r="AF64" s="15">
        <f>'G&amp;A'!AF62+AE64</f>
        <v>575000</v>
      </c>
      <c r="AG64" s="15">
        <f>'G&amp;A'!AG62+AF64-AG29</f>
        <v>547000</v>
      </c>
      <c r="AH64" s="15">
        <f>'G&amp;A'!AH62+AG64-AH29</f>
        <v>519000</v>
      </c>
      <c r="AI64" s="15">
        <f>'G&amp;A'!AI62+AH64-AI29</f>
        <v>491000</v>
      </c>
      <c r="AJ64" s="15">
        <f>'G&amp;A'!AJ62+AI64-AJ29</f>
        <v>463000</v>
      </c>
      <c r="AK64" s="15">
        <f>'G&amp;A'!AK62+AJ64-AK29</f>
        <v>435000</v>
      </c>
      <c r="AL64" s="15">
        <f>'G&amp;A'!AL62+AK64-AL29</f>
        <v>407000</v>
      </c>
      <c r="AM64" s="15">
        <f>'G&amp;A'!AM62+AL64-AM29</f>
        <v>379000</v>
      </c>
      <c r="AN64" s="15">
        <f>'G&amp;A'!AN62+AM64-AN29</f>
        <v>351000</v>
      </c>
      <c r="AO64" s="15">
        <f>'G&amp;A'!AO62+AN64-AO29</f>
        <v>323000</v>
      </c>
      <c r="AP64" s="15">
        <f>'G&amp;A'!AP62+AO64-AP29</f>
        <v>295000</v>
      </c>
      <c r="AQ64" s="15">
        <f>'G&amp;A'!AQ62+AP64-AQ29</f>
        <v>267000</v>
      </c>
      <c r="AR64" s="15">
        <f>'G&amp;A'!AR62+AQ64-AR29</f>
        <v>239000</v>
      </c>
      <c r="AS64" s="15">
        <f>'G&amp;A'!AS62+AR64-AS29</f>
        <v>211000</v>
      </c>
      <c r="AT64" s="15">
        <f>'G&amp;A'!AT62+AS64-AT29</f>
        <v>183000</v>
      </c>
      <c r="AU64" s="15">
        <f>'G&amp;A'!AU62+AT64-AU29</f>
        <v>155000</v>
      </c>
      <c r="AV64" s="15">
        <f>'G&amp;A'!AV62+AU64-AV29</f>
        <v>127000</v>
      </c>
      <c r="AW64" s="15">
        <f>'G&amp;A'!AW62+AV64-AW29</f>
        <v>99000</v>
      </c>
      <c r="AX64" s="15">
        <f>'G&amp;A'!AX62+AW64-AX29</f>
        <v>71000</v>
      </c>
      <c r="AY64" s="15">
        <f>'G&amp;A'!AY62+AX64-AY29</f>
        <v>43000</v>
      </c>
      <c r="AZ64" s="15">
        <f>'G&amp;A'!AZ62+AY64-AZ29</f>
        <v>15000</v>
      </c>
      <c r="BA64" s="15">
        <f>'G&amp;A'!BA62+AZ64-BA29</f>
        <v>0</v>
      </c>
      <c r="BB64" s="15">
        <f>'G&amp;A'!BB62+BA64-BB29</f>
        <v>0</v>
      </c>
      <c r="BC64" s="15">
        <f>'G&amp;A'!BC62+BB64-BC29</f>
        <v>0</v>
      </c>
      <c r="BD64" s="15">
        <f>'G&amp;A'!BD62+BC64-BD29</f>
        <v>0</v>
      </c>
      <c r="BE64" s="15">
        <f>'G&amp;A'!BE62+BD64-BE29</f>
        <v>0</v>
      </c>
      <c r="BF64" s="15">
        <f>'G&amp;A'!BF62+BE64-BF29</f>
        <v>0</v>
      </c>
      <c r="BG64" s="15">
        <f>'G&amp;A'!BG62+BF64-BG29</f>
        <v>0</v>
      </c>
      <c r="BH64" s="15">
        <f>'G&amp;A'!BH62+BG64-BH29</f>
        <v>0</v>
      </c>
      <c r="BI64" s="15">
        <f>'G&amp;A'!BI62+BH64-BI29</f>
        <v>0</v>
      </c>
      <c r="BJ64" s="15">
        <f>'G&amp;A'!BJ62+BI64-BJ29</f>
        <v>0</v>
      </c>
      <c r="BK64" s="15">
        <f>'G&amp;A'!BK62+BJ64-BK29</f>
        <v>0</v>
      </c>
      <c r="BL64" s="15">
        <f>'G&amp;A'!BL62+BK64-BL29</f>
        <v>0</v>
      </c>
      <c r="BM64" s="15">
        <f>'G&amp;A'!BM62+BL64-BM29</f>
        <v>0</v>
      </c>
      <c r="BN64" s="15">
        <f>'G&amp;A'!BN62+BM64-BN29</f>
        <v>0</v>
      </c>
      <c r="BO64" s="15">
        <f>'G&amp;A'!BO62+BN64-BO29</f>
        <v>0</v>
      </c>
      <c r="BP64" s="15">
        <f>'G&amp;A'!BP62+BO64-BP29</f>
        <v>0</v>
      </c>
      <c r="BQ64" s="15">
        <f>'G&amp;A'!BQ62+BP64-BQ29</f>
        <v>0</v>
      </c>
      <c r="BR64" s="15">
        <f>'G&amp;A'!BR62+BQ64-BR29</f>
        <v>0</v>
      </c>
      <c r="BS64" s="15">
        <f>'G&amp;A'!BS62+BR64-BS29</f>
        <v>0</v>
      </c>
      <c r="BT64" s="15">
        <f>'G&amp;A'!BT62+BS64-BT29</f>
        <v>0</v>
      </c>
      <c r="BU64" s="37"/>
    </row>
    <row r="65" spans="1:73" x14ac:dyDescent="0.3">
      <c r="BU65" s="37"/>
    </row>
    <row r="71" spans="1:73" x14ac:dyDescent="0.3">
      <c r="B71" t="s">
        <v>277</v>
      </c>
      <c r="C71" t="s">
        <v>10</v>
      </c>
    </row>
    <row r="75" spans="1:73" x14ac:dyDescent="0.3">
      <c r="A75" s="134" t="s">
        <v>215</v>
      </c>
      <c r="B75" s="65" t="s">
        <v>216</v>
      </c>
      <c r="C75" s="66" t="s">
        <v>217</v>
      </c>
      <c r="D75" s="65" t="s">
        <v>218</v>
      </c>
    </row>
    <row r="76" spans="1:73" x14ac:dyDescent="0.3">
      <c r="A76" s="134"/>
      <c r="B76" s="64">
        <v>1</v>
      </c>
      <c r="C76" s="67">
        <v>100000</v>
      </c>
      <c r="D76" s="65">
        <v>2000</v>
      </c>
    </row>
    <row r="77" spans="1:73" x14ac:dyDescent="0.3">
      <c r="A77" s="134"/>
      <c r="B77" s="64">
        <v>2</v>
      </c>
      <c r="C77" s="67">
        <v>200000</v>
      </c>
      <c r="D77" s="65">
        <v>5000</v>
      </c>
    </row>
    <row r="78" spans="1:73" x14ac:dyDescent="0.3">
      <c r="A78" s="134"/>
      <c r="B78" s="64">
        <v>3</v>
      </c>
      <c r="C78" s="67">
        <v>200000</v>
      </c>
      <c r="D78" s="65">
        <v>5000</v>
      </c>
    </row>
    <row r="79" spans="1:73" x14ac:dyDescent="0.3">
      <c r="A79" s="134"/>
      <c r="B79" s="64">
        <v>4</v>
      </c>
      <c r="C79" s="67">
        <v>500000</v>
      </c>
      <c r="D79" s="65">
        <v>10000</v>
      </c>
    </row>
    <row r="80" spans="1:73" x14ac:dyDescent="0.3">
      <c r="A80" s="134"/>
      <c r="B80" s="64">
        <v>5</v>
      </c>
      <c r="C80" s="67">
        <v>500000</v>
      </c>
      <c r="D80" s="65">
        <v>10000</v>
      </c>
    </row>
  </sheetData>
  <mergeCells count="1">
    <mergeCell ref="A75:A80"/>
  </mergeCells>
  <phoneticPr fontId="2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93F90-0B49-9A48-96B9-273CF47A8AE1}">
  <sheetPr>
    <tabColor rgb="FFFF0000"/>
  </sheetPr>
  <dimension ref="A1:BW61"/>
  <sheetViews>
    <sheetView zoomScale="50" workbookViewId="0">
      <selection activeCell="G39" sqref="G39"/>
    </sheetView>
  </sheetViews>
  <sheetFormatPr defaultColWidth="11.44140625" defaultRowHeight="14.4" x14ac:dyDescent="0.3"/>
  <cols>
    <col min="1" max="1" width="16.6640625" bestFit="1" customWidth="1"/>
    <col min="2" max="2" width="26.77734375" bestFit="1" customWidth="1"/>
    <col min="3" max="3" width="15.6640625" bestFit="1" customWidth="1"/>
    <col min="4" max="4" width="12" bestFit="1" customWidth="1"/>
    <col min="5" max="5" width="10.33203125" bestFit="1" customWidth="1"/>
    <col min="6" max="6" width="8" bestFit="1" customWidth="1"/>
    <col min="7" max="7" width="13.6640625" bestFit="1" customWidth="1"/>
    <col min="8" max="8" width="17.33203125" bestFit="1" customWidth="1"/>
    <col min="12" max="12" width="18.33203125" customWidth="1"/>
  </cols>
  <sheetData>
    <row r="1" spans="1:72" x14ac:dyDescent="0.3">
      <c r="A1" s="16" t="s">
        <v>76</v>
      </c>
    </row>
    <row r="2" spans="1:72" x14ac:dyDescent="0.3">
      <c r="B2" t="s">
        <v>290</v>
      </c>
      <c r="M2" s="78" t="s">
        <v>8</v>
      </c>
      <c r="N2" s="78" t="s">
        <v>8</v>
      </c>
      <c r="O2" s="78" t="s">
        <v>8</v>
      </c>
      <c r="P2" s="78" t="s">
        <v>8</v>
      </c>
      <c r="Q2" s="78" t="s">
        <v>8</v>
      </c>
      <c r="R2" s="78" t="s">
        <v>8</v>
      </c>
      <c r="S2" s="78" t="s">
        <v>8</v>
      </c>
      <c r="T2" s="78" t="s">
        <v>8</v>
      </c>
      <c r="U2" s="78" t="s">
        <v>8</v>
      </c>
      <c r="V2" s="78" t="s">
        <v>8</v>
      </c>
      <c r="W2" s="78" t="s">
        <v>8</v>
      </c>
      <c r="X2" s="78" t="s">
        <v>8</v>
      </c>
      <c r="Y2" s="78" t="s">
        <v>9</v>
      </c>
      <c r="Z2" s="78" t="s">
        <v>9</v>
      </c>
      <c r="AA2" s="78" t="s">
        <v>9</v>
      </c>
      <c r="AB2" s="78" t="s">
        <v>9</v>
      </c>
      <c r="AC2" s="78" t="s">
        <v>9</v>
      </c>
      <c r="AD2" s="78" t="s">
        <v>9</v>
      </c>
      <c r="AE2" s="78" t="s">
        <v>9</v>
      </c>
      <c r="AF2" s="78" t="s">
        <v>9</v>
      </c>
      <c r="AG2" s="78" t="s">
        <v>9</v>
      </c>
      <c r="AH2" s="78" t="s">
        <v>9</v>
      </c>
      <c r="AI2" s="78" t="s">
        <v>9</v>
      </c>
      <c r="AJ2" s="78" t="s">
        <v>9</v>
      </c>
      <c r="AK2" s="78" t="s">
        <v>10</v>
      </c>
      <c r="AL2" s="78" t="s">
        <v>10</v>
      </c>
      <c r="AM2" s="78" t="s">
        <v>10</v>
      </c>
      <c r="AN2" s="78" t="s">
        <v>10</v>
      </c>
      <c r="AO2" s="78" t="s">
        <v>10</v>
      </c>
      <c r="AP2" s="78" t="s">
        <v>10</v>
      </c>
      <c r="AQ2" s="78" t="s">
        <v>10</v>
      </c>
      <c r="AR2" s="78" t="s">
        <v>10</v>
      </c>
      <c r="AS2" s="78" t="s">
        <v>10</v>
      </c>
      <c r="AT2" s="78" t="s">
        <v>10</v>
      </c>
      <c r="AU2" s="78" t="s">
        <v>10</v>
      </c>
      <c r="AV2" s="78" t="s">
        <v>10</v>
      </c>
      <c r="AW2" s="78" t="s">
        <v>11</v>
      </c>
      <c r="AX2" s="78" t="s">
        <v>11</v>
      </c>
      <c r="AY2" s="78" t="s">
        <v>11</v>
      </c>
      <c r="AZ2" s="78" t="s">
        <v>11</v>
      </c>
      <c r="BA2" s="78" t="s">
        <v>11</v>
      </c>
      <c r="BB2" s="78" t="s">
        <v>11</v>
      </c>
      <c r="BC2" s="78" t="s">
        <v>11</v>
      </c>
      <c r="BD2" s="78" t="s">
        <v>11</v>
      </c>
      <c r="BE2" s="78" t="s">
        <v>11</v>
      </c>
      <c r="BF2" s="78" t="s">
        <v>11</v>
      </c>
      <c r="BG2" s="78" t="s">
        <v>11</v>
      </c>
      <c r="BH2" s="78" t="s">
        <v>11</v>
      </c>
      <c r="BI2" s="78" t="s">
        <v>12</v>
      </c>
      <c r="BJ2" s="78" t="s">
        <v>12</v>
      </c>
      <c r="BK2" s="78" t="s">
        <v>12</v>
      </c>
      <c r="BL2" s="78" t="s">
        <v>12</v>
      </c>
      <c r="BM2" s="78" t="s">
        <v>12</v>
      </c>
      <c r="BN2" s="78" t="s">
        <v>12</v>
      </c>
      <c r="BO2" s="78" t="s">
        <v>12</v>
      </c>
      <c r="BP2" s="78" t="s">
        <v>12</v>
      </c>
      <c r="BQ2" s="78" t="s">
        <v>12</v>
      </c>
      <c r="BR2" s="78" t="s">
        <v>12</v>
      </c>
      <c r="BS2" s="78" t="s">
        <v>12</v>
      </c>
      <c r="BT2" s="78" t="s">
        <v>12</v>
      </c>
    </row>
    <row r="3" spans="1:72" x14ac:dyDescent="0.3">
      <c r="B3" t="s">
        <v>27</v>
      </c>
      <c r="C3">
        <v>1</v>
      </c>
      <c r="D3">
        <v>2</v>
      </c>
      <c r="E3">
        <v>3</v>
      </c>
      <c r="F3">
        <v>4</v>
      </c>
      <c r="G3">
        <v>5</v>
      </c>
      <c r="M3" s="79" t="s">
        <v>14</v>
      </c>
      <c r="N3" s="79" t="s">
        <v>15</v>
      </c>
      <c r="O3" s="79" t="s">
        <v>16</v>
      </c>
      <c r="P3" s="79" t="s">
        <v>17</v>
      </c>
      <c r="Q3" s="79" t="s">
        <v>18</v>
      </c>
      <c r="R3" s="79" t="s">
        <v>19</v>
      </c>
      <c r="S3" s="79" t="s">
        <v>20</v>
      </c>
      <c r="T3" s="79" t="s">
        <v>21</v>
      </c>
      <c r="U3" s="79" t="s">
        <v>22</v>
      </c>
      <c r="V3" s="79" t="s">
        <v>23</v>
      </c>
      <c r="W3" s="79" t="s">
        <v>24</v>
      </c>
      <c r="X3" s="79" t="s">
        <v>25</v>
      </c>
      <c r="Y3" s="79" t="s">
        <v>14</v>
      </c>
      <c r="Z3" s="79" t="s">
        <v>15</v>
      </c>
      <c r="AA3" s="79" t="s">
        <v>16</v>
      </c>
      <c r="AB3" s="79" t="s">
        <v>17</v>
      </c>
      <c r="AC3" s="79" t="s">
        <v>18</v>
      </c>
      <c r="AD3" s="79" t="s">
        <v>19</v>
      </c>
      <c r="AE3" s="79" t="s">
        <v>20</v>
      </c>
      <c r="AF3" s="79" t="s">
        <v>21</v>
      </c>
      <c r="AG3" s="79" t="s">
        <v>22</v>
      </c>
      <c r="AH3" s="79" t="s">
        <v>23</v>
      </c>
      <c r="AI3" s="79" t="s">
        <v>24</v>
      </c>
      <c r="AJ3" s="79" t="s">
        <v>25</v>
      </c>
      <c r="AK3" s="79" t="s">
        <v>14</v>
      </c>
      <c r="AL3" s="79" t="s">
        <v>15</v>
      </c>
      <c r="AM3" s="79" t="s">
        <v>16</v>
      </c>
      <c r="AN3" s="79" t="s">
        <v>17</v>
      </c>
      <c r="AO3" s="79" t="s">
        <v>18</v>
      </c>
      <c r="AP3" s="79" t="s">
        <v>19</v>
      </c>
      <c r="AQ3" s="79" t="s">
        <v>20</v>
      </c>
      <c r="AR3" s="79" t="s">
        <v>21</v>
      </c>
      <c r="AS3" s="79" t="s">
        <v>22</v>
      </c>
      <c r="AT3" s="79" t="s">
        <v>23</v>
      </c>
      <c r="AU3" s="79" t="s">
        <v>24</v>
      </c>
      <c r="AV3" s="79" t="s">
        <v>25</v>
      </c>
      <c r="AW3" s="79" t="s">
        <v>14</v>
      </c>
      <c r="AX3" s="79" t="s">
        <v>15</v>
      </c>
      <c r="AY3" s="79" t="s">
        <v>16</v>
      </c>
      <c r="AZ3" s="79" t="s">
        <v>17</v>
      </c>
      <c r="BA3" s="79" t="s">
        <v>18</v>
      </c>
      <c r="BB3" s="79" t="s">
        <v>19</v>
      </c>
      <c r="BC3" s="79" t="s">
        <v>20</v>
      </c>
      <c r="BD3" s="79" t="s">
        <v>21</v>
      </c>
      <c r="BE3" s="79" t="s">
        <v>22</v>
      </c>
      <c r="BF3" s="79" t="s">
        <v>23</v>
      </c>
      <c r="BG3" s="79" t="s">
        <v>24</v>
      </c>
      <c r="BH3" s="79" t="s">
        <v>25</v>
      </c>
      <c r="BI3" s="79" t="s">
        <v>14</v>
      </c>
      <c r="BJ3" s="79" t="s">
        <v>15</v>
      </c>
      <c r="BK3" s="79" t="s">
        <v>16</v>
      </c>
      <c r="BL3" s="79" t="s">
        <v>17</v>
      </c>
      <c r="BM3" s="79" t="s">
        <v>18</v>
      </c>
      <c r="BN3" s="79" t="s">
        <v>19</v>
      </c>
      <c r="BO3" s="79" t="s">
        <v>20</v>
      </c>
      <c r="BP3" s="79" t="s">
        <v>21</v>
      </c>
      <c r="BQ3" s="79" t="s">
        <v>22</v>
      </c>
      <c r="BR3" s="79" t="s">
        <v>23</v>
      </c>
      <c r="BS3" s="79" t="s">
        <v>24</v>
      </c>
      <c r="BT3" s="79" t="s">
        <v>25</v>
      </c>
    </row>
    <row r="4" spans="1:72" x14ac:dyDescent="0.3">
      <c r="B4" t="s">
        <v>173</v>
      </c>
      <c r="C4" s="7">
        <v>15000</v>
      </c>
      <c r="D4" s="7">
        <v>30000</v>
      </c>
      <c r="E4" s="7">
        <v>70000</v>
      </c>
      <c r="F4" s="7">
        <v>90000</v>
      </c>
      <c r="G4" s="7">
        <v>125000</v>
      </c>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row>
    <row r="5" spans="1:72" x14ac:dyDescent="0.3">
      <c r="B5" t="s">
        <v>174</v>
      </c>
      <c r="C5" s="7">
        <v>6000</v>
      </c>
      <c r="D5" s="7">
        <v>12000</v>
      </c>
      <c r="E5" s="7">
        <v>15000</v>
      </c>
      <c r="F5" s="7">
        <v>18000</v>
      </c>
      <c r="G5" s="7">
        <v>21000</v>
      </c>
      <c r="K5" t="str" cm="1">
        <f t="array" ref="K5:K7">B4:B6</f>
        <v>Advertising and Media Spend</v>
      </c>
      <c r="M5" s="17">
        <f t="shared" ref="M5:AR5" si="0">_xlfn.XLOOKUP(_xlfn.NUMBERVALUE(RIGHT(M$2,1)),$C$3:$G$3,$C4:$G4)/12</f>
        <v>1250</v>
      </c>
      <c r="N5" s="17">
        <f t="shared" si="0"/>
        <v>1250</v>
      </c>
      <c r="O5" s="17">
        <f t="shared" si="0"/>
        <v>1250</v>
      </c>
      <c r="P5" s="17">
        <f t="shared" si="0"/>
        <v>1250</v>
      </c>
      <c r="Q5" s="17">
        <f t="shared" si="0"/>
        <v>1250</v>
      </c>
      <c r="R5" s="17">
        <f t="shared" si="0"/>
        <v>1250</v>
      </c>
      <c r="S5" s="17">
        <f t="shared" si="0"/>
        <v>1250</v>
      </c>
      <c r="T5" s="17">
        <f t="shared" si="0"/>
        <v>1250</v>
      </c>
      <c r="U5" s="17">
        <f t="shared" si="0"/>
        <v>1250</v>
      </c>
      <c r="V5" s="17">
        <f t="shared" si="0"/>
        <v>1250</v>
      </c>
      <c r="W5" s="17">
        <f t="shared" si="0"/>
        <v>1250</v>
      </c>
      <c r="X5" s="17">
        <f t="shared" si="0"/>
        <v>1250</v>
      </c>
      <c r="Y5" s="17">
        <f t="shared" si="0"/>
        <v>2500</v>
      </c>
      <c r="Z5" s="17">
        <f t="shared" si="0"/>
        <v>2500</v>
      </c>
      <c r="AA5" s="17">
        <f t="shared" si="0"/>
        <v>2500</v>
      </c>
      <c r="AB5" s="17">
        <f t="shared" si="0"/>
        <v>2500</v>
      </c>
      <c r="AC5" s="17">
        <f t="shared" si="0"/>
        <v>2500</v>
      </c>
      <c r="AD5" s="17">
        <f t="shared" si="0"/>
        <v>2500</v>
      </c>
      <c r="AE5" s="17">
        <f t="shared" si="0"/>
        <v>2500</v>
      </c>
      <c r="AF5" s="17">
        <f t="shared" si="0"/>
        <v>2500</v>
      </c>
      <c r="AG5" s="17">
        <f t="shared" si="0"/>
        <v>2500</v>
      </c>
      <c r="AH5" s="17">
        <f t="shared" si="0"/>
        <v>2500</v>
      </c>
      <c r="AI5" s="17">
        <f t="shared" si="0"/>
        <v>2500</v>
      </c>
      <c r="AJ5" s="17">
        <f t="shared" si="0"/>
        <v>2500</v>
      </c>
      <c r="AK5" s="17">
        <f t="shared" si="0"/>
        <v>5833.333333333333</v>
      </c>
      <c r="AL5" s="17">
        <f t="shared" si="0"/>
        <v>5833.333333333333</v>
      </c>
      <c r="AM5" s="17">
        <f t="shared" si="0"/>
        <v>5833.333333333333</v>
      </c>
      <c r="AN5" s="17">
        <f t="shared" si="0"/>
        <v>5833.333333333333</v>
      </c>
      <c r="AO5" s="17">
        <f t="shared" si="0"/>
        <v>5833.333333333333</v>
      </c>
      <c r="AP5" s="17">
        <f t="shared" si="0"/>
        <v>5833.333333333333</v>
      </c>
      <c r="AQ5" s="17">
        <f t="shared" si="0"/>
        <v>5833.333333333333</v>
      </c>
      <c r="AR5" s="17">
        <f t="shared" si="0"/>
        <v>5833.333333333333</v>
      </c>
      <c r="AS5" s="17">
        <f t="shared" ref="AS5:BT5" si="1">_xlfn.XLOOKUP(_xlfn.NUMBERVALUE(RIGHT(AS$2,1)),$C$3:$G$3,$C4:$G4)/12</f>
        <v>5833.333333333333</v>
      </c>
      <c r="AT5" s="17">
        <f t="shared" si="1"/>
        <v>5833.333333333333</v>
      </c>
      <c r="AU5" s="17">
        <f t="shared" si="1"/>
        <v>5833.333333333333</v>
      </c>
      <c r="AV5" s="17">
        <f t="shared" si="1"/>
        <v>5833.333333333333</v>
      </c>
      <c r="AW5" s="17">
        <f t="shared" si="1"/>
        <v>7500</v>
      </c>
      <c r="AX5" s="17">
        <f t="shared" si="1"/>
        <v>7500</v>
      </c>
      <c r="AY5" s="17">
        <f t="shared" si="1"/>
        <v>7500</v>
      </c>
      <c r="AZ5" s="17">
        <f t="shared" si="1"/>
        <v>7500</v>
      </c>
      <c r="BA5" s="17">
        <f t="shared" si="1"/>
        <v>7500</v>
      </c>
      <c r="BB5" s="17">
        <f t="shared" si="1"/>
        <v>7500</v>
      </c>
      <c r="BC5" s="17">
        <f t="shared" si="1"/>
        <v>7500</v>
      </c>
      <c r="BD5" s="17">
        <f t="shared" si="1"/>
        <v>7500</v>
      </c>
      <c r="BE5" s="17">
        <f t="shared" si="1"/>
        <v>7500</v>
      </c>
      <c r="BF5" s="17">
        <f t="shared" si="1"/>
        <v>7500</v>
      </c>
      <c r="BG5" s="17">
        <f t="shared" si="1"/>
        <v>7500</v>
      </c>
      <c r="BH5" s="17">
        <f t="shared" si="1"/>
        <v>7500</v>
      </c>
      <c r="BI5" s="17">
        <f t="shared" si="1"/>
        <v>10416.666666666666</v>
      </c>
      <c r="BJ5" s="17">
        <f t="shared" si="1"/>
        <v>10416.666666666666</v>
      </c>
      <c r="BK5" s="17">
        <f t="shared" si="1"/>
        <v>10416.666666666666</v>
      </c>
      <c r="BL5" s="17">
        <f t="shared" si="1"/>
        <v>10416.666666666666</v>
      </c>
      <c r="BM5" s="17">
        <f t="shared" si="1"/>
        <v>10416.666666666666</v>
      </c>
      <c r="BN5" s="17">
        <f t="shared" si="1"/>
        <v>10416.666666666666</v>
      </c>
      <c r="BO5" s="17">
        <f t="shared" si="1"/>
        <v>10416.666666666666</v>
      </c>
      <c r="BP5" s="17">
        <f t="shared" si="1"/>
        <v>10416.666666666666</v>
      </c>
      <c r="BQ5" s="17">
        <f t="shared" si="1"/>
        <v>10416.666666666666</v>
      </c>
      <c r="BR5" s="17">
        <f t="shared" si="1"/>
        <v>10416.666666666666</v>
      </c>
      <c r="BS5" s="17">
        <f t="shared" si="1"/>
        <v>10416.666666666666</v>
      </c>
      <c r="BT5" s="17">
        <f t="shared" si="1"/>
        <v>10416.666666666666</v>
      </c>
    </row>
    <row r="6" spans="1:72" x14ac:dyDescent="0.3">
      <c r="B6" t="s">
        <v>175</v>
      </c>
      <c r="C6" s="7">
        <v>6000</v>
      </c>
      <c r="D6" s="7">
        <v>9000</v>
      </c>
      <c r="E6" s="7">
        <v>12000</v>
      </c>
      <c r="F6" s="7">
        <v>18000</v>
      </c>
      <c r="G6" s="7">
        <v>21000</v>
      </c>
      <c r="K6" t="str">
        <v>Content Creation</v>
      </c>
      <c r="M6" s="17">
        <f t="shared" ref="M6:AR6" si="2">_xlfn.XLOOKUP(_xlfn.NUMBERVALUE(RIGHT(M$2,1)),$C$3:$G$3,$C9:$G9)/12</f>
        <v>500</v>
      </c>
      <c r="N6" s="17">
        <f t="shared" si="2"/>
        <v>500</v>
      </c>
      <c r="O6" s="17">
        <f t="shared" si="2"/>
        <v>500</v>
      </c>
      <c r="P6" s="17">
        <f t="shared" si="2"/>
        <v>500</v>
      </c>
      <c r="Q6" s="17">
        <f t="shared" si="2"/>
        <v>500</v>
      </c>
      <c r="R6" s="17">
        <f t="shared" si="2"/>
        <v>500</v>
      </c>
      <c r="S6" s="17">
        <f t="shared" si="2"/>
        <v>500</v>
      </c>
      <c r="T6" s="17">
        <f t="shared" si="2"/>
        <v>500</v>
      </c>
      <c r="U6" s="17">
        <f t="shared" si="2"/>
        <v>500</v>
      </c>
      <c r="V6" s="17">
        <f t="shared" si="2"/>
        <v>500</v>
      </c>
      <c r="W6" s="17">
        <f t="shared" si="2"/>
        <v>500</v>
      </c>
      <c r="X6" s="17">
        <f t="shared" si="2"/>
        <v>500</v>
      </c>
      <c r="Y6" s="17">
        <f t="shared" si="2"/>
        <v>1000</v>
      </c>
      <c r="Z6" s="17">
        <f t="shared" si="2"/>
        <v>1000</v>
      </c>
      <c r="AA6" s="17">
        <f t="shared" si="2"/>
        <v>1000</v>
      </c>
      <c r="AB6" s="17">
        <f t="shared" si="2"/>
        <v>1000</v>
      </c>
      <c r="AC6" s="17">
        <f t="shared" si="2"/>
        <v>1000</v>
      </c>
      <c r="AD6" s="17">
        <f t="shared" si="2"/>
        <v>1000</v>
      </c>
      <c r="AE6" s="17">
        <f t="shared" si="2"/>
        <v>1000</v>
      </c>
      <c r="AF6" s="17">
        <f t="shared" si="2"/>
        <v>1000</v>
      </c>
      <c r="AG6" s="17">
        <f t="shared" si="2"/>
        <v>1000</v>
      </c>
      <c r="AH6" s="17">
        <f t="shared" si="2"/>
        <v>1000</v>
      </c>
      <c r="AI6" s="17">
        <f t="shared" si="2"/>
        <v>1000</v>
      </c>
      <c r="AJ6" s="17">
        <f t="shared" si="2"/>
        <v>1000</v>
      </c>
      <c r="AK6" s="17">
        <f t="shared" si="2"/>
        <v>2500</v>
      </c>
      <c r="AL6" s="17">
        <f t="shared" si="2"/>
        <v>2500</v>
      </c>
      <c r="AM6" s="17">
        <f t="shared" si="2"/>
        <v>2500</v>
      </c>
      <c r="AN6" s="17">
        <f t="shared" si="2"/>
        <v>2500</v>
      </c>
      <c r="AO6" s="17">
        <f t="shared" si="2"/>
        <v>2500</v>
      </c>
      <c r="AP6" s="17">
        <f t="shared" si="2"/>
        <v>2500</v>
      </c>
      <c r="AQ6" s="17">
        <f t="shared" si="2"/>
        <v>2500</v>
      </c>
      <c r="AR6" s="17">
        <f t="shared" si="2"/>
        <v>2500</v>
      </c>
      <c r="AS6" s="17">
        <f t="shared" ref="AS6:BT6" si="3">_xlfn.XLOOKUP(_xlfn.NUMBERVALUE(RIGHT(AS$2,1)),$C$3:$G$3,$C9:$G9)/12</f>
        <v>2500</v>
      </c>
      <c r="AT6" s="17">
        <f t="shared" si="3"/>
        <v>2500</v>
      </c>
      <c r="AU6" s="17">
        <f t="shared" si="3"/>
        <v>2500</v>
      </c>
      <c r="AV6" s="17">
        <f t="shared" si="3"/>
        <v>2500</v>
      </c>
      <c r="AW6" s="17">
        <f t="shared" si="3"/>
        <v>5000</v>
      </c>
      <c r="AX6" s="17">
        <f t="shared" si="3"/>
        <v>5000</v>
      </c>
      <c r="AY6" s="17">
        <f t="shared" si="3"/>
        <v>5000</v>
      </c>
      <c r="AZ6" s="17">
        <f t="shared" si="3"/>
        <v>5000</v>
      </c>
      <c r="BA6" s="17">
        <f t="shared" si="3"/>
        <v>5000</v>
      </c>
      <c r="BB6" s="17">
        <f t="shared" si="3"/>
        <v>5000</v>
      </c>
      <c r="BC6" s="17">
        <f t="shared" si="3"/>
        <v>5000</v>
      </c>
      <c r="BD6" s="17">
        <f t="shared" si="3"/>
        <v>5000</v>
      </c>
      <c r="BE6" s="17">
        <f t="shared" si="3"/>
        <v>5000</v>
      </c>
      <c r="BF6" s="17">
        <f t="shared" si="3"/>
        <v>5000</v>
      </c>
      <c r="BG6" s="17">
        <f t="shared" si="3"/>
        <v>5000</v>
      </c>
      <c r="BH6" s="17">
        <f t="shared" si="3"/>
        <v>5000</v>
      </c>
      <c r="BI6" s="17">
        <f t="shared" si="3"/>
        <v>5833.333333333333</v>
      </c>
      <c r="BJ6" s="17">
        <f t="shared" si="3"/>
        <v>5833.333333333333</v>
      </c>
      <c r="BK6" s="17">
        <f t="shared" si="3"/>
        <v>5833.333333333333</v>
      </c>
      <c r="BL6" s="17">
        <f t="shared" si="3"/>
        <v>5833.333333333333</v>
      </c>
      <c r="BM6" s="17">
        <f t="shared" si="3"/>
        <v>5833.333333333333</v>
      </c>
      <c r="BN6" s="17">
        <f t="shared" si="3"/>
        <v>5833.333333333333</v>
      </c>
      <c r="BO6" s="17">
        <f t="shared" si="3"/>
        <v>5833.333333333333</v>
      </c>
      <c r="BP6" s="17">
        <f t="shared" si="3"/>
        <v>5833.333333333333</v>
      </c>
      <c r="BQ6" s="17">
        <f t="shared" si="3"/>
        <v>5833.333333333333</v>
      </c>
      <c r="BR6" s="17">
        <f t="shared" si="3"/>
        <v>5833.333333333333</v>
      </c>
      <c r="BS6" s="17">
        <f t="shared" si="3"/>
        <v>5833.333333333333</v>
      </c>
      <c r="BT6" s="17">
        <f t="shared" si="3"/>
        <v>5833.333333333333</v>
      </c>
    </row>
    <row r="7" spans="1:72" x14ac:dyDescent="0.3">
      <c r="K7" t="str">
        <v>SEO</v>
      </c>
      <c r="M7" s="17">
        <f t="shared" ref="M7:AR7" si="4">_xlfn.XLOOKUP(_xlfn.NUMBERVALUE(RIGHT(M$2,1)),$C$3:$G$3,$C5:$G5)/12</f>
        <v>500</v>
      </c>
      <c r="N7" s="17">
        <f t="shared" si="4"/>
        <v>500</v>
      </c>
      <c r="O7" s="17">
        <f t="shared" si="4"/>
        <v>500</v>
      </c>
      <c r="P7" s="17">
        <f t="shared" si="4"/>
        <v>500</v>
      </c>
      <c r="Q7" s="17">
        <f t="shared" si="4"/>
        <v>500</v>
      </c>
      <c r="R7" s="17">
        <f t="shared" si="4"/>
        <v>500</v>
      </c>
      <c r="S7" s="17">
        <f t="shared" si="4"/>
        <v>500</v>
      </c>
      <c r="T7" s="17">
        <f t="shared" si="4"/>
        <v>500</v>
      </c>
      <c r="U7" s="17">
        <f t="shared" si="4"/>
        <v>500</v>
      </c>
      <c r="V7" s="17">
        <f t="shared" si="4"/>
        <v>500</v>
      </c>
      <c r="W7" s="17">
        <f t="shared" si="4"/>
        <v>500</v>
      </c>
      <c r="X7" s="17">
        <f t="shared" si="4"/>
        <v>500</v>
      </c>
      <c r="Y7" s="17">
        <f t="shared" si="4"/>
        <v>1000</v>
      </c>
      <c r="Z7" s="17">
        <f t="shared" si="4"/>
        <v>1000</v>
      </c>
      <c r="AA7" s="17">
        <f t="shared" si="4"/>
        <v>1000</v>
      </c>
      <c r="AB7" s="17">
        <f t="shared" si="4"/>
        <v>1000</v>
      </c>
      <c r="AC7" s="17">
        <f t="shared" si="4"/>
        <v>1000</v>
      </c>
      <c r="AD7" s="17">
        <f t="shared" si="4"/>
        <v>1000</v>
      </c>
      <c r="AE7" s="17">
        <f t="shared" si="4"/>
        <v>1000</v>
      </c>
      <c r="AF7" s="17">
        <f t="shared" si="4"/>
        <v>1000</v>
      </c>
      <c r="AG7" s="17">
        <f t="shared" si="4"/>
        <v>1000</v>
      </c>
      <c r="AH7" s="17">
        <f t="shared" si="4"/>
        <v>1000</v>
      </c>
      <c r="AI7" s="17">
        <f t="shared" si="4"/>
        <v>1000</v>
      </c>
      <c r="AJ7" s="17">
        <f t="shared" si="4"/>
        <v>1000</v>
      </c>
      <c r="AK7" s="17">
        <f t="shared" si="4"/>
        <v>1250</v>
      </c>
      <c r="AL7" s="17">
        <f t="shared" si="4"/>
        <v>1250</v>
      </c>
      <c r="AM7" s="17">
        <f t="shared" si="4"/>
        <v>1250</v>
      </c>
      <c r="AN7" s="17">
        <f t="shared" si="4"/>
        <v>1250</v>
      </c>
      <c r="AO7" s="17">
        <f t="shared" si="4"/>
        <v>1250</v>
      </c>
      <c r="AP7" s="17">
        <f t="shared" si="4"/>
        <v>1250</v>
      </c>
      <c r="AQ7" s="17">
        <f t="shared" si="4"/>
        <v>1250</v>
      </c>
      <c r="AR7" s="17">
        <f t="shared" si="4"/>
        <v>1250</v>
      </c>
      <c r="AS7" s="17">
        <f t="shared" ref="AS7:BT7" si="5">_xlfn.XLOOKUP(_xlfn.NUMBERVALUE(RIGHT(AS$2,1)),$C$3:$G$3,$C5:$G5)/12</f>
        <v>1250</v>
      </c>
      <c r="AT7" s="17">
        <f t="shared" si="5"/>
        <v>1250</v>
      </c>
      <c r="AU7" s="17">
        <f t="shared" si="5"/>
        <v>1250</v>
      </c>
      <c r="AV7" s="17">
        <f t="shared" si="5"/>
        <v>1250</v>
      </c>
      <c r="AW7" s="17">
        <f t="shared" si="5"/>
        <v>1500</v>
      </c>
      <c r="AX7" s="17">
        <f t="shared" si="5"/>
        <v>1500</v>
      </c>
      <c r="AY7" s="17">
        <f t="shared" si="5"/>
        <v>1500</v>
      </c>
      <c r="AZ7" s="17">
        <f t="shared" si="5"/>
        <v>1500</v>
      </c>
      <c r="BA7" s="17">
        <f t="shared" si="5"/>
        <v>1500</v>
      </c>
      <c r="BB7" s="17">
        <f t="shared" si="5"/>
        <v>1500</v>
      </c>
      <c r="BC7" s="17">
        <f t="shared" si="5"/>
        <v>1500</v>
      </c>
      <c r="BD7" s="17">
        <f t="shared" si="5"/>
        <v>1500</v>
      </c>
      <c r="BE7" s="17">
        <f t="shared" si="5"/>
        <v>1500</v>
      </c>
      <c r="BF7" s="17">
        <f t="shared" si="5"/>
        <v>1500</v>
      </c>
      <c r="BG7" s="17">
        <f t="shared" si="5"/>
        <v>1500</v>
      </c>
      <c r="BH7" s="17">
        <f t="shared" si="5"/>
        <v>1500</v>
      </c>
      <c r="BI7" s="17">
        <f t="shared" si="5"/>
        <v>1750</v>
      </c>
      <c r="BJ7" s="17">
        <f t="shared" si="5"/>
        <v>1750</v>
      </c>
      <c r="BK7" s="17">
        <f t="shared" si="5"/>
        <v>1750</v>
      </c>
      <c r="BL7" s="17">
        <f t="shared" si="5"/>
        <v>1750</v>
      </c>
      <c r="BM7" s="17">
        <f t="shared" si="5"/>
        <v>1750</v>
      </c>
      <c r="BN7" s="17">
        <f t="shared" si="5"/>
        <v>1750</v>
      </c>
      <c r="BO7" s="17">
        <f t="shared" si="5"/>
        <v>1750</v>
      </c>
      <c r="BP7" s="17">
        <f t="shared" si="5"/>
        <v>1750</v>
      </c>
      <c r="BQ7" s="17">
        <f t="shared" si="5"/>
        <v>1750</v>
      </c>
      <c r="BR7" s="17">
        <f t="shared" si="5"/>
        <v>1750</v>
      </c>
      <c r="BS7" s="17">
        <f t="shared" si="5"/>
        <v>1750</v>
      </c>
      <c r="BT7" s="17">
        <f t="shared" si="5"/>
        <v>1750</v>
      </c>
    </row>
    <row r="8" spans="1:72" x14ac:dyDescent="0.3">
      <c r="B8" t="s">
        <v>289</v>
      </c>
    </row>
    <row r="9" spans="1:72" x14ac:dyDescent="0.3">
      <c r="B9" t="s">
        <v>288</v>
      </c>
      <c r="C9" s="7">
        <v>6000</v>
      </c>
      <c r="D9" s="7">
        <v>12000</v>
      </c>
      <c r="E9" s="7">
        <v>30000</v>
      </c>
      <c r="F9" s="7">
        <v>60000</v>
      </c>
      <c r="G9" s="7">
        <v>70000</v>
      </c>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row>
    <row r="10" spans="1:72" x14ac:dyDescent="0.3">
      <c r="K10" t="s">
        <v>285</v>
      </c>
      <c r="M10" s="17">
        <f t="shared" ref="M10:AR10" si="6">M17</f>
        <v>10500</v>
      </c>
      <c r="N10" s="17">
        <f t="shared" si="6"/>
        <v>10500</v>
      </c>
      <c r="O10" s="17">
        <f t="shared" si="6"/>
        <v>10500</v>
      </c>
      <c r="P10" s="17">
        <f t="shared" si="6"/>
        <v>10500</v>
      </c>
      <c r="Q10" s="17">
        <f t="shared" si="6"/>
        <v>10500</v>
      </c>
      <c r="R10" s="17">
        <f t="shared" si="6"/>
        <v>10500</v>
      </c>
      <c r="S10" s="17">
        <f t="shared" si="6"/>
        <v>10500</v>
      </c>
      <c r="T10" s="17">
        <f t="shared" si="6"/>
        <v>10500</v>
      </c>
      <c r="U10" s="17">
        <f t="shared" si="6"/>
        <v>10500</v>
      </c>
      <c r="V10" s="17">
        <f t="shared" si="6"/>
        <v>10500</v>
      </c>
      <c r="W10" s="17">
        <f t="shared" si="6"/>
        <v>10500</v>
      </c>
      <c r="X10" s="17">
        <f t="shared" si="6"/>
        <v>10500</v>
      </c>
      <c r="Y10" s="17">
        <f t="shared" si="6"/>
        <v>18025</v>
      </c>
      <c r="Z10" s="17">
        <f t="shared" si="6"/>
        <v>18025</v>
      </c>
      <c r="AA10" s="17">
        <f t="shared" si="6"/>
        <v>18025</v>
      </c>
      <c r="AB10" s="17">
        <f t="shared" si="6"/>
        <v>18025</v>
      </c>
      <c r="AC10" s="17">
        <f t="shared" si="6"/>
        <v>18025</v>
      </c>
      <c r="AD10" s="17">
        <f t="shared" si="6"/>
        <v>18025</v>
      </c>
      <c r="AE10" s="17">
        <f t="shared" si="6"/>
        <v>18025</v>
      </c>
      <c r="AF10" s="17">
        <f t="shared" si="6"/>
        <v>18025</v>
      </c>
      <c r="AG10" s="17">
        <f t="shared" si="6"/>
        <v>18025</v>
      </c>
      <c r="AH10" s="17">
        <f t="shared" si="6"/>
        <v>18025</v>
      </c>
      <c r="AI10" s="17">
        <f t="shared" si="6"/>
        <v>18025</v>
      </c>
      <c r="AJ10" s="17">
        <f t="shared" si="6"/>
        <v>18025</v>
      </c>
      <c r="AK10" s="17">
        <f t="shared" si="6"/>
        <v>18900</v>
      </c>
      <c r="AL10" s="17">
        <f t="shared" si="6"/>
        <v>18900</v>
      </c>
      <c r="AM10" s="17">
        <f t="shared" si="6"/>
        <v>18900</v>
      </c>
      <c r="AN10" s="17">
        <f t="shared" si="6"/>
        <v>18900</v>
      </c>
      <c r="AO10" s="17">
        <f t="shared" si="6"/>
        <v>18900</v>
      </c>
      <c r="AP10" s="17">
        <f t="shared" si="6"/>
        <v>18900</v>
      </c>
      <c r="AQ10" s="17">
        <f t="shared" si="6"/>
        <v>18900</v>
      </c>
      <c r="AR10" s="17">
        <f t="shared" si="6"/>
        <v>18900</v>
      </c>
      <c r="AS10" s="17">
        <f t="shared" ref="AS10:BT10" si="7">AS17</f>
        <v>18900</v>
      </c>
      <c r="AT10" s="17">
        <f t="shared" si="7"/>
        <v>18900</v>
      </c>
      <c r="AU10" s="17">
        <f t="shared" si="7"/>
        <v>18900</v>
      </c>
      <c r="AV10" s="17">
        <f t="shared" si="7"/>
        <v>18900</v>
      </c>
      <c r="AW10" s="17">
        <f t="shared" si="7"/>
        <v>19775</v>
      </c>
      <c r="AX10" s="17">
        <f t="shared" si="7"/>
        <v>19775</v>
      </c>
      <c r="AY10" s="17">
        <f t="shared" si="7"/>
        <v>19775</v>
      </c>
      <c r="AZ10" s="17">
        <f t="shared" si="7"/>
        <v>19775</v>
      </c>
      <c r="BA10" s="17">
        <f t="shared" si="7"/>
        <v>19775</v>
      </c>
      <c r="BB10" s="17">
        <f t="shared" si="7"/>
        <v>19775</v>
      </c>
      <c r="BC10" s="17">
        <f t="shared" si="7"/>
        <v>19775</v>
      </c>
      <c r="BD10" s="17">
        <f t="shared" si="7"/>
        <v>19775</v>
      </c>
      <c r="BE10" s="17">
        <f t="shared" si="7"/>
        <v>19775</v>
      </c>
      <c r="BF10" s="17">
        <f t="shared" si="7"/>
        <v>19775</v>
      </c>
      <c r="BG10" s="17">
        <f t="shared" si="7"/>
        <v>19775</v>
      </c>
      <c r="BH10" s="17">
        <f t="shared" si="7"/>
        <v>19775</v>
      </c>
      <c r="BI10" s="17">
        <f t="shared" si="7"/>
        <v>20650</v>
      </c>
      <c r="BJ10" s="17">
        <f t="shared" si="7"/>
        <v>20650</v>
      </c>
      <c r="BK10" s="17">
        <f t="shared" si="7"/>
        <v>20650</v>
      </c>
      <c r="BL10" s="17">
        <f t="shared" si="7"/>
        <v>20650</v>
      </c>
      <c r="BM10" s="17">
        <f t="shared" si="7"/>
        <v>20650</v>
      </c>
      <c r="BN10" s="17">
        <f t="shared" si="7"/>
        <v>20650</v>
      </c>
      <c r="BO10" s="17">
        <f t="shared" si="7"/>
        <v>20650</v>
      </c>
      <c r="BP10" s="17">
        <f t="shared" si="7"/>
        <v>20650</v>
      </c>
      <c r="BQ10" s="17">
        <f t="shared" si="7"/>
        <v>20650</v>
      </c>
      <c r="BR10" s="17">
        <f t="shared" si="7"/>
        <v>20650</v>
      </c>
      <c r="BS10" s="17">
        <f t="shared" si="7"/>
        <v>20650</v>
      </c>
      <c r="BT10" s="17">
        <f t="shared" si="7"/>
        <v>20650</v>
      </c>
    </row>
    <row r="11" spans="1:72" x14ac:dyDescent="0.3">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x14ac:dyDescent="0.3">
      <c r="C12" t="s">
        <v>299</v>
      </c>
      <c r="D12" t="s">
        <v>176</v>
      </c>
      <c r="E12" t="s">
        <v>177</v>
      </c>
      <c r="F12" t="s">
        <v>178</v>
      </c>
      <c r="G12" t="s">
        <v>179</v>
      </c>
      <c r="H12" t="s">
        <v>180</v>
      </c>
      <c r="K12" s="16" t="s">
        <v>286</v>
      </c>
      <c r="M12" s="49">
        <f>SUM(M5:M10)</f>
        <v>12750</v>
      </c>
      <c r="N12" s="49">
        <f t="shared" ref="N12:BT12" si="8">SUM(N5:N10)</f>
        <v>12750</v>
      </c>
      <c r="O12" s="49">
        <f t="shared" si="8"/>
        <v>12750</v>
      </c>
      <c r="P12" s="49">
        <f t="shared" si="8"/>
        <v>12750</v>
      </c>
      <c r="Q12" s="49">
        <f t="shared" si="8"/>
        <v>12750</v>
      </c>
      <c r="R12" s="49">
        <f t="shared" si="8"/>
        <v>12750</v>
      </c>
      <c r="S12" s="49">
        <f t="shared" si="8"/>
        <v>12750</v>
      </c>
      <c r="T12" s="49">
        <f t="shared" si="8"/>
        <v>12750</v>
      </c>
      <c r="U12" s="49">
        <f t="shared" si="8"/>
        <v>12750</v>
      </c>
      <c r="V12" s="49">
        <f t="shared" si="8"/>
        <v>12750</v>
      </c>
      <c r="W12" s="49">
        <f t="shared" si="8"/>
        <v>12750</v>
      </c>
      <c r="X12" s="49">
        <f t="shared" si="8"/>
        <v>12750</v>
      </c>
      <c r="Y12" s="49">
        <f t="shared" si="8"/>
        <v>22525</v>
      </c>
      <c r="Z12" s="49">
        <f t="shared" si="8"/>
        <v>22525</v>
      </c>
      <c r="AA12" s="49">
        <f t="shared" si="8"/>
        <v>22525</v>
      </c>
      <c r="AB12" s="49">
        <f t="shared" si="8"/>
        <v>22525</v>
      </c>
      <c r="AC12" s="49">
        <f t="shared" si="8"/>
        <v>22525</v>
      </c>
      <c r="AD12" s="49">
        <f t="shared" si="8"/>
        <v>22525</v>
      </c>
      <c r="AE12" s="49">
        <f t="shared" si="8"/>
        <v>22525</v>
      </c>
      <c r="AF12" s="49">
        <f t="shared" si="8"/>
        <v>22525</v>
      </c>
      <c r="AG12" s="49">
        <f t="shared" si="8"/>
        <v>22525</v>
      </c>
      <c r="AH12" s="49">
        <f t="shared" si="8"/>
        <v>22525</v>
      </c>
      <c r="AI12" s="49">
        <f t="shared" si="8"/>
        <v>22525</v>
      </c>
      <c r="AJ12" s="49">
        <f t="shared" si="8"/>
        <v>22525</v>
      </c>
      <c r="AK12" s="49">
        <f t="shared" si="8"/>
        <v>28483.333333333332</v>
      </c>
      <c r="AL12" s="49">
        <f t="shared" si="8"/>
        <v>28483.333333333332</v>
      </c>
      <c r="AM12" s="49">
        <f t="shared" si="8"/>
        <v>28483.333333333332</v>
      </c>
      <c r="AN12" s="49">
        <f t="shared" si="8"/>
        <v>28483.333333333332</v>
      </c>
      <c r="AO12" s="49">
        <f t="shared" si="8"/>
        <v>28483.333333333332</v>
      </c>
      <c r="AP12" s="49">
        <f t="shared" si="8"/>
        <v>28483.333333333332</v>
      </c>
      <c r="AQ12" s="49">
        <f t="shared" si="8"/>
        <v>28483.333333333332</v>
      </c>
      <c r="AR12" s="49">
        <f t="shared" si="8"/>
        <v>28483.333333333332</v>
      </c>
      <c r="AS12" s="49">
        <f t="shared" si="8"/>
        <v>28483.333333333332</v>
      </c>
      <c r="AT12" s="49">
        <f t="shared" si="8"/>
        <v>28483.333333333332</v>
      </c>
      <c r="AU12" s="49">
        <f t="shared" si="8"/>
        <v>28483.333333333332</v>
      </c>
      <c r="AV12" s="49">
        <f t="shared" si="8"/>
        <v>28483.333333333332</v>
      </c>
      <c r="AW12" s="49">
        <f t="shared" si="8"/>
        <v>33775</v>
      </c>
      <c r="AX12" s="49">
        <f t="shared" si="8"/>
        <v>33775</v>
      </c>
      <c r="AY12" s="49">
        <f t="shared" si="8"/>
        <v>33775</v>
      </c>
      <c r="AZ12" s="49">
        <f t="shared" si="8"/>
        <v>33775</v>
      </c>
      <c r="BA12" s="49">
        <f t="shared" si="8"/>
        <v>33775</v>
      </c>
      <c r="BB12" s="49">
        <f t="shared" si="8"/>
        <v>33775</v>
      </c>
      <c r="BC12" s="49">
        <f t="shared" si="8"/>
        <v>33775</v>
      </c>
      <c r="BD12" s="49">
        <f t="shared" si="8"/>
        <v>33775</v>
      </c>
      <c r="BE12" s="49">
        <f t="shared" si="8"/>
        <v>33775</v>
      </c>
      <c r="BF12" s="49">
        <f t="shared" si="8"/>
        <v>33775</v>
      </c>
      <c r="BG12" s="49">
        <f t="shared" si="8"/>
        <v>33775</v>
      </c>
      <c r="BH12" s="49">
        <f t="shared" si="8"/>
        <v>33775</v>
      </c>
      <c r="BI12" s="49">
        <f t="shared" si="8"/>
        <v>38650</v>
      </c>
      <c r="BJ12" s="49">
        <f t="shared" si="8"/>
        <v>38650</v>
      </c>
      <c r="BK12" s="49">
        <f t="shared" si="8"/>
        <v>38650</v>
      </c>
      <c r="BL12" s="49">
        <f t="shared" si="8"/>
        <v>38650</v>
      </c>
      <c r="BM12" s="49">
        <f t="shared" si="8"/>
        <v>38650</v>
      </c>
      <c r="BN12" s="49">
        <f t="shared" si="8"/>
        <v>38650</v>
      </c>
      <c r="BO12" s="49">
        <f t="shared" si="8"/>
        <v>38650</v>
      </c>
      <c r="BP12" s="49">
        <f t="shared" si="8"/>
        <v>38650</v>
      </c>
      <c r="BQ12" s="49">
        <f t="shared" si="8"/>
        <v>38650</v>
      </c>
      <c r="BR12" s="49">
        <f t="shared" si="8"/>
        <v>38650</v>
      </c>
      <c r="BS12" s="49">
        <f t="shared" si="8"/>
        <v>38650</v>
      </c>
      <c r="BT12" s="49">
        <f t="shared" si="8"/>
        <v>38650</v>
      </c>
    </row>
    <row r="13" spans="1:72" x14ac:dyDescent="0.3">
      <c r="A13" s="36"/>
      <c r="B13" t="s">
        <v>181</v>
      </c>
      <c r="C13" s="57">
        <v>75000</v>
      </c>
      <c r="D13" s="7">
        <v>2</v>
      </c>
      <c r="E13" s="26">
        <v>0.3</v>
      </c>
      <c r="F13" s="26">
        <v>7.0000000000000007E-2</v>
      </c>
      <c r="G13" s="26">
        <v>0.12</v>
      </c>
      <c r="H13" s="17">
        <f>C13*E13+C13*F13+C13*G13+C13</f>
        <v>111750</v>
      </c>
      <c r="K13" s="16"/>
      <c r="M13" s="125"/>
      <c r="N13" s="125"/>
      <c r="O13" s="125"/>
      <c r="P13" s="125"/>
      <c r="Q13" s="12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row>
    <row r="14" spans="1:72" x14ac:dyDescent="0.3">
      <c r="A14" s="36"/>
      <c r="B14" t="s">
        <v>182</v>
      </c>
      <c r="C14" s="57">
        <v>52500</v>
      </c>
      <c r="D14" s="7">
        <v>2</v>
      </c>
      <c r="E14" s="26">
        <v>0.25</v>
      </c>
      <c r="F14" s="26">
        <v>0.05</v>
      </c>
      <c r="G14" s="26">
        <v>0.1</v>
      </c>
      <c r="H14" s="17">
        <f t="shared" ref="H14" si="9">C14*E14+C14*F14+C14*G14+C14</f>
        <v>73500</v>
      </c>
      <c r="K14" t="s">
        <v>183</v>
      </c>
      <c r="M14" s="17">
        <f t="shared" ref="M14:AR14" si="10">IF(_xlfn.NUMBERVALUE(RIGHT(M$2,1))&gt;=$D22,$H22/12,0)*IF(_xlfn.NUMBERVALUE(RIGHT(M$2,1))-$D22&gt;=1,1+((_xlfn.NUMBERVALUE(RIGHT(M$2,1))-$D22)*$H$25),1)</f>
        <v>10500</v>
      </c>
      <c r="N14" s="17">
        <f t="shared" si="10"/>
        <v>10500</v>
      </c>
      <c r="O14" s="17">
        <f t="shared" si="10"/>
        <v>10500</v>
      </c>
      <c r="P14" s="17">
        <f t="shared" si="10"/>
        <v>10500</v>
      </c>
      <c r="Q14" s="17">
        <f t="shared" si="10"/>
        <v>10500</v>
      </c>
      <c r="R14" s="17">
        <f t="shared" si="10"/>
        <v>10500</v>
      </c>
      <c r="S14" s="17">
        <f t="shared" si="10"/>
        <v>10500</v>
      </c>
      <c r="T14" s="17">
        <f t="shared" si="10"/>
        <v>10500</v>
      </c>
      <c r="U14" s="17">
        <f t="shared" si="10"/>
        <v>10500</v>
      </c>
      <c r="V14" s="17">
        <f t="shared" si="10"/>
        <v>10500</v>
      </c>
      <c r="W14" s="17">
        <f t="shared" si="10"/>
        <v>10500</v>
      </c>
      <c r="X14" s="17">
        <f t="shared" si="10"/>
        <v>10500</v>
      </c>
      <c r="Y14" s="17">
        <f t="shared" si="10"/>
        <v>11025</v>
      </c>
      <c r="Z14" s="17">
        <f t="shared" si="10"/>
        <v>11025</v>
      </c>
      <c r="AA14" s="17">
        <f t="shared" si="10"/>
        <v>11025</v>
      </c>
      <c r="AB14" s="17">
        <f t="shared" si="10"/>
        <v>11025</v>
      </c>
      <c r="AC14" s="17">
        <f t="shared" si="10"/>
        <v>11025</v>
      </c>
      <c r="AD14" s="17">
        <f t="shared" si="10"/>
        <v>11025</v>
      </c>
      <c r="AE14" s="17">
        <f t="shared" si="10"/>
        <v>11025</v>
      </c>
      <c r="AF14" s="17">
        <f t="shared" si="10"/>
        <v>11025</v>
      </c>
      <c r="AG14" s="17">
        <f t="shared" si="10"/>
        <v>11025</v>
      </c>
      <c r="AH14" s="17">
        <f t="shared" si="10"/>
        <v>11025</v>
      </c>
      <c r="AI14" s="17">
        <f t="shared" si="10"/>
        <v>11025</v>
      </c>
      <c r="AJ14" s="17">
        <f t="shared" si="10"/>
        <v>11025</v>
      </c>
      <c r="AK14" s="17">
        <f t="shared" si="10"/>
        <v>11550.000000000002</v>
      </c>
      <c r="AL14" s="17">
        <f t="shared" si="10"/>
        <v>11550.000000000002</v>
      </c>
      <c r="AM14" s="17">
        <f t="shared" si="10"/>
        <v>11550.000000000002</v>
      </c>
      <c r="AN14" s="17">
        <f t="shared" si="10"/>
        <v>11550.000000000002</v>
      </c>
      <c r="AO14" s="17">
        <f t="shared" si="10"/>
        <v>11550.000000000002</v>
      </c>
      <c r="AP14" s="17">
        <f t="shared" si="10"/>
        <v>11550.000000000002</v>
      </c>
      <c r="AQ14" s="17">
        <f t="shared" si="10"/>
        <v>11550.000000000002</v>
      </c>
      <c r="AR14" s="17">
        <f t="shared" si="10"/>
        <v>11550.000000000002</v>
      </c>
      <c r="AS14" s="17">
        <f t="shared" ref="AS14:BT14" si="11">IF(_xlfn.NUMBERVALUE(RIGHT(AS$2,1))&gt;=$D22,$H22/12,0)*IF(_xlfn.NUMBERVALUE(RIGHT(AS$2,1))-$D22&gt;=1,1+((_xlfn.NUMBERVALUE(RIGHT(AS$2,1))-$D22)*$H$25),1)</f>
        <v>11550.000000000002</v>
      </c>
      <c r="AT14" s="17">
        <f t="shared" si="11"/>
        <v>11550.000000000002</v>
      </c>
      <c r="AU14" s="17">
        <f t="shared" si="11"/>
        <v>11550.000000000002</v>
      </c>
      <c r="AV14" s="17">
        <f t="shared" si="11"/>
        <v>11550.000000000002</v>
      </c>
      <c r="AW14" s="17">
        <f t="shared" si="11"/>
        <v>12074.999999999998</v>
      </c>
      <c r="AX14" s="17">
        <f t="shared" si="11"/>
        <v>12074.999999999998</v>
      </c>
      <c r="AY14" s="17">
        <f t="shared" si="11"/>
        <v>12074.999999999998</v>
      </c>
      <c r="AZ14" s="17">
        <f t="shared" si="11"/>
        <v>12074.999999999998</v>
      </c>
      <c r="BA14" s="17">
        <f t="shared" si="11"/>
        <v>12074.999999999998</v>
      </c>
      <c r="BB14" s="17">
        <f t="shared" si="11"/>
        <v>12074.999999999998</v>
      </c>
      <c r="BC14" s="17">
        <f t="shared" si="11"/>
        <v>12074.999999999998</v>
      </c>
      <c r="BD14" s="17">
        <f t="shared" si="11"/>
        <v>12074.999999999998</v>
      </c>
      <c r="BE14" s="17">
        <f t="shared" si="11"/>
        <v>12074.999999999998</v>
      </c>
      <c r="BF14" s="17">
        <f t="shared" si="11"/>
        <v>12074.999999999998</v>
      </c>
      <c r="BG14" s="17">
        <f t="shared" si="11"/>
        <v>12074.999999999998</v>
      </c>
      <c r="BH14" s="17">
        <f t="shared" si="11"/>
        <v>12074.999999999998</v>
      </c>
      <c r="BI14" s="17">
        <f t="shared" si="11"/>
        <v>12600</v>
      </c>
      <c r="BJ14" s="17">
        <f t="shared" si="11"/>
        <v>12600</v>
      </c>
      <c r="BK14" s="17">
        <f t="shared" si="11"/>
        <v>12600</v>
      </c>
      <c r="BL14" s="17">
        <f t="shared" si="11"/>
        <v>12600</v>
      </c>
      <c r="BM14" s="17">
        <f t="shared" si="11"/>
        <v>12600</v>
      </c>
      <c r="BN14" s="17">
        <f t="shared" si="11"/>
        <v>12600</v>
      </c>
      <c r="BO14" s="17">
        <f t="shared" si="11"/>
        <v>12600</v>
      </c>
      <c r="BP14" s="17">
        <f t="shared" si="11"/>
        <v>12600</v>
      </c>
      <c r="BQ14" s="17">
        <f t="shared" si="11"/>
        <v>12600</v>
      </c>
      <c r="BR14" s="17">
        <f t="shared" si="11"/>
        <v>12600</v>
      </c>
      <c r="BS14" s="17">
        <f t="shared" si="11"/>
        <v>12600</v>
      </c>
      <c r="BT14" s="17">
        <f t="shared" si="11"/>
        <v>12600</v>
      </c>
    </row>
    <row r="15" spans="1:72" x14ac:dyDescent="0.3">
      <c r="A15" s="36"/>
      <c r="B15" t="s">
        <v>182</v>
      </c>
      <c r="C15" s="57">
        <v>52500</v>
      </c>
      <c r="D15" s="7">
        <v>2</v>
      </c>
      <c r="E15" s="26">
        <v>0.25</v>
      </c>
      <c r="F15" s="26">
        <v>0.05</v>
      </c>
      <c r="G15" s="26">
        <v>0.1</v>
      </c>
      <c r="H15" s="17">
        <f>C15*E15+C15*F15+C15*G15+C15</f>
        <v>73500</v>
      </c>
      <c r="K15" s="28" t="s">
        <v>184</v>
      </c>
      <c r="M15" s="17">
        <f t="shared" ref="M15:AR15" si="12">IF(_xlfn.NUMBERVALUE(RIGHT(M$2,1))&gt;=$D23,$H23/12,0)*IF(_xlfn.NUMBERVALUE(RIGHT(M$2,1))-$D23&gt;=1,1+((_xlfn.NUMBERVALUE(RIGHT(M$2,1))-$D23)*$H$25),1)</f>
        <v>0</v>
      </c>
      <c r="N15" s="17">
        <f t="shared" si="12"/>
        <v>0</v>
      </c>
      <c r="O15" s="17">
        <f t="shared" si="12"/>
        <v>0</v>
      </c>
      <c r="P15" s="17">
        <f t="shared" si="12"/>
        <v>0</v>
      </c>
      <c r="Q15" s="17">
        <f t="shared" si="12"/>
        <v>0</v>
      </c>
      <c r="R15" s="17">
        <f t="shared" si="12"/>
        <v>0</v>
      </c>
      <c r="S15" s="17">
        <f t="shared" si="12"/>
        <v>0</v>
      </c>
      <c r="T15" s="17">
        <f t="shared" si="12"/>
        <v>0</v>
      </c>
      <c r="U15" s="17">
        <f t="shared" si="12"/>
        <v>0</v>
      </c>
      <c r="V15" s="17">
        <f t="shared" si="12"/>
        <v>0</v>
      </c>
      <c r="W15" s="17">
        <f t="shared" si="12"/>
        <v>0</v>
      </c>
      <c r="X15" s="17">
        <f t="shared" si="12"/>
        <v>0</v>
      </c>
      <c r="Y15" s="17">
        <f t="shared" si="12"/>
        <v>7000</v>
      </c>
      <c r="Z15" s="17">
        <f t="shared" si="12"/>
        <v>7000</v>
      </c>
      <c r="AA15" s="17">
        <f t="shared" si="12"/>
        <v>7000</v>
      </c>
      <c r="AB15" s="17">
        <f t="shared" si="12"/>
        <v>7000</v>
      </c>
      <c r="AC15" s="17">
        <f t="shared" si="12"/>
        <v>7000</v>
      </c>
      <c r="AD15" s="17">
        <f t="shared" si="12"/>
        <v>7000</v>
      </c>
      <c r="AE15" s="17">
        <f t="shared" si="12"/>
        <v>7000</v>
      </c>
      <c r="AF15" s="17">
        <f t="shared" si="12"/>
        <v>7000</v>
      </c>
      <c r="AG15" s="17">
        <f t="shared" si="12"/>
        <v>7000</v>
      </c>
      <c r="AH15" s="17">
        <f t="shared" si="12"/>
        <v>7000</v>
      </c>
      <c r="AI15" s="17">
        <f t="shared" si="12"/>
        <v>7000</v>
      </c>
      <c r="AJ15" s="17">
        <f t="shared" si="12"/>
        <v>7000</v>
      </c>
      <c r="AK15" s="17">
        <f t="shared" si="12"/>
        <v>7350</v>
      </c>
      <c r="AL15" s="17">
        <f t="shared" si="12"/>
        <v>7350</v>
      </c>
      <c r="AM15" s="17">
        <f t="shared" si="12"/>
        <v>7350</v>
      </c>
      <c r="AN15" s="17">
        <f t="shared" si="12"/>
        <v>7350</v>
      </c>
      <c r="AO15" s="17">
        <f t="shared" si="12"/>
        <v>7350</v>
      </c>
      <c r="AP15" s="17">
        <f t="shared" si="12"/>
        <v>7350</v>
      </c>
      <c r="AQ15" s="17">
        <f t="shared" si="12"/>
        <v>7350</v>
      </c>
      <c r="AR15" s="17">
        <f t="shared" si="12"/>
        <v>7350</v>
      </c>
      <c r="AS15" s="17">
        <f t="shared" ref="AS15:BT15" si="13">IF(_xlfn.NUMBERVALUE(RIGHT(AS$2,1))&gt;=$D23,$H23/12,0)*IF(_xlfn.NUMBERVALUE(RIGHT(AS$2,1))-$D23&gt;=1,1+((_xlfn.NUMBERVALUE(RIGHT(AS$2,1))-$D23)*$H$25),1)</f>
        <v>7350</v>
      </c>
      <c r="AT15" s="17">
        <f t="shared" si="13"/>
        <v>7350</v>
      </c>
      <c r="AU15" s="17">
        <f t="shared" si="13"/>
        <v>7350</v>
      </c>
      <c r="AV15" s="17">
        <f t="shared" si="13"/>
        <v>7350</v>
      </c>
      <c r="AW15" s="17">
        <f t="shared" si="13"/>
        <v>7700.0000000000009</v>
      </c>
      <c r="AX15" s="17">
        <f t="shared" si="13"/>
        <v>7700.0000000000009</v>
      </c>
      <c r="AY15" s="17">
        <f t="shared" si="13"/>
        <v>7700.0000000000009</v>
      </c>
      <c r="AZ15" s="17">
        <f t="shared" si="13"/>
        <v>7700.0000000000009</v>
      </c>
      <c r="BA15" s="17">
        <f t="shared" si="13"/>
        <v>7700.0000000000009</v>
      </c>
      <c r="BB15" s="17">
        <f t="shared" si="13"/>
        <v>7700.0000000000009</v>
      </c>
      <c r="BC15" s="17">
        <f t="shared" si="13"/>
        <v>7700.0000000000009</v>
      </c>
      <c r="BD15" s="17">
        <f t="shared" si="13"/>
        <v>7700.0000000000009</v>
      </c>
      <c r="BE15" s="17">
        <f t="shared" si="13"/>
        <v>7700.0000000000009</v>
      </c>
      <c r="BF15" s="17">
        <f t="shared" si="13"/>
        <v>7700.0000000000009</v>
      </c>
      <c r="BG15" s="17">
        <f t="shared" si="13"/>
        <v>7700.0000000000009</v>
      </c>
      <c r="BH15" s="17">
        <f t="shared" si="13"/>
        <v>7700.0000000000009</v>
      </c>
      <c r="BI15" s="17">
        <f t="shared" si="13"/>
        <v>8049.9999999999991</v>
      </c>
      <c r="BJ15" s="17">
        <f t="shared" si="13"/>
        <v>8049.9999999999991</v>
      </c>
      <c r="BK15" s="17">
        <f t="shared" si="13"/>
        <v>8049.9999999999991</v>
      </c>
      <c r="BL15" s="17">
        <f t="shared" si="13"/>
        <v>8049.9999999999991</v>
      </c>
      <c r="BM15" s="17">
        <f t="shared" si="13"/>
        <v>8049.9999999999991</v>
      </c>
      <c r="BN15" s="17">
        <f t="shared" si="13"/>
        <v>8049.9999999999991</v>
      </c>
      <c r="BO15" s="17">
        <f t="shared" si="13"/>
        <v>8049.9999999999991</v>
      </c>
      <c r="BP15" s="17">
        <f t="shared" si="13"/>
        <v>8049.9999999999991</v>
      </c>
      <c r="BQ15" s="17">
        <f t="shared" si="13"/>
        <v>8049.9999999999991</v>
      </c>
      <c r="BR15" s="17">
        <f t="shared" si="13"/>
        <v>8049.9999999999991</v>
      </c>
      <c r="BS15" s="17">
        <f t="shared" si="13"/>
        <v>8049.9999999999991</v>
      </c>
      <c r="BT15" s="17">
        <f t="shared" si="13"/>
        <v>8049.9999999999991</v>
      </c>
    </row>
    <row r="16" spans="1:72" x14ac:dyDescent="0.3">
      <c r="A16" s="36"/>
      <c r="B16" s="28" t="s">
        <v>185</v>
      </c>
      <c r="C16" s="57">
        <v>67500</v>
      </c>
      <c r="D16" s="7">
        <v>3</v>
      </c>
      <c r="E16" s="26">
        <v>0.25</v>
      </c>
      <c r="F16" s="26">
        <v>0.05</v>
      </c>
      <c r="G16" s="26">
        <v>0.1</v>
      </c>
      <c r="H16" s="17">
        <f>C16*E16+C16*F16+C16*G16+C16</f>
        <v>94500</v>
      </c>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row>
    <row r="17" spans="1:75" x14ac:dyDescent="0.3">
      <c r="A17" s="36"/>
      <c r="B17" s="28" t="s">
        <v>186</v>
      </c>
      <c r="C17" s="57">
        <v>52500</v>
      </c>
      <c r="D17" s="7">
        <v>5</v>
      </c>
      <c r="E17" s="26">
        <v>0.25</v>
      </c>
      <c r="F17" s="26">
        <v>0.05</v>
      </c>
      <c r="G17" s="26">
        <v>0.1</v>
      </c>
      <c r="H17" s="17">
        <f>C17*E17+C17*F17+C17*G17+C17</f>
        <v>73500</v>
      </c>
      <c r="K17" t="s">
        <v>291</v>
      </c>
      <c r="M17" s="124">
        <f>SUM(M14:M15)</f>
        <v>10500</v>
      </c>
      <c r="N17" s="124">
        <f t="shared" ref="N17:BT17" si="14">SUM(N14:N15)</f>
        <v>10500</v>
      </c>
      <c r="O17" s="124">
        <f t="shared" si="14"/>
        <v>10500</v>
      </c>
      <c r="P17" s="124">
        <f t="shared" si="14"/>
        <v>10500</v>
      </c>
      <c r="Q17" s="124">
        <f t="shared" si="14"/>
        <v>10500</v>
      </c>
      <c r="R17" s="124">
        <f t="shared" si="14"/>
        <v>10500</v>
      </c>
      <c r="S17" s="124">
        <f t="shared" si="14"/>
        <v>10500</v>
      </c>
      <c r="T17" s="124">
        <f t="shared" si="14"/>
        <v>10500</v>
      </c>
      <c r="U17" s="124">
        <f t="shared" si="14"/>
        <v>10500</v>
      </c>
      <c r="V17" s="124">
        <f t="shared" si="14"/>
        <v>10500</v>
      </c>
      <c r="W17" s="124">
        <f t="shared" si="14"/>
        <v>10500</v>
      </c>
      <c r="X17" s="124">
        <f t="shared" si="14"/>
        <v>10500</v>
      </c>
      <c r="Y17" s="124">
        <f t="shared" si="14"/>
        <v>18025</v>
      </c>
      <c r="Z17" s="124">
        <f t="shared" si="14"/>
        <v>18025</v>
      </c>
      <c r="AA17" s="124">
        <f t="shared" si="14"/>
        <v>18025</v>
      </c>
      <c r="AB17" s="124">
        <f t="shared" si="14"/>
        <v>18025</v>
      </c>
      <c r="AC17" s="124">
        <f t="shared" si="14"/>
        <v>18025</v>
      </c>
      <c r="AD17" s="124">
        <f t="shared" si="14"/>
        <v>18025</v>
      </c>
      <c r="AE17" s="124">
        <f t="shared" si="14"/>
        <v>18025</v>
      </c>
      <c r="AF17" s="124">
        <f t="shared" si="14"/>
        <v>18025</v>
      </c>
      <c r="AG17" s="124">
        <f t="shared" si="14"/>
        <v>18025</v>
      </c>
      <c r="AH17" s="124">
        <f t="shared" si="14"/>
        <v>18025</v>
      </c>
      <c r="AI17" s="124">
        <f t="shared" si="14"/>
        <v>18025</v>
      </c>
      <c r="AJ17" s="124">
        <f t="shared" si="14"/>
        <v>18025</v>
      </c>
      <c r="AK17" s="124">
        <f t="shared" si="14"/>
        <v>18900</v>
      </c>
      <c r="AL17" s="124">
        <f t="shared" si="14"/>
        <v>18900</v>
      </c>
      <c r="AM17" s="124">
        <f t="shared" si="14"/>
        <v>18900</v>
      </c>
      <c r="AN17" s="124">
        <f t="shared" si="14"/>
        <v>18900</v>
      </c>
      <c r="AO17" s="124">
        <f t="shared" si="14"/>
        <v>18900</v>
      </c>
      <c r="AP17" s="124">
        <f t="shared" si="14"/>
        <v>18900</v>
      </c>
      <c r="AQ17" s="124">
        <f t="shared" si="14"/>
        <v>18900</v>
      </c>
      <c r="AR17" s="124">
        <f t="shared" si="14"/>
        <v>18900</v>
      </c>
      <c r="AS17" s="124">
        <f t="shared" si="14"/>
        <v>18900</v>
      </c>
      <c r="AT17" s="124">
        <f t="shared" si="14"/>
        <v>18900</v>
      </c>
      <c r="AU17" s="124">
        <f t="shared" si="14"/>
        <v>18900</v>
      </c>
      <c r="AV17" s="124">
        <f t="shared" si="14"/>
        <v>18900</v>
      </c>
      <c r="AW17" s="124">
        <f t="shared" si="14"/>
        <v>19775</v>
      </c>
      <c r="AX17" s="124">
        <f t="shared" si="14"/>
        <v>19775</v>
      </c>
      <c r="AY17" s="124">
        <f t="shared" si="14"/>
        <v>19775</v>
      </c>
      <c r="AZ17" s="124">
        <f t="shared" si="14"/>
        <v>19775</v>
      </c>
      <c r="BA17" s="124">
        <f t="shared" si="14"/>
        <v>19775</v>
      </c>
      <c r="BB17" s="124">
        <f t="shared" si="14"/>
        <v>19775</v>
      </c>
      <c r="BC17" s="124">
        <f t="shared" si="14"/>
        <v>19775</v>
      </c>
      <c r="BD17" s="124">
        <f t="shared" si="14"/>
        <v>19775</v>
      </c>
      <c r="BE17" s="124">
        <f t="shared" si="14"/>
        <v>19775</v>
      </c>
      <c r="BF17" s="124">
        <f t="shared" si="14"/>
        <v>19775</v>
      </c>
      <c r="BG17" s="124">
        <f t="shared" si="14"/>
        <v>19775</v>
      </c>
      <c r="BH17" s="124">
        <f t="shared" si="14"/>
        <v>19775</v>
      </c>
      <c r="BI17" s="124">
        <f t="shared" si="14"/>
        <v>20650</v>
      </c>
      <c r="BJ17" s="124">
        <f t="shared" si="14"/>
        <v>20650</v>
      </c>
      <c r="BK17" s="124">
        <f t="shared" si="14"/>
        <v>20650</v>
      </c>
      <c r="BL17" s="124">
        <f t="shared" si="14"/>
        <v>20650</v>
      </c>
      <c r="BM17" s="124">
        <f t="shared" si="14"/>
        <v>20650</v>
      </c>
      <c r="BN17" s="124">
        <f t="shared" si="14"/>
        <v>20650</v>
      </c>
      <c r="BO17" s="124">
        <f t="shared" si="14"/>
        <v>20650</v>
      </c>
      <c r="BP17" s="124">
        <f t="shared" si="14"/>
        <v>20650</v>
      </c>
      <c r="BQ17" s="124">
        <f t="shared" si="14"/>
        <v>20650</v>
      </c>
      <c r="BR17" s="124">
        <f t="shared" si="14"/>
        <v>20650</v>
      </c>
      <c r="BS17" s="124">
        <f t="shared" si="14"/>
        <v>20650</v>
      </c>
      <c r="BT17" s="124">
        <f t="shared" si="14"/>
        <v>20650</v>
      </c>
    </row>
    <row r="18" spans="1:75" x14ac:dyDescent="0.3">
      <c r="A18" s="36"/>
      <c r="B18" s="28" t="s">
        <v>187</v>
      </c>
      <c r="C18" s="57">
        <v>75000</v>
      </c>
      <c r="D18" s="7">
        <v>4</v>
      </c>
      <c r="E18" s="26">
        <v>0.27</v>
      </c>
      <c r="F18" s="26">
        <v>0.06</v>
      </c>
      <c r="G18" s="26">
        <v>0.11</v>
      </c>
      <c r="H18" s="17">
        <f>C18*E18+C18*F18+C18*G18+C18</f>
        <v>108000</v>
      </c>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5" x14ac:dyDescent="0.3">
      <c r="A19" s="36"/>
      <c r="B19" s="28" t="s">
        <v>272</v>
      </c>
      <c r="C19" s="57">
        <v>52500</v>
      </c>
      <c r="D19" s="7">
        <v>4</v>
      </c>
      <c r="E19" s="26">
        <v>0.25</v>
      </c>
      <c r="F19" s="26">
        <v>0.05</v>
      </c>
      <c r="G19" s="26">
        <v>0.1</v>
      </c>
      <c r="H19" s="17">
        <f>C19*E19+C19*F19+C19*G19+C19</f>
        <v>73500</v>
      </c>
      <c r="K19" t="s">
        <v>181</v>
      </c>
      <c r="M19" s="17">
        <f t="shared" ref="M19:AR19" si="15">IF(_xlfn.NUMBERVALUE(RIGHT(M$2,1))&gt;=$D13,$H13/12,0)*IF(_xlfn.NUMBERVALUE(RIGHT(M$2,1))-$D13&gt;=1,1+((_xlfn.NUMBERVALUE(RIGHT(M$2,1))-$D13)*$H$25),1)</f>
        <v>0</v>
      </c>
      <c r="N19" s="17">
        <f t="shared" si="15"/>
        <v>0</v>
      </c>
      <c r="O19" s="17">
        <f t="shared" si="15"/>
        <v>0</v>
      </c>
      <c r="P19" s="17">
        <f t="shared" si="15"/>
        <v>0</v>
      </c>
      <c r="Q19" s="17">
        <f t="shared" si="15"/>
        <v>0</v>
      </c>
      <c r="R19" s="17">
        <f t="shared" si="15"/>
        <v>0</v>
      </c>
      <c r="S19" s="17">
        <f t="shared" si="15"/>
        <v>0</v>
      </c>
      <c r="T19" s="17">
        <f t="shared" si="15"/>
        <v>0</v>
      </c>
      <c r="U19" s="17">
        <f t="shared" si="15"/>
        <v>0</v>
      </c>
      <c r="V19" s="17">
        <f t="shared" si="15"/>
        <v>0</v>
      </c>
      <c r="W19" s="17">
        <f t="shared" si="15"/>
        <v>0</v>
      </c>
      <c r="X19" s="17">
        <f t="shared" si="15"/>
        <v>0</v>
      </c>
      <c r="Y19" s="17">
        <f t="shared" si="15"/>
        <v>9312.5</v>
      </c>
      <c r="Z19" s="17">
        <f t="shared" si="15"/>
        <v>9312.5</v>
      </c>
      <c r="AA19" s="17">
        <f t="shared" si="15"/>
        <v>9312.5</v>
      </c>
      <c r="AB19" s="17">
        <f t="shared" si="15"/>
        <v>9312.5</v>
      </c>
      <c r="AC19" s="17">
        <f t="shared" si="15"/>
        <v>9312.5</v>
      </c>
      <c r="AD19" s="17">
        <f t="shared" si="15"/>
        <v>9312.5</v>
      </c>
      <c r="AE19" s="17">
        <f t="shared" si="15"/>
        <v>9312.5</v>
      </c>
      <c r="AF19" s="17">
        <f t="shared" si="15"/>
        <v>9312.5</v>
      </c>
      <c r="AG19" s="17">
        <f t="shared" si="15"/>
        <v>9312.5</v>
      </c>
      <c r="AH19" s="17">
        <f t="shared" si="15"/>
        <v>9312.5</v>
      </c>
      <c r="AI19" s="17">
        <f t="shared" si="15"/>
        <v>9312.5</v>
      </c>
      <c r="AJ19" s="17">
        <f t="shared" si="15"/>
        <v>9312.5</v>
      </c>
      <c r="AK19" s="17">
        <f t="shared" si="15"/>
        <v>9778.125</v>
      </c>
      <c r="AL19" s="17">
        <f t="shared" si="15"/>
        <v>9778.125</v>
      </c>
      <c r="AM19" s="17">
        <f t="shared" si="15"/>
        <v>9778.125</v>
      </c>
      <c r="AN19" s="17">
        <f t="shared" si="15"/>
        <v>9778.125</v>
      </c>
      <c r="AO19" s="17">
        <f t="shared" si="15"/>
        <v>9778.125</v>
      </c>
      <c r="AP19" s="17">
        <f t="shared" si="15"/>
        <v>9778.125</v>
      </c>
      <c r="AQ19" s="17">
        <f t="shared" si="15"/>
        <v>9778.125</v>
      </c>
      <c r="AR19" s="17">
        <f t="shared" si="15"/>
        <v>9778.125</v>
      </c>
      <c r="AS19" s="17">
        <f t="shared" ref="AS19:BT19" si="16">IF(_xlfn.NUMBERVALUE(RIGHT(AS$2,1))&gt;=$D13,$H13/12,0)*IF(_xlfn.NUMBERVALUE(RIGHT(AS$2,1))-$D13&gt;=1,1+((_xlfn.NUMBERVALUE(RIGHT(AS$2,1))-$D13)*$H$25),1)</f>
        <v>9778.125</v>
      </c>
      <c r="AT19" s="17">
        <f t="shared" si="16"/>
        <v>9778.125</v>
      </c>
      <c r="AU19" s="17">
        <f t="shared" si="16"/>
        <v>9778.125</v>
      </c>
      <c r="AV19" s="17">
        <f t="shared" si="16"/>
        <v>9778.125</v>
      </c>
      <c r="AW19" s="17">
        <f t="shared" si="16"/>
        <v>10243.75</v>
      </c>
      <c r="AX19" s="17">
        <f t="shared" si="16"/>
        <v>10243.75</v>
      </c>
      <c r="AY19" s="17">
        <f t="shared" si="16"/>
        <v>10243.75</v>
      </c>
      <c r="AZ19" s="17">
        <f t="shared" si="16"/>
        <v>10243.75</v>
      </c>
      <c r="BA19" s="17">
        <f t="shared" si="16"/>
        <v>10243.75</v>
      </c>
      <c r="BB19" s="17">
        <f t="shared" si="16"/>
        <v>10243.75</v>
      </c>
      <c r="BC19" s="17">
        <f t="shared" si="16"/>
        <v>10243.75</v>
      </c>
      <c r="BD19" s="17">
        <f t="shared" si="16"/>
        <v>10243.75</v>
      </c>
      <c r="BE19" s="17">
        <f t="shared" si="16"/>
        <v>10243.75</v>
      </c>
      <c r="BF19" s="17">
        <f t="shared" si="16"/>
        <v>10243.75</v>
      </c>
      <c r="BG19" s="17">
        <f t="shared" si="16"/>
        <v>10243.75</v>
      </c>
      <c r="BH19" s="17">
        <f t="shared" si="16"/>
        <v>10243.75</v>
      </c>
      <c r="BI19" s="17">
        <f t="shared" si="16"/>
        <v>10709.375</v>
      </c>
      <c r="BJ19" s="17">
        <f t="shared" si="16"/>
        <v>10709.375</v>
      </c>
      <c r="BK19" s="17">
        <f t="shared" si="16"/>
        <v>10709.375</v>
      </c>
      <c r="BL19" s="17">
        <f t="shared" si="16"/>
        <v>10709.375</v>
      </c>
      <c r="BM19" s="17">
        <f t="shared" si="16"/>
        <v>10709.375</v>
      </c>
      <c r="BN19" s="17">
        <f t="shared" si="16"/>
        <v>10709.375</v>
      </c>
      <c r="BO19" s="17">
        <f t="shared" si="16"/>
        <v>10709.375</v>
      </c>
      <c r="BP19" s="17">
        <f t="shared" si="16"/>
        <v>10709.375</v>
      </c>
      <c r="BQ19" s="17">
        <f t="shared" si="16"/>
        <v>10709.375</v>
      </c>
      <c r="BR19" s="17">
        <f t="shared" si="16"/>
        <v>10709.375</v>
      </c>
      <c r="BS19" s="17">
        <f t="shared" si="16"/>
        <v>10709.375</v>
      </c>
      <c r="BT19" s="17">
        <f t="shared" si="16"/>
        <v>10709.375</v>
      </c>
      <c r="BU19" s="17">
        <f>IF(_xlfn.NUMBERVALUE(RIGHT(BU$2,1))&gt;=$D13,$H13/12,0)*IF(_xlfn.NUMBERVALUE(RIGHT(BU$2,1))-$D13&gt;1,_xlfn.NUMBERVALUE(RIGHT(BU$2,1))-$D13*$H$25,1)</f>
        <v>0</v>
      </c>
      <c r="BV19" s="17">
        <f>IF(_xlfn.NUMBERVALUE(RIGHT(BV$2,1))&gt;=$D13,$H13/12,0)*IF(_xlfn.NUMBERVALUE(RIGHT(BV$2,1))-$D13&gt;1,_xlfn.NUMBERVALUE(RIGHT(BV$2,1))-$D13*$H$25,1)</f>
        <v>0</v>
      </c>
      <c r="BW19" s="17">
        <f>IF(_xlfn.NUMBERVALUE(RIGHT(BW$2,1))&gt;=$D13,$H13/12,0)*IF(_xlfn.NUMBERVALUE(RIGHT(BW$2,1))-$D13&gt;1,_xlfn.NUMBERVALUE(RIGHT(BW$2,1))-$D13*$H$25,1)</f>
        <v>0</v>
      </c>
    </row>
    <row r="20" spans="1:75" x14ac:dyDescent="0.3">
      <c r="K20" t="s">
        <v>182</v>
      </c>
      <c r="M20" s="17">
        <f t="shared" ref="M20:AR20" si="17">IF(_xlfn.NUMBERVALUE(RIGHT(M$2,1))&gt;=$D14,$H14/12,0)*IF(_xlfn.NUMBERVALUE(RIGHT(M$2,1))-$D14&gt;=1,1+((_xlfn.NUMBERVALUE(RIGHT(M$2,1))-$D14)*$H$25),1)</f>
        <v>0</v>
      </c>
      <c r="N20" s="17">
        <f t="shared" si="17"/>
        <v>0</v>
      </c>
      <c r="O20" s="17">
        <f t="shared" si="17"/>
        <v>0</v>
      </c>
      <c r="P20" s="17">
        <f t="shared" si="17"/>
        <v>0</v>
      </c>
      <c r="Q20" s="17">
        <f t="shared" si="17"/>
        <v>0</v>
      </c>
      <c r="R20" s="17">
        <f t="shared" si="17"/>
        <v>0</v>
      </c>
      <c r="S20" s="17">
        <f t="shared" si="17"/>
        <v>0</v>
      </c>
      <c r="T20" s="17">
        <f t="shared" si="17"/>
        <v>0</v>
      </c>
      <c r="U20" s="17">
        <f t="shared" si="17"/>
        <v>0</v>
      </c>
      <c r="V20" s="17">
        <f t="shared" si="17"/>
        <v>0</v>
      </c>
      <c r="W20" s="17">
        <f t="shared" si="17"/>
        <v>0</v>
      </c>
      <c r="X20" s="17">
        <f t="shared" si="17"/>
        <v>0</v>
      </c>
      <c r="Y20" s="17">
        <f t="shared" si="17"/>
        <v>6125</v>
      </c>
      <c r="Z20" s="17">
        <f t="shared" si="17"/>
        <v>6125</v>
      </c>
      <c r="AA20" s="17">
        <f t="shared" si="17"/>
        <v>6125</v>
      </c>
      <c r="AB20" s="17">
        <f t="shared" si="17"/>
        <v>6125</v>
      </c>
      <c r="AC20" s="17">
        <f t="shared" si="17"/>
        <v>6125</v>
      </c>
      <c r="AD20" s="17">
        <f t="shared" si="17"/>
        <v>6125</v>
      </c>
      <c r="AE20" s="17">
        <f t="shared" si="17"/>
        <v>6125</v>
      </c>
      <c r="AF20" s="17">
        <f t="shared" si="17"/>
        <v>6125</v>
      </c>
      <c r="AG20" s="17">
        <f t="shared" si="17"/>
        <v>6125</v>
      </c>
      <c r="AH20" s="17">
        <f t="shared" si="17"/>
        <v>6125</v>
      </c>
      <c r="AI20" s="17">
        <f t="shared" si="17"/>
        <v>6125</v>
      </c>
      <c r="AJ20" s="17">
        <f t="shared" si="17"/>
        <v>6125</v>
      </c>
      <c r="AK20" s="17">
        <f t="shared" si="17"/>
        <v>6431.25</v>
      </c>
      <c r="AL20" s="17">
        <f t="shared" si="17"/>
        <v>6431.25</v>
      </c>
      <c r="AM20" s="17">
        <f t="shared" si="17"/>
        <v>6431.25</v>
      </c>
      <c r="AN20" s="17">
        <f t="shared" si="17"/>
        <v>6431.25</v>
      </c>
      <c r="AO20" s="17">
        <f t="shared" si="17"/>
        <v>6431.25</v>
      </c>
      <c r="AP20" s="17">
        <f t="shared" si="17"/>
        <v>6431.25</v>
      </c>
      <c r="AQ20" s="17">
        <f t="shared" si="17"/>
        <v>6431.25</v>
      </c>
      <c r="AR20" s="17">
        <f t="shared" si="17"/>
        <v>6431.25</v>
      </c>
      <c r="AS20" s="17">
        <f t="shared" ref="AS20:BT20" si="18">IF(_xlfn.NUMBERVALUE(RIGHT(AS$2,1))&gt;=$D14,$H14/12,0)*IF(_xlfn.NUMBERVALUE(RIGHT(AS$2,1))-$D14&gt;=1,1+((_xlfn.NUMBERVALUE(RIGHT(AS$2,1))-$D14)*$H$25),1)</f>
        <v>6431.25</v>
      </c>
      <c r="AT20" s="17">
        <f t="shared" si="18"/>
        <v>6431.25</v>
      </c>
      <c r="AU20" s="17">
        <f t="shared" si="18"/>
        <v>6431.25</v>
      </c>
      <c r="AV20" s="17">
        <f t="shared" si="18"/>
        <v>6431.25</v>
      </c>
      <c r="AW20" s="17">
        <f t="shared" si="18"/>
        <v>6737.5000000000009</v>
      </c>
      <c r="AX20" s="17">
        <f t="shared" si="18"/>
        <v>6737.5000000000009</v>
      </c>
      <c r="AY20" s="17">
        <f t="shared" si="18"/>
        <v>6737.5000000000009</v>
      </c>
      <c r="AZ20" s="17">
        <f t="shared" si="18"/>
        <v>6737.5000000000009</v>
      </c>
      <c r="BA20" s="17">
        <f t="shared" si="18"/>
        <v>6737.5000000000009</v>
      </c>
      <c r="BB20" s="17">
        <f t="shared" si="18"/>
        <v>6737.5000000000009</v>
      </c>
      <c r="BC20" s="17">
        <f t="shared" si="18"/>
        <v>6737.5000000000009</v>
      </c>
      <c r="BD20" s="17">
        <f t="shared" si="18"/>
        <v>6737.5000000000009</v>
      </c>
      <c r="BE20" s="17">
        <f t="shared" si="18"/>
        <v>6737.5000000000009</v>
      </c>
      <c r="BF20" s="17">
        <f t="shared" si="18"/>
        <v>6737.5000000000009</v>
      </c>
      <c r="BG20" s="17">
        <f t="shared" si="18"/>
        <v>6737.5000000000009</v>
      </c>
      <c r="BH20" s="17">
        <f t="shared" si="18"/>
        <v>6737.5000000000009</v>
      </c>
      <c r="BI20" s="17">
        <f t="shared" si="18"/>
        <v>7043.7499999999991</v>
      </c>
      <c r="BJ20" s="17">
        <f t="shared" si="18"/>
        <v>7043.7499999999991</v>
      </c>
      <c r="BK20" s="17">
        <f t="shared" si="18"/>
        <v>7043.7499999999991</v>
      </c>
      <c r="BL20" s="17">
        <f t="shared" si="18"/>
        <v>7043.7499999999991</v>
      </c>
      <c r="BM20" s="17">
        <f t="shared" si="18"/>
        <v>7043.7499999999991</v>
      </c>
      <c r="BN20" s="17">
        <f t="shared" si="18"/>
        <v>7043.7499999999991</v>
      </c>
      <c r="BO20" s="17">
        <f t="shared" si="18"/>
        <v>7043.7499999999991</v>
      </c>
      <c r="BP20" s="17">
        <f t="shared" si="18"/>
        <v>7043.7499999999991</v>
      </c>
      <c r="BQ20" s="17">
        <f t="shared" si="18"/>
        <v>7043.7499999999991</v>
      </c>
      <c r="BR20" s="17">
        <f t="shared" si="18"/>
        <v>7043.7499999999991</v>
      </c>
      <c r="BS20" s="17">
        <f t="shared" si="18"/>
        <v>7043.7499999999991</v>
      </c>
      <c r="BT20" s="17">
        <f t="shared" si="18"/>
        <v>7043.7499999999991</v>
      </c>
    </row>
    <row r="21" spans="1:75" x14ac:dyDescent="0.3">
      <c r="K21" t="s">
        <v>182</v>
      </c>
      <c r="M21" s="17">
        <f t="shared" ref="M21:AR21" si="19">IF(_xlfn.NUMBERVALUE(RIGHT(M$2,1))&gt;=$D15,$H15/12,0)*IF(_xlfn.NUMBERVALUE(RIGHT(M$2,1))-$D15&gt;=1,1+((_xlfn.NUMBERVALUE(RIGHT(M$2,1))-$D15)*$H$25),1)</f>
        <v>0</v>
      </c>
      <c r="N21" s="17">
        <f t="shared" si="19"/>
        <v>0</v>
      </c>
      <c r="O21" s="17">
        <f t="shared" si="19"/>
        <v>0</v>
      </c>
      <c r="P21" s="17">
        <f t="shared" si="19"/>
        <v>0</v>
      </c>
      <c r="Q21" s="17">
        <f t="shared" si="19"/>
        <v>0</v>
      </c>
      <c r="R21" s="17">
        <f t="shared" si="19"/>
        <v>0</v>
      </c>
      <c r="S21" s="17">
        <f t="shared" si="19"/>
        <v>0</v>
      </c>
      <c r="T21" s="17">
        <f t="shared" si="19"/>
        <v>0</v>
      </c>
      <c r="U21" s="17">
        <f t="shared" si="19"/>
        <v>0</v>
      </c>
      <c r="V21" s="17">
        <f t="shared" si="19"/>
        <v>0</v>
      </c>
      <c r="W21" s="17">
        <f t="shared" si="19"/>
        <v>0</v>
      </c>
      <c r="X21" s="17">
        <f t="shared" si="19"/>
        <v>0</v>
      </c>
      <c r="Y21" s="17">
        <f t="shared" si="19"/>
        <v>6125</v>
      </c>
      <c r="Z21" s="17">
        <f t="shared" si="19"/>
        <v>6125</v>
      </c>
      <c r="AA21" s="17">
        <f t="shared" si="19"/>
        <v>6125</v>
      </c>
      <c r="AB21" s="17">
        <f t="shared" si="19"/>
        <v>6125</v>
      </c>
      <c r="AC21" s="17">
        <f t="shared" si="19"/>
        <v>6125</v>
      </c>
      <c r="AD21" s="17">
        <f t="shared" si="19"/>
        <v>6125</v>
      </c>
      <c r="AE21" s="17">
        <f t="shared" si="19"/>
        <v>6125</v>
      </c>
      <c r="AF21" s="17">
        <f t="shared" si="19"/>
        <v>6125</v>
      </c>
      <c r="AG21" s="17">
        <f t="shared" si="19"/>
        <v>6125</v>
      </c>
      <c r="AH21" s="17">
        <f t="shared" si="19"/>
        <v>6125</v>
      </c>
      <c r="AI21" s="17">
        <f t="shared" si="19"/>
        <v>6125</v>
      </c>
      <c r="AJ21" s="17">
        <f t="shared" si="19"/>
        <v>6125</v>
      </c>
      <c r="AK21" s="17">
        <f t="shared" si="19"/>
        <v>6431.25</v>
      </c>
      <c r="AL21" s="17">
        <f t="shared" si="19"/>
        <v>6431.25</v>
      </c>
      <c r="AM21" s="17">
        <f t="shared" si="19"/>
        <v>6431.25</v>
      </c>
      <c r="AN21" s="17">
        <f t="shared" si="19"/>
        <v>6431.25</v>
      </c>
      <c r="AO21" s="17">
        <f t="shared" si="19"/>
        <v>6431.25</v>
      </c>
      <c r="AP21" s="17">
        <f t="shared" si="19"/>
        <v>6431.25</v>
      </c>
      <c r="AQ21" s="17">
        <f t="shared" si="19"/>
        <v>6431.25</v>
      </c>
      <c r="AR21" s="17">
        <f t="shared" si="19"/>
        <v>6431.25</v>
      </c>
      <c r="AS21" s="17">
        <f t="shared" ref="AS21:BT21" si="20">IF(_xlfn.NUMBERVALUE(RIGHT(AS$2,1))&gt;=$D15,$H15/12,0)*IF(_xlfn.NUMBERVALUE(RIGHT(AS$2,1))-$D15&gt;=1,1+((_xlfn.NUMBERVALUE(RIGHT(AS$2,1))-$D15)*$H$25),1)</f>
        <v>6431.25</v>
      </c>
      <c r="AT21" s="17">
        <f t="shared" si="20"/>
        <v>6431.25</v>
      </c>
      <c r="AU21" s="17">
        <f t="shared" si="20"/>
        <v>6431.25</v>
      </c>
      <c r="AV21" s="17">
        <f t="shared" si="20"/>
        <v>6431.25</v>
      </c>
      <c r="AW21" s="17">
        <f t="shared" si="20"/>
        <v>6737.5000000000009</v>
      </c>
      <c r="AX21" s="17">
        <f t="shared" si="20"/>
        <v>6737.5000000000009</v>
      </c>
      <c r="AY21" s="17">
        <f t="shared" si="20"/>
        <v>6737.5000000000009</v>
      </c>
      <c r="AZ21" s="17">
        <f t="shared" si="20"/>
        <v>6737.5000000000009</v>
      </c>
      <c r="BA21" s="17">
        <f t="shared" si="20"/>
        <v>6737.5000000000009</v>
      </c>
      <c r="BB21" s="17">
        <f t="shared" si="20"/>
        <v>6737.5000000000009</v>
      </c>
      <c r="BC21" s="17">
        <f t="shared" si="20"/>
        <v>6737.5000000000009</v>
      </c>
      <c r="BD21" s="17">
        <f t="shared" si="20"/>
        <v>6737.5000000000009</v>
      </c>
      <c r="BE21" s="17">
        <f t="shared" si="20"/>
        <v>6737.5000000000009</v>
      </c>
      <c r="BF21" s="17">
        <f t="shared" si="20"/>
        <v>6737.5000000000009</v>
      </c>
      <c r="BG21" s="17">
        <f t="shared" si="20"/>
        <v>6737.5000000000009</v>
      </c>
      <c r="BH21" s="17">
        <f t="shared" si="20"/>
        <v>6737.5000000000009</v>
      </c>
      <c r="BI21" s="17">
        <f t="shared" si="20"/>
        <v>7043.7499999999991</v>
      </c>
      <c r="BJ21" s="17">
        <f t="shared" si="20"/>
        <v>7043.7499999999991</v>
      </c>
      <c r="BK21" s="17">
        <f t="shared" si="20"/>
        <v>7043.7499999999991</v>
      </c>
      <c r="BL21" s="17">
        <f t="shared" si="20"/>
        <v>7043.7499999999991</v>
      </c>
      <c r="BM21" s="17">
        <f t="shared" si="20"/>
        <v>7043.7499999999991</v>
      </c>
      <c r="BN21" s="17">
        <f t="shared" si="20"/>
        <v>7043.7499999999991</v>
      </c>
      <c r="BO21" s="17">
        <f t="shared" si="20"/>
        <v>7043.7499999999991</v>
      </c>
      <c r="BP21" s="17">
        <f t="shared" si="20"/>
        <v>7043.7499999999991</v>
      </c>
      <c r="BQ21" s="17">
        <f t="shared" si="20"/>
        <v>7043.7499999999991</v>
      </c>
      <c r="BR21" s="17">
        <f t="shared" si="20"/>
        <v>7043.7499999999991</v>
      </c>
      <c r="BS21" s="17">
        <f t="shared" si="20"/>
        <v>7043.7499999999991</v>
      </c>
      <c r="BT21" s="17">
        <f t="shared" si="20"/>
        <v>7043.7499999999991</v>
      </c>
    </row>
    <row r="22" spans="1:75" x14ac:dyDescent="0.3">
      <c r="B22" t="s">
        <v>183</v>
      </c>
      <c r="C22" s="57">
        <v>90000</v>
      </c>
      <c r="D22" s="7">
        <v>1</v>
      </c>
      <c r="E22" s="26">
        <v>0.25</v>
      </c>
      <c r="F22" s="26">
        <v>0.05</v>
      </c>
      <c r="G22" s="26">
        <v>0.1</v>
      </c>
      <c r="H22" s="17">
        <f>C22*E22+C22*F22+C22*G22+C22</f>
        <v>126000</v>
      </c>
      <c r="K22" t="s">
        <v>185</v>
      </c>
      <c r="M22" s="17">
        <f t="shared" ref="M22:AR22" si="21">IF(_xlfn.NUMBERVALUE(RIGHT(M$2,1))&gt;=$D16,$H16/12,0)*IF(_xlfn.NUMBERVALUE(RIGHT(M$2,1))-$D16&gt;=1,1+((_xlfn.NUMBERVALUE(RIGHT(M$2,1))-$D16)*$H$25),1)</f>
        <v>0</v>
      </c>
      <c r="N22" s="17">
        <f t="shared" si="21"/>
        <v>0</v>
      </c>
      <c r="O22" s="17">
        <f t="shared" si="21"/>
        <v>0</v>
      </c>
      <c r="P22" s="17">
        <f t="shared" si="21"/>
        <v>0</v>
      </c>
      <c r="Q22" s="17">
        <f t="shared" si="21"/>
        <v>0</v>
      </c>
      <c r="R22" s="17">
        <f t="shared" si="21"/>
        <v>0</v>
      </c>
      <c r="S22" s="17">
        <f t="shared" si="21"/>
        <v>0</v>
      </c>
      <c r="T22" s="17">
        <f t="shared" si="21"/>
        <v>0</v>
      </c>
      <c r="U22" s="17">
        <f t="shared" si="21"/>
        <v>0</v>
      </c>
      <c r="V22" s="17">
        <f t="shared" si="21"/>
        <v>0</v>
      </c>
      <c r="W22" s="17">
        <f t="shared" si="21"/>
        <v>0</v>
      </c>
      <c r="X22" s="17">
        <f t="shared" si="21"/>
        <v>0</v>
      </c>
      <c r="Y22" s="17">
        <f t="shared" si="21"/>
        <v>0</v>
      </c>
      <c r="Z22" s="17">
        <f t="shared" si="21"/>
        <v>0</v>
      </c>
      <c r="AA22" s="17">
        <f t="shared" si="21"/>
        <v>0</v>
      </c>
      <c r="AB22" s="17">
        <f t="shared" si="21"/>
        <v>0</v>
      </c>
      <c r="AC22" s="17">
        <f t="shared" si="21"/>
        <v>0</v>
      </c>
      <c r="AD22" s="17">
        <f t="shared" si="21"/>
        <v>0</v>
      </c>
      <c r="AE22" s="17">
        <f t="shared" si="21"/>
        <v>0</v>
      </c>
      <c r="AF22" s="17">
        <f t="shared" si="21"/>
        <v>0</v>
      </c>
      <c r="AG22" s="17">
        <f t="shared" si="21"/>
        <v>0</v>
      </c>
      <c r="AH22" s="17">
        <f t="shared" si="21"/>
        <v>0</v>
      </c>
      <c r="AI22" s="17">
        <f t="shared" si="21"/>
        <v>0</v>
      </c>
      <c r="AJ22" s="17">
        <f t="shared" si="21"/>
        <v>0</v>
      </c>
      <c r="AK22" s="17">
        <f t="shared" si="21"/>
        <v>7875</v>
      </c>
      <c r="AL22" s="17">
        <f t="shared" si="21"/>
        <v>7875</v>
      </c>
      <c r="AM22" s="17">
        <f t="shared" si="21"/>
        <v>7875</v>
      </c>
      <c r="AN22" s="17">
        <f t="shared" si="21"/>
        <v>7875</v>
      </c>
      <c r="AO22" s="17">
        <f t="shared" si="21"/>
        <v>7875</v>
      </c>
      <c r="AP22" s="17">
        <f t="shared" si="21"/>
        <v>7875</v>
      </c>
      <c r="AQ22" s="17">
        <f t="shared" si="21"/>
        <v>7875</v>
      </c>
      <c r="AR22" s="17">
        <f t="shared" si="21"/>
        <v>7875</v>
      </c>
      <c r="AS22" s="17">
        <f t="shared" ref="AS22:BT22" si="22">IF(_xlfn.NUMBERVALUE(RIGHT(AS$2,1))&gt;=$D16,$H16/12,0)*IF(_xlfn.NUMBERVALUE(RIGHT(AS$2,1))-$D16&gt;=1,1+((_xlfn.NUMBERVALUE(RIGHT(AS$2,1))-$D16)*$H$25),1)</f>
        <v>7875</v>
      </c>
      <c r="AT22" s="17">
        <f t="shared" si="22"/>
        <v>7875</v>
      </c>
      <c r="AU22" s="17">
        <f t="shared" si="22"/>
        <v>7875</v>
      </c>
      <c r="AV22" s="17">
        <f t="shared" si="22"/>
        <v>7875</v>
      </c>
      <c r="AW22" s="17">
        <f t="shared" si="22"/>
        <v>8268.75</v>
      </c>
      <c r="AX22" s="17">
        <f t="shared" si="22"/>
        <v>8268.75</v>
      </c>
      <c r="AY22" s="17">
        <f t="shared" si="22"/>
        <v>8268.75</v>
      </c>
      <c r="AZ22" s="17">
        <f t="shared" si="22"/>
        <v>8268.75</v>
      </c>
      <c r="BA22" s="17">
        <f t="shared" si="22"/>
        <v>8268.75</v>
      </c>
      <c r="BB22" s="17">
        <f t="shared" si="22"/>
        <v>8268.75</v>
      </c>
      <c r="BC22" s="17">
        <f t="shared" si="22"/>
        <v>8268.75</v>
      </c>
      <c r="BD22" s="17">
        <f t="shared" si="22"/>
        <v>8268.75</v>
      </c>
      <c r="BE22" s="17">
        <f t="shared" si="22"/>
        <v>8268.75</v>
      </c>
      <c r="BF22" s="17">
        <f t="shared" si="22"/>
        <v>8268.75</v>
      </c>
      <c r="BG22" s="17">
        <f t="shared" si="22"/>
        <v>8268.75</v>
      </c>
      <c r="BH22" s="17">
        <f t="shared" si="22"/>
        <v>8268.75</v>
      </c>
      <c r="BI22" s="17">
        <f t="shared" si="22"/>
        <v>8662.5</v>
      </c>
      <c r="BJ22" s="17">
        <f t="shared" si="22"/>
        <v>8662.5</v>
      </c>
      <c r="BK22" s="17">
        <f t="shared" si="22"/>
        <v>8662.5</v>
      </c>
      <c r="BL22" s="17">
        <f t="shared" si="22"/>
        <v>8662.5</v>
      </c>
      <c r="BM22" s="17">
        <f t="shared" si="22"/>
        <v>8662.5</v>
      </c>
      <c r="BN22" s="17">
        <f t="shared" si="22"/>
        <v>8662.5</v>
      </c>
      <c r="BO22" s="17">
        <f t="shared" si="22"/>
        <v>8662.5</v>
      </c>
      <c r="BP22" s="17">
        <f t="shared" si="22"/>
        <v>8662.5</v>
      </c>
      <c r="BQ22" s="17">
        <f t="shared" si="22"/>
        <v>8662.5</v>
      </c>
      <c r="BR22" s="17">
        <f t="shared" si="22"/>
        <v>8662.5</v>
      </c>
      <c r="BS22" s="17">
        <f t="shared" si="22"/>
        <v>8662.5</v>
      </c>
      <c r="BT22" s="17">
        <f t="shared" si="22"/>
        <v>8662.5</v>
      </c>
    </row>
    <row r="23" spans="1:75" x14ac:dyDescent="0.3">
      <c r="B23" s="28" t="s">
        <v>184</v>
      </c>
      <c r="C23" s="57">
        <v>60000</v>
      </c>
      <c r="D23" s="7">
        <v>2</v>
      </c>
      <c r="E23" s="26">
        <v>0.25</v>
      </c>
      <c r="F23" s="26">
        <v>0.05</v>
      </c>
      <c r="G23" s="26">
        <v>0.1</v>
      </c>
      <c r="H23" s="17">
        <f>C23*E23+C23*F23+C23*G23+C23</f>
        <v>84000</v>
      </c>
      <c r="K23" t="s">
        <v>186</v>
      </c>
      <c r="M23" s="17">
        <f t="shared" ref="M23:AR23" si="23">IF(_xlfn.NUMBERVALUE(RIGHT(M$2,1))&gt;=$D17,$H17/12,0)*IF(_xlfn.NUMBERVALUE(RIGHT(M$2,1))-$D17&gt;=1,1+((_xlfn.NUMBERVALUE(RIGHT(M$2,1))-$D17)*$H$25),1)</f>
        <v>0</v>
      </c>
      <c r="N23" s="17">
        <f t="shared" si="23"/>
        <v>0</v>
      </c>
      <c r="O23" s="17">
        <f t="shared" si="23"/>
        <v>0</v>
      </c>
      <c r="P23" s="17">
        <f t="shared" si="23"/>
        <v>0</v>
      </c>
      <c r="Q23" s="17">
        <f t="shared" si="23"/>
        <v>0</v>
      </c>
      <c r="R23" s="17">
        <f t="shared" si="23"/>
        <v>0</v>
      </c>
      <c r="S23" s="17">
        <f t="shared" si="23"/>
        <v>0</v>
      </c>
      <c r="T23" s="17">
        <f t="shared" si="23"/>
        <v>0</v>
      </c>
      <c r="U23" s="17">
        <f t="shared" si="23"/>
        <v>0</v>
      </c>
      <c r="V23" s="17">
        <f t="shared" si="23"/>
        <v>0</v>
      </c>
      <c r="W23" s="17">
        <f t="shared" si="23"/>
        <v>0</v>
      </c>
      <c r="X23" s="17">
        <f t="shared" si="23"/>
        <v>0</v>
      </c>
      <c r="Y23" s="17">
        <f t="shared" si="23"/>
        <v>0</v>
      </c>
      <c r="Z23" s="17">
        <f t="shared" si="23"/>
        <v>0</v>
      </c>
      <c r="AA23" s="17">
        <f t="shared" si="23"/>
        <v>0</v>
      </c>
      <c r="AB23" s="17">
        <f t="shared" si="23"/>
        <v>0</v>
      </c>
      <c r="AC23" s="17">
        <f t="shared" si="23"/>
        <v>0</v>
      </c>
      <c r="AD23" s="17">
        <f t="shared" si="23"/>
        <v>0</v>
      </c>
      <c r="AE23" s="17">
        <f t="shared" si="23"/>
        <v>0</v>
      </c>
      <c r="AF23" s="17">
        <f t="shared" si="23"/>
        <v>0</v>
      </c>
      <c r="AG23" s="17">
        <f t="shared" si="23"/>
        <v>0</v>
      </c>
      <c r="AH23" s="17">
        <f t="shared" si="23"/>
        <v>0</v>
      </c>
      <c r="AI23" s="17">
        <f t="shared" si="23"/>
        <v>0</v>
      </c>
      <c r="AJ23" s="17">
        <f t="shared" si="23"/>
        <v>0</v>
      </c>
      <c r="AK23" s="17">
        <f t="shared" si="23"/>
        <v>0</v>
      </c>
      <c r="AL23" s="17">
        <f t="shared" si="23"/>
        <v>0</v>
      </c>
      <c r="AM23" s="17">
        <f t="shared" si="23"/>
        <v>0</v>
      </c>
      <c r="AN23" s="17">
        <f t="shared" si="23"/>
        <v>0</v>
      </c>
      <c r="AO23" s="17">
        <f t="shared" si="23"/>
        <v>0</v>
      </c>
      <c r="AP23" s="17">
        <f t="shared" si="23"/>
        <v>0</v>
      </c>
      <c r="AQ23" s="17">
        <f t="shared" si="23"/>
        <v>0</v>
      </c>
      <c r="AR23" s="17">
        <f t="shared" si="23"/>
        <v>0</v>
      </c>
      <c r="AS23" s="17">
        <f t="shared" ref="AS23:BT23" si="24">IF(_xlfn.NUMBERVALUE(RIGHT(AS$2,1))&gt;=$D17,$H17/12,0)*IF(_xlfn.NUMBERVALUE(RIGHT(AS$2,1))-$D17&gt;=1,1+((_xlfn.NUMBERVALUE(RIGHT(AS$2,1))-$D17)*$H$25),1)</f>
        <v>0</v>
      </c>
      <c r="AT23" s="17">
        <f t="shared" si="24"/>
        <v>0</v>
      </c>
      <c r="AU23" s="17">
        <f t="shared" si="24"/>
        <v>0</v>
      </c>
      <c r="AV23" s="17">
        <f t="shared" si="24"/>
        <v>0</v>
      </c>
      <c r="AW23" s="17">
        <f t="shared" si="24"/>
        <v>0</v>
      </c>
      <c r="AX23" s="17">
        <f t="shared" si="24"/>
        <v>0</v>
      </c>
      <c r="AY23" s="17">
        <f t="shared" si="24"/>
        <v>0</v>
      </c>
      <c r="AZ23" s="17">
        <f t="shared" si="24"/>
        <v>0</v>
      </c>
      <c r="BA23" s="17">
        <f t="shared" si="24"/>
        <v>0</v>
      </c>
      <c r="BB23" s="17">
        <f t="shared" si="24"/>
        <v>0</v>
      </c>
      <c r="BC23" s="17">
        <f t="shared" si="24"/>
        <v>0</v>
      </c>
      <c r="BD23" s="17">
        <f t="shared" si="24"/>
        <v>0</v>
      </c>
      <c r="BE23" s="17">
        <f t="shared" si="24"/>
        <v>0</v>
      </c>
      <c r="BF23" s="17">
        <f t="shared" si="24"/>
        <v>0</v>
      </c>
      <c r="BG23" s="17">
        <f t="shared" si="24"/>
        <v>0</v>
      </c>
      <c r="BH23" s="17">
        <f t="shared" si="24"/>
        <v>0</v>
      </c>
      <c r="BI23" s="17">
        <f t="shared" si="24"/>
        <v>6125</v>
      </c>
      <c r="BJ23" s="17">
        <f t="shared" si="24"/>
        <v>6125</v>
      </c>
      <c r="BK23" s="17">
        <f t="shared" si="24"/>
        <v>6125</v>
      </c>
      <c r="BL23" s="17">
        <f t="shared" si="24"/>
        <v>6125</v>
      </c>
      <c r="BM23" s="17">
        <f t="shared" si="24"/>
        <v>6125</v>
      </c>
      <c r="BN23" s="17">
        <f t="shared" si="24"/>
        <v>6125</v>
      </c>
      <c r="BO23" s="17">
        <f t="shared" si="24"/>
        <v>6125</v>
      </c>
      <c r="BP23" s="17">
        <f t="shared" si="24"/>
        <v>6125</v>
      </c>
      <c r="BQ23" s="17">
        <f t="shared" si="24"/>
        <v>6125</v>
      </c>
      <c r="BR23" s="17">
        <f t="shared" si="24"/>
        <v>6125</v>
      </c>
      <c r="BS23" s="17">
        <f t="shared" si="24"/>
        <v>6125</v>
      </c>
      <c r="BT23" s="17">
        <f t="shared" si="24"/>
        <v>6125</v>
      </c>
    </row>
    <row r="24" spans="1:75" x14ac:dyDescent="0.3">
      <c r="C24" s="57"/>
      <c r="D24" s="7"/>
      <c r="E24" s="26"/>
      <c r="F24" s="26"/>
      <c r="G24" s="26"/>
      <c r="H24" s="17"/>
      <c r="K24" t="s">
        <v>187</v>
      </c>
      <c r="M24" s="17">
        <f t="shared" ref="M24:AR24" si="25">IF(_xlfn.NUMBERVALUE(RIGHT(M$2,1))&gt;=$D18,$H18/12,0)*IF(_xlfn.NUMBERVALUE(RIGHT(M$2,1))-$D18&gt;=1,1+((_xlfn.NUMBERVALUE(RIGHT(M$2,1))-$D18)*$H$25),1)</f>
        <v>0</v>
      </c>
      <c r="N24" s="17">
        <f t="shared" si="25"/>
        <v>0</v>
      </c>
      <c r="O24" s="17">
        <f t="shared" si="25"/>
        <v>0</v>
      </c>
      <c r="P24" s="17">
        <f t="shared" si="25"/>
        <v>0</v>
      </c>
      <c r="Q24" s="17">
        <f t="shared" si="25"/>
        <v>0</v>
      </c>
      <c r="R24" s="17">
        <f t="shared" si="25"/>
        <v>0</v>
      </c>
      <c r="S24" s="17">
        <f t="shared" si="25"/>
        <v>0</v>
      </c>
      <c r="T24" s="17">
        <f t="shared" si="25"/>
        <v>0</v>
      </c>
      <c r="U24" s="17">
        <f t="shared" si="25"/>
        <v>0</v>
      </c>
      <c r="V24" s="17">
        <f t="shared" si="25"/>
        <v>0</v>
      </c>
      <c r="W24" s="17">
        <f t="shared" si="25"/>
        <v>0</v>
      </c>
      <c r="X24" s="17">
        <f t="shared" si="25"/>
        <v>0</v>
      </c>
      <c r="Y24" s="17">
        <f t="shared" si="25"/>
        <v>0</v>
      </c>
      <c r="Z24" s="17">
        <f t="shared" si="25"/>
        <v>0</v>
      </c>
      <c r="AA24" s="17">
        <f t="shared" si="25"/>
        <v>0</v>
      </c>
      <c r="AB24" s="17">
        <f t="shared" si="25"/>
        <v>0</v>
      </c>
      <c r="AC24" s="17">
        <f t="shared" si="25"/>
        <v>0</v>
      </c>
      <c r="AD24" s="17">
        <f t="shared" si="25"/>
        <v>0</v>
      </c>
      <c r="AE24" s="17">
        <f t="shared" si="25"/>
        <v>0</v>
      </c>
      <c r="AF24" s="17">
        <f t="shared" si="25"/>
        <v>0</v>
      </c>
      <c r="AG24" s="17">
        <f t="shared" si="25"/>
        <v>0</v>
      </c>
      <c r="AH24" s="17">
        <f t="shared" si="25"/>
        <v>0</v>
      </c>
      <c r="AI24" s="17">
        <f t="shared" si="25"/>
        <v>0</v>
      </c>
      <c r="AJ24" s="17">
        <f t="shared" si="25"/>
        <v>0</v>
      </c>
      <c r="AK24" s="17">
        <f t="shared" si="25"/>
        <v>0</v>
      </c>
      <c r="AL24" s="17">
        <f t="shared" si="25"/>
        <v>0</v>
      </c>
      <c r="AM24" s="17">
        <f t="shared" si="25"/>
        <v>0</v>
      </c>
      <c r="AN24" s="17">
        <f t="shared" si="25"/>
        <v>0</v>
      </c>
      <c r="AO24" s="17">
        <f t="shared" si="25"/>
        <v>0</v>
      </c>
      <c r="AP24" s="17">
        <f t="shared" si="25"/>
        <v>0</v>
      </c>
      <c r="AQ24" s="17">
        <f t="shared" si="25"/>
        <v>0</v>
      </c>
      <c r="AR24" s="17">
        <f t="shared" si="25"/>
        <v>0</v>
      </c>
      <c r="AS24" s="17">
        <f t="shared" ref="AS24:BT24" si="26">IF(_xlfn.NUMBERVALUE(RIGHT(AS$2,1))&gt;=$D18,$H18/12,0)*IF(_xlfn.NUMBERVALUE(RIGHT(AS$2,1))-$D18&gt;=1,1+((_xlfn.NUMBERVALUE(RIGHT(AS$2,1))-$D18)*$H$25),1)</f>
        <v>0</v>
      </c>
      <c r="AT24" s="17">
        <f t="shared" si="26"/>
        <v>0</v>
      </c>
      <c r="AU24" s="17">
        <f t="shared" si="26"/>
        <v>0</v>
      </c>
      <c r="AV24" s="17">
        <f t="shared" si="26"/>
        <v>0</v>
      </c>
      <c r="AW24" s="17">
        <f t="shared" si="26"/>
        <v>9000</v>
      </c>
      <c r="AX24" s="17">
        <f t="shared" si="26"/>
        <v>9000</v>
      </c>
      <c r="AY24" s="17">
        <f t="shared" si="26"/>
        <v>9000</v>
      </c>
      <c r="AZ24" s="17">
        <f t="shared" si="26"/>
        <v>9000</v>
      </c>
      <c r="BA24" s="17">
        <f t="shared" si="26"/>
        <v>9000</v>
      </c>
      <c r="BB24" s="17">
        <f t="shared" si="26"/>
        <v>9000</v>
      </c>
      <c r="BC24" s="17">
        <f t="shared" si="26"/>
        <v>9000</v>
      </c>
      <c r="BD24" s="17">
        <f t="shared" si="26"/>
        <v>9000</v>
      </c>
      <c r="BE24" s="17">
        <f t="shared" si="26"/>
        <v>9000</v>
      </c>
      <c r="BF24" s="17">
        <f t="shared" si="26"/>
        <v>9000</v>
      </c>
      <c r="BG24" s="17">
        <f t="shared" si="26"/>
        <v>9000</v>
      </c>
      <c r="BH24" s="17">
        <f t="shared" si="26"/>
        <v>9000</v>
      </c>
      <c r="BI24" s="17">
        <f t="shared" si="26"/>
        <v>9450</v>
      </c>
      <c r="BJ24" s="17">
        <f t="shared" si="26"/>
        <v>9450</v>
      </c>
      <c r="BK24" s="17">
        <f t="shared" si="26"/>
        <v>9450</v>
      </c>
      <c r="BL24" s="17">
        <f t="shared" si="26"/>
        <v>9450</v>
      </c>
      <c r="BM24" s="17">
        <f t="shared" si="26"/>
        <v>9450</v>
      </c>
      <c r="BN24" s="17">
        <f t="shared" si="26"/>
        <v>9450</v>
      </c>
      <c r="BO24" s="17">
        <f t="shared" si="26"/>
        <v>9450</v>
      </c>
      <c r="BP24" s="17">
        <f t="shared" si="26"/>
        <v>9450</v>
      </c>
      <c r="BQ24" s="17">
        <f t="shared" si="26"/>
        <v>9450</v>
      </c>
      <c r="BR24" s="17">
        <f t="shared" si="26"/>
        <v>9450</v>
      </c>
      <c r="BS24" s="17">
        <f t="shared" si="26"/>
        <v>9450</v>
      </c>
      <c r="BT24" s="17">
        <f t="shared" si="26"/>
        <v>9450</v>
      </c>
    </row>
    <row r="25" spans="1:75" x14ac:dyDescent="0.3">
      <c r="G25" t="s">
        <v>172</v>
      </c>
      <c r="H25" s="10">
        <v>0.05</v>
      </c>
      <c r="K25" t="s">
        <v>272</v>
      </c>
      <c r="M25" s="17">
        <f t="shared" ref="M25:AR25" si="27">IF(_xlfn.NUMBERVALUE(RIGHT(M$2,1))&gt;=$D19,$H19/12,0)*IF(_xlfn.NUMBERVALUE(RIGHT(M$2,1))-$D19&gt;=1,1+((_xlfn.NUMBERVALUE(RIGHT(M$2,1))-$D19)*$H$25),1)</f>
        <v>0</v>
      </c>
      <c r="N25" s="17">
        <f t="shared" si="27"/>
        <v>0</v>
      </c>
      <c r="O25" s="17">
        <f t="shared" si="27"/>
        <v>0</v>
      </c>
      <c r="P25" s="17">
        <f t="shared" si="27"/>
        <v>0</v>
      </c>
      <c r="Q25" s="17">
        <f t="shared" si="27"/>
        <v>0</v>
      </c>
      <c r="R25" s="17">
        <f t="shared" si="27"/>
        <v>0</v>
      </c>
      <c r="S25" s="17">
        <f t="shared" si="27"/>
        <v>0</v>
      </c>
      <c r="T25" s="17">
        <f t="shared" si="27"/>
        <v>0</v>
      </c>
      <c r="U25" s="17">
        <f t="shared" si="27"/>
        <v>0</v>
      </c>
      <c r="V25" s="17">
        <f t="shared" si="27"/>
        <v>0</v>
      </c>
      <c r="W25" s="17">
        <f t="shared" si="27"/>
        <v>0</v>
      </c>
      <c r="X25" s="17">
        <f t="shared" si="27"/>
        <v>0</v>
      </c>
      <c r="Y25" s="17">
        <f t="shared" si="27"/>
        <v>0</v>
      </c>
      <c r="Z25" s="17">
        <f t="shared" si="27"/>
        <v>0</v>
      </c>
      <c r="AA25" s="17">
        <f t="shared" si="27"/>
        <v>0</v>
      </c>
      <c r="AB25" s="17">
        <f t="shared" si="27"/>
        <v>0</v>
      </c>
      <c r="AC25" s="17">
        <f t="shared" si="27"/>
        <v>0</v>
      </c>
      <c r="AD25" s="17">
        <f t="shared" si="27"/>
        <v>0</v>
      </c>
      <c r="AE25" s="17">
        <f t="shared" si="27"/>
        <v>0</v>
      </c>
      <c r="AF25" s="17">
        <f t="shared" si="27"/>
        <v>0</v>
      </c>
      <c r="AG25" s="17">
        <f t="shared" si="27"/>
        <v>0</v>
      </c>
      <c r="AH25" s="17">
        <f t="shared" si="27"/>
        <v>0</v>
      </c>
      <c r="AI25" s="17">
        <f t="shared" si="27"/>
        <v>0</v>
      </c>
      <c r="AJ25" s="17">
        <f t="shared" si="27"/>
        <v>0</v>
      </c>
      <c r="AK25" s="17">
        <f t="shared" si="27"/>
        <v>0</v>
      </c>
      <c r="AL25" s="17">
        <f t="shared" si="27"/>
        <v>0</v>
      </c>
      <c r="AM25" s="17">
        <f t="shared" si="27"/>
        <v>0</v>
      </c>
      <c r="AN25" s="17">
        <f t="shared" si="27"/>
        <v>0</v>
      </c>
      <c r="AO25" s="17">
        <f t="shared" si="27"/>
        <v>0</v>
      </c>
      <c r="AP25" s="17">
        <f t="shared" si="27"/>
        <v>0</v>
      </c>
      <c r="AQ25" s="17">
        <f t="shared" si="27"/>
        <v>0</v>
      </c>
      <c r="AR25" s="17">
        <f t="shared" si="27"/>
        <v>0</v>
      </c>
      <c r="AS25" s="17">
        <f t="shared" ref="AS25:BT25" si="28">IF(_xlfn.NUMBERVALUE(RIGHT(AS$2,1))&gt;=$D19,$H19/12,0)*IF(_xlfn.NUMBERVALUE(RIGHT(AS$2,1))-$D19&gt;=1,1+((_xlfn.NUMBERVALUE(RIGHT(AS$2,1))-$D19)*$H$25),1)</f>
        <v>0</v>
      </c>
      <c r="AT25" s="17">
        <f t="shared" si="28"/>
        <v>0</v>
      </c>
      <c r="AU25" s="17">
        <f t="shared" si="28"/>
        <v>0</v>
      </c>
      <c r="AV25" s="17">
        <f t="shared" si="28"/>
        <v>0</v>
      </c>
      <c r="AW25" s="17">
        <f t="shared" si="28"/>
        <v>6125</v>
      </c>
      <c r="AX25" s="17">
        <f t="shared" si="28"/>
        <v>6125</v>
      </c>
      <c r="AY25" s="17">
        <f t="shared" si="28"/>
        <v>6125</v>
      </c>
      <c r="AZ25" s="17">
        <f t="shared" si="28"/>
        <v>6125</v>
      </c>
      <c r="BA25" s="17">
        <f t="shared" si="28"/>
        <v>6125</v>
      </c>
      <c r="BB25" s="17">
        <f t="shared" si="28"/>
        <v>6125</v>
      </c>
      <c r="BC25" s="17">
        <f t="shared" si="28"/>
        <v>6125</v>
      </c>
      <c r="BD25" s="17">
        <f t="shared" si="28"/>
        <v>6125</v>
      </c>
      <c r="BE25" s="17">
        <f t="shared" si="28"/>
        <v>6125</v>
      </c>
      <c r="BF25" s="17">
        <f t="shared" si="28"/>
        <v>6125</v>
      </c>
      <c r="BG25" s="17">
        <f t="shared" si="28"/>
        <v>6125</v>
      </c>
      <c r="BH25" s="17">
        <f t="shared" si="28"/>
        <v>6125</v>
      </c>
      <c r="BI25" s="17">
        <f t="shared" si="28"/>
        <v>6431.25</v>
      </c>
      <c r="BJ25" s="17">
        <f t="shared" si="28"/>
        <v>6431.25</v>
      </c>
      <c r="BK25" s="17">
        <f t="shared" si="28"/>
        <v>6431.25</v>
      </c>
      <c r="BL25" s="17">
        <f t="shared" si="28"/>
        <v>6431.25</v>
      </c>
      <c r="BM25" s="17">
        <f t="shared" si="28"/>
        <v>6431.25</v>
      </c>
      <c r="BN25" s="17">
        <f t="shared" si="28"/>
        <v>6431.25</v>
      </c>
      <c r="BO25" s="17">
        <f t="shared" si="28"/>
        <v>6431.25</v>
      </c>
      <c r="BP25" s="17">
        <f t="shared" si="28"/>
        <v>6431.25</v>
      </c>
      <c r="BQ25" s="17">
        <f t="shared" si="28"/>
        <v>6431.25</v>
      </c>
      <c r="BR25" s="17">
        <f t="shared" si="28"/>
        <v>6431.25</v>
      </c>
      <c r="BS25" s="17">
        <f t="shared" si="28"/>
        <v>6431.25</v>
      </c>
      <c r="BT25" s="17">
        <f t="shared" si="28"/>
        <v>6431.25</v>
      </c>
    </row>
    <row r="27" spans="1:75" x14ac:dyDescent="0.3">
      <c r="B27" s="29" t="s">
        <v>27</v>
      </c>
      <c r="C27" s="50">
        <v>1</v>
      </c>
      <c r="D27" s="50">
        <v>2</v>
      </c>
      <c r="E27" s="50">
        <v>3</v>
      </c>
      <c r="F27" s="50">
        <v>4</v>
      </c>
      <c r="G27" s="50">
        <v>5</v>
      </c>
      <c r="K27" t="str">
        <f>B9</f>
        <v>Sales Lead Gen</v>
      </c>
      <c r="M27" s="17">
        <f t="shared" ref="M27:AR27" si="29">_xlfn.XLOOKUP(_xlfn.NUMBERVALUE(RIGHT(M$2,1)),$C$3:$G$3,$C6:$G6)/12</f>
        <v>500</v>
      </c>
      <c r="N27" s="17">
        <f t="shared" si="29"/>
        <v>500</v>
      </c>
      <c r="O27" s="17">
        <f t="shared" si="29"/>
        <v>500</v>
      </c>
      <c r="P27" s="17">
        <f t="shared" si="29"/>
        <v>500</v>
      </c>
      <c r="Q27" s="17">
        <f t="shared" si="29"/>
        <v>500</v>
      </c>
      <c r="R27" s="17">
        <f t="shared" si="29"/>
        <v>500</v>
      </c>
      <c r="S27" s="17">
        <f t="shared" si="29"/>
        <v>500</v>
      </c>
      <c r="T27" s="17">
        <f t="shared" si="29"/>
        <v>500</v>
      </c>
      <c r="U27" s="17">
        <f t="shared" si="29"/>
        <v>500</v>
      </c>
      <c r="V27" s="17">
        <f t="shared" si="29"/>
        <v>500</v>
      </c>
      <c r="W27" s="17">
        <f t="shared" si="29"/>
        <v>500</v>
      </c>
      <c r="X27" s="17">
        <f t="shared" si="29"/>
        <v>500</v>
      </c>
      <c r="Y27" s="17">
        <f t="shared" si="29"/>
        <v>750</v>
      </c>
      <c r="Z27" s="17">
        <f t="shared" si="29"/>
        <v>750</v>
      </c>
      <c r="AA27" s="17">
        <f t="shared" si="29"/>
        <v>750</v>
      </c>
      <c r="AB27" s="17">
        <f t="shared" si="29"/>
        <v>750</v>
      </c>
      <c r="AC27" s="17">
        <f t="shared" si="29"/>
        <v>750</v>
      </c>
      <c r="AD27" s="17">
        <f t="shared" si="29"/>
        <v>750</v>
      </c>
      <c r="AE27" s="17">
        <f t="shared" si="29"/>
        <v>750</v>
      </c>
      <c r="AF27" s="17">
        <f t="shared" si="29"/>
        <v>750</v>
      </c>
      <c r="AG27" s="17">
        <f t="shared" si="29"/>
        <v>750</v>
      </c>
      <c r="AH27" s="17">
        <f t="shared" si="29"/>
        <v>750</v>
      </c>
      <c r="AI27" s="17">
        <f t="shared" si="29"/>
        <v>750</v>
      </c>
      <c r="AJ27" s="17">
        <f t="shared" si="29"/>
        <v>750</v>
      </c>
      <c r="AK27" s="17">
        <f t="shared" si="29"/>
        <v>1000</v>
      </c>
      <c r="AL27" s="17">
        <f t="shared" si="29"/>
        <v>1000</v>
      </c>
      <c r="AM27" s="17">
        <f t="shared" si="29"/>
        <v>1000</v>
      </c>
      <c r="AN27" s="17">
        <f t="shared" si="29"/>
        <v>1000</v>
      </c>
      <c r="AO27" s="17">
        <f t="shared" si="29"/>
        <v>1000</v>
      </c>
      <c r="AP27" s="17">
        <f t="shared" si="29"/>
        <v>1000</v>
      </c>
      <c r="AQ27" s="17">
        <f t="shared" si="29"/>
        <v>1000</v>
      </c>
      <c r="AR27" s="17">
        <f t="shared" si="29"/>
        <v>1000</v>
      </c>
      <c r="AS27" s="17">
        <f t="shared" ref="AS27:BT27" si="30">_xlfn.XLOOKUP(_xlfn.NUMBERVALUE(RIGHT(AS$2,1)),$C$3:$G$3,$C6:$G6)/12</f>
        <v>1000</v>
      </c>
      <c r="AT27" s="17">
        <f t="shared" si="30"/>
        <v>1000</v>
      </c>
      <c r="AU27" s="17">
        <f t="shared" si="30"/>
        <v>1000</v>
      </c>
      <c r="AV27" s="17">
        <f t="shared" si="30"/>
        <v>1000</v>
      </c>
      <c r="AW27" s="17">
        <f t="shared" si="30"/>
        <v>1500</v>
      </c>
      <c r="AX27" s="17">
        <f t="shared" si="30"/>
        <v>1500</v>
      </c>
      <c r="AY27" s="17">
        <f t="shared" si="30"/>
        <v>1500</v>
      </c>
      <c r="AZ27" s="17">
        <f t="shared" si="30"/>
        <v>1500</v>
      </c>
      <c r="BA27" s="17">
        <f t="shared" si="30"/>
        <v>1500</v>
      </c>
      <c r="BB27" s="17">
        <f t="shared" si="30"/>
        <v>1500</v>
      </c>
      <c r="BC27" s="17">
        <f t="shared" si="30"/>
        <v>1500</v>
      </c>
      <c r="BD27" s="17">
        <f t="shared" si="30"/>
        <v>1500</v>
      </c>
      <c r="BE27" s="17">
        <f t="shared" si="30"/>
        <v>1500</v>
      </c>
      <c r="BF27" s="17">
        <f t="shared" si="30"/>
        <v>1500</v>
      </c>
      <c r="BG27" s="17">
        <f t="shared" si="30"/>
        <v>1500</v>
      </c>
      <c r="BH27" s="17">
        <f t="shared" si="30"/>
        <v>1500</v>
      </c>
      <c r="BI27" s="17">
        <f t="shared" si="30"/>
        <v>1750</v>
      </c>
      <c r="BJ27" s="17">
        <f t="shared" si="30"/>
        <v>1750</v>
      </c>
      <c r="BK27" s="17">
        <f t="shared" si="30"/>
        <v>1750</v>
      </c>
      <c r="BL27" s="17">
        <f t="shared" si="30"/>
        <v>1750</v>
      </c>
      <c r="BM27" s="17">
        <f t="shared" si="30"/>
        <v>1750</v>
      </c>
      <c r="BN27" s="17">
        <f t="shared" si="30"/>
        <v>1750</v>
      </c>
      <c r="BO27" s="17">
        <f t="shared" si="30"/>
        <v>1750</v>
      </c>
      <c r="BP27" s="17">
        <f t="shared" si="30"/>
        <v>1750</v>
      </c>
      <c r="BQ27" s="17">
        <f t="shared" si="30"/>
        <v>1750</v>
      </c>
      <c r="BR27" s="17">
        <f t="shared" si="30"/>
        <v>1750</v>
      </c>
      <c r="BS27" s="17">
        <f t="shared" si="30"/>
        <v>1750</v>
      </c>
      <c r="BT27" s="17">
        <f t="shared" si="30"/>
        <v>1750</v>
      </c>
    </row>
    <row r="28" spans="1:75" x14ac:dyDescent="0.3">
      <c r="B28" s="28" t="s">
        <v>188</v>
      </c>
      <c r="C28">
        <f>COUNTIF($D$13:$D$25,"&lt;=1")</f>
        <v>1</v>
      </c>
      <c r="D28">
        <f>COUNTIF($D$13:$D$25,"&lt;=2")</f>
        <v>5</v>
      </c>
      <c r="E28">
        <f>COUNTIF($D$13:$D$25,"&lt;=3")</f>
        <v>6</v>
      </c>
      <c r="F28">
        <f>COUNTIF($D$13:$D$25,"&lt;=4")</f>
        <v>8</v>
      </c>
      <c r="G28">
        <f>COUNTIF($D$13:$D$25,"&lt;=5")</f>
        <v>9</v>
      </c>
      <c r="J28" t="s">
        <v>300</v>
      </c>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row>
    <row r="29" spans="1:75" x14ac:dyDescent="0.3">
      <c r="K29" t="s">
        <v>181</v>
      </c>
      <c r="M29" s="17"/>
      <c r="N29" s="17">
        <f>'Sales Rev'!M21</f>
        <v>0</v>
      </c>
      <c r="O29" s="17">
        <f>'Sales Rev'!N21</f>
        <v>0</v>
      </c>
      <c r="P29" s="17">
        <f>'Sales Rev'!O21</f>
        <v>0</v>
      </c>
      <c r="Q29" s="17">
        <f>'Sales Rev'!P21</f>
        <v>0</v>
      </c>
      <c r="R29" s="17">
        <f>'Sales Rev'!Q21</f>
        <v>0</v>
      </c>
      <c r="S29" s="17">
        <f>'Sales Rev'!R21</f>
        <v>0</v>
      </c>
      <c r="T29" s="17">
        <f>'Sales Rev'!S21</f>
        <v>0</v>
      </c>
      <c r="U29" s="17">
        <f>'Sales Rev'!T21</f>
        <v>0</v>
      </c>
      <c r="V29" s="17">
        <f>'Sales Rev'!U21</f>
        <v>0</v>
      </c>
      <c r="W29" s="17">
        <f>'Sales Rev'!V21</f>
        <v>0</v>
      </c>
      <c r="X29" s="17">
        <f>'Sales Rev'!W21</f>
        <v>0</v>
      </c>
      <c r="Y29" s="17">
        <f>'Sales Rev'!X21</f>
        <v>0</v>
      </c>
      <c r="Z29" s="17">
        <f>'Sales Rev'!Y21</f>
        <v>175</v>
      </c>
      <c r="AA29" s="17">
        <f>'Sales Rev'!Z21</f>
        <v>183.75</v>
      </c>
      <c r="AB29" s="17">
        <f>'Sales Rev'!AA21</f>
        <v>192.9375</v>
      </c>
      <c r="AC29" s="17">
        <f>'Sales Rev'!AB21</f>
        <v>202.58437500000002</v>
      </c>
      <c r="AD29" s="17">
        <f>'Sales Rev'!AC21</f>
        <v>212.71359375000003</v>
      </c>
      <c r="AE29" s="17">
        <f>'Sales Rev'!AD21</f>
        <v>223.34927343750007</v>
      </c>
      <c r="AF29" s="17">
        <f>'Sales Rev'!AE21</f>
        <v>234.51673710937507</v>
      </c>
      <c r="AG29" s="17">
        <f>'Sales Rev'!AF21</f>
        <v>246.24257396484381</v>
      </c>
      <c r="AH29" s="17">
        <f>'Sales Rev'!AG21</f>
        <v>258.55470266308606</v>
      </c>
      <c r="AI29" s="17">
        <f>'Sales Rev'!AH21</f>
        <v>271.48243779624039</v>
      </c>
      <c r="AJ29" s="17">
        <f>'Sales Rev'!AI21</f>
        <v>285.05655968605237</v>
      </c>
      <c r="AK29" s="17">
        <f>'Sales Rev'!AJ21</f>
        <v>299.30938767035502</v>
      </c>
      <c r="AL29" s="17">
        <f>'Sales Rev'!AK21</f>
        <v>577.05634819988325</v>
      </c>
      <c r="AM29" s="17">
        <f>'Sales Rev'!AL21</f>
        <v>605.9091656098775</v>
      </c>
      <c r="AN29" s="17">
        <f>'Sales Rev'!AM21</f>
        <v>636.20462389037141</v>
      </c>
      <c r="AO29" s="17">
        <f>'Sales Rev'!AN21</f>
        <v>668.01485508488997</v>
      </c>
      <c r="AP29" s="17">
        <f>'Sales Rev'!AO21</f>
        <v>701.41559783913453</v>
      </c>
      <c r="AQ29" s="17">
        <f>'Sales Rev'!AP21</f>
        <v>736.48637773109124</v>
      </c>
      <c r="AR29" s="17">
        <f>'Sales Rev'!AQ21</f>
        <v>773.31069661764593</v>
      </c>
      <c r="AS29" s="17">
        <f>'Sales Rev'!AR21</f>
        <v>811.97623144852821</v>
      </c>
      <c r="AT29" s="17">
        <f>'Sales Rev'!AS21</f>
        <v>852.57504302095458</v>
      </c>
      <c r="AU29" s="17">
        <f>'Sales Rev'!AT21</f>
        <v>895.2037951720024</v>
      </c>
      <c r="AV29" s="17">
        <f>'Sales Rev'!AU21</f>
        <v>939.96398493060246</v>
      </c>
      <c r="AW29" s="17">
        <f>'Sales Rev'!AV21</f>
        <v>986.96218417713271</v>
      </c>
      <c r="AX29" s="17">
        <f>'Sales Rev'!AW21</f>
        <v>1341.4815964264269</v>
      </c>
      <c r="AY29" s="17">
        <f>'Sales Rev'!AX21</f>
        <v>1408.5556762477481</v>
      </c>
      <c r="AZ29" s="17">
        <f>'Sales Rev'!AY21</f>
        <v>1478.9834600601355</v>
      </c>
      <c r="BA29" s="17">
        <f>'Sales Rev'!AZ21</f>
        <v>1552.9326330631425</v>
      </c>
      <c r="BB29" s="17">
        <f>'Sales Rev'!BA21</f>
        <v>1630.5792647162998</v>
      </c>
      <c r="BC29" s="17">
        <f>'Sales Rev'!BB21</f>
        <v>1712.1082279521147</v>
      </c>
      <c r="BD29" s="17">
        <f>'Sales Rev'!BC21</f>
        <v>1797.7136393497208</v>
      </c>
      <c r="BE29" s="17">
        <f>'Sales Rev'!BD21</f>
        <v>1887.5993213172069</v>
      </c>
      <c r="BF29" s="17">
        <f>'Sales Rev'!BE21</f>
        <v>1981.979287383067</v>
      </c>
      <c r="BG29" s="17">
        <f>'Sales Rev'!BF21</f>
        <v>2081.0782517522202</v>
      </c>
      <c r="BH29" s="17">
        <f>'Sales Rev'!BG21</f>
        <v>2185.132164339831</v>
      </c>
      <c r="BI29" s="17">
        <f>'Sales Rev'!BH21</f>
        <v>2294.3887725568229</v>
      </c>
      <c r="BJ29" s="17">
        <f>'Sales Rev'!BI21</f>
        <v>2931.9235828007745</v>
      </c>
      <c r="BK29" s="17">
        <f>'Sales Rev'!BJ21</f>
        <v>3078.5197619408136</v>
      </c>
      <c r="BL29" s="17">
        <f>'Sales Rev'!BK21</f>
        <v>3232.4457500378539</v>
      </c>
      <c r="BM29" s="17">
        <f>'Sales Rev'!BL21</f>
        <v>3394.0680375397469</v>
      </c>
      <c r="BN29" s="17">
        <f>'Sales Rev'!BM21</f>
        <v>3563.7714394167342</v>
      </c>
      <c r="BO29" s="17">
        <f>'Sales Rev'!BN21</f>
        <v>3741.9600113875713</v>
      </c>
      <c r="BP29" s="17">
        <f>'Sales Rev'!BO21</f>
        <v>3929.0580119569495</v>
      </c>
      <c r="BQ29" s="17">
        <f>'Sales Rev'!BP21</f>
        <v>4125.5109125547979</v>
      </c>
      <c r="BR29" s="17">
        <f>'Sales Rev'!BQ21</f>
        <v>4331.7864581825379</v>
      </c>
      <c r="BS29" s="17">
        <f>'Sales Rev'!BR21</f>
        <v>4548.3757810916641</v>
      </c>
      <c r="BT29" s="17">
        <f>'Sales Rev'!BS21</f>
        <v>4775.7945701462477</v>
      </c>
    </row>
    <row r="30" spans="1:75" x14ac:dyDescent="0.3">
      <c r="K30" t="s">
        <v>182</v>
      </c>
      <c r="M30" s="17"/>
      <c r="N30" s="17">
        <f>'Sales Rev'!M20</f>
        <v>0</v>
      </c>
      <c r="O30" s="17">
        <f>'Sales Rev'!N20</f>
        <v>0</v>
      </c>
      <c r="P30" s="17">
        <f>'Sales Rev'!O20</f>
        <v>0</v>
      </c>
      <c r="Q30" s="17">
        <f>'Sales Rev'!P20</f>
        <v>0</v>
      </c>
      <c r="R30" s="17">
        <f>'Sales Rev'!Q20</f>
        <v>0</v>
      </c>
      <c r="S30" s="17">
        <f>'Sales Rev'!R20</f>
        <v>0</v>
      </c>
      <c r="T30" s="17">
        <f>'Sales Rev'!S20</f>
        <v>0</v>
      </c>
      <c r="U30" s="17">
        <f>'Sales Rev'!T20</f>
        <v>0</v>
      </c>
      <c r="V30" s="17">
        <f>'Sales Rev'!U20</f>
        <v>0</v>
      </c>
      <c r="W30" s="17">
        <f>'Sales Rev'!V20</f>
        <v>0</v>
      </c>
      <c r="X30" s="17">
        <f>'Sales Rev'!W20</f>
        <v>0</v>
      </c>
      <c r="Y30" s="17">
        <f>'Sales Rev'!X20</f>
        <v>0</v>
      </c>
      <c r="Z30" s="17">
        <f>'Sales Rev'!Y20</f>
        <v>175</v>
      </c>
      <c r="AA30" s="17">
        <f>'Sales Rev'!Z20</f>
        <v>183.75</v>
      </c>
      <c r="AB30" s="17">
        <f>'Sales Rev'!AA20</f>
        <v>192.9375</v>
      </c>
      <c r="AC30" s="17">
        <f>'Sales Rev'!AB20</f>
        <v>202.58437500000002</v>
      </c>
      <c r="AD30" s="17">
        <f>'Sales Rev'!AC20</f>
        <v>212.71359375000003</v>
      </c>
      <c r="AE30" s="17">
        <f>'Sales Rev'!AD20</f>
        <v>223.34927343750007</v>
      </c>
      <c r="AF30" s="17">
        <f>'Sales Rev'!AE20</f>
        <v>234.51673710937507</v>
      </c>
      <c r="AG30" s="17">
        <f>'Sales Rev'!AF20</f>
        <v>246.24257396484381</v>
      </c>
      <c r="AH30" s="17">
        <f>'Sales Rev'!AG20</f>
        <v>258.55470266308606</v>
      </c>
      <c r="AI30" s="17">
        <f>'Sales Rev'!AH20</f>
        <v>271.48243779624039</v>
      </c>
      <c r="AJ30" s="17">
        <f>'Sales Rev'!AI20</f>
        <v>285.05655968605237</v>
      </c>
      <c r="AK30" s="17">
        <f>'Sales Rev'!AJ20</f>
        <v>299.30938767035502</v>
      </c>
      <c r="AL30" s="17">
        <f>'Sales Rev'!AK20</f>
        <v>618.12301486654997</v>
      </c>
      <c r="AM30" s="17">
        <f>'Sales Rev'!AL20</f>
        <v>649.02916560987751</v>
      </c>
      <c r="AN30" s="17">
        <f>'Sales Rev'!AM20</f>
        <v>681.48062389037148</v>
      </c>
      <c r="AO30" s="17">
        <f>'Sales Rev'!AN20</f>
        <v>715.5546550848901</v>
      </c>
      <c r="AP30" s="17">
        <f>'Sales Rev'!AO20</f>
        <v>751.33238783913464</v>
      </c>
      <c r="AQ30" s="17">
        <f>'Sales Rev'!AP20</f>
        <v>788.89900723109133</v>
      </c>
      <c r="AR30" s="17">
        <f>'Sales Rev'!AQ20</f>
        <v>828.34395759264612</v>
      </c>
      <c r="AS30" s="17">
        <f>'Sales Rev'!AR20</f>
        <v>869.76115547227846</v>
      </c>
      <c r="AT30" s="17">
        <f>'Sales Rev'!AS20</f>
        <v>913.24921324589241</v>
      </c>
      <c r="AU30" s="17">
        <f>'Sales Rev'!AT20</f>
        <v>958.91167390818703</v>
      </c>
      <c r="AV30" s="17">
        <f>'Sales Rev'!AU20</f>
        <v>1006.8572576035964</v>
      </c>
      <c r="AW30" s="17">
        <f>'Sales Rev'!AV20</f>
        <v>1057.2001204837763</v>
      </c>
      <c r="AX30" s="17">
        <f>'Sales Rev'!AW20</f>
        <v>1484.8767544222892</v>
      </c>
      <c r="AY30" s="17">
        <f>'Sales Rev'!AX20</f>
        <v>1559.1205921434037</v>
      </c>
      <c r="AZ30" s="17">
        <f>'Sales Rev'!AY20</f>
        <v>1637.0766217505738</v>
      </c>
      <c r="BA30" s="17">
        <f>'Sales Rev'!AZ20</f>
        <v>1718.9304528381028</v>
      </c>
      <c r="BB30" s="17">
        <f>'Sales Rev'!BA20</f>
        <v>1804.876975480008</v>
      </c>
      <c r="BC30" s="17">
        <f>'Sales Rev'!BB20</f>
        <v>1895.1208242540085</v>
      </c>
      <c r="BD30" s="17">
        <f>'Sales Rev'!BC20</f>
        <v>1989.8768654667092</v>
      </c>
      <c r="BE30" s="17">
        <f>'Sales Rev'!BD20</f>
        <v>2089.3707087400448</v>
      </c>
      <c r="BF30" s="17">
        <f>'Sales Rev'!BE20</f>
        <v>2193.839244177047</v>
      </c>
      <c r="BG30" s="17">
        <f>'Sales Rev'!BF20</f>
        <v>2303.5312063858992</v>
      </c>
      <c r="BH30" s="17">
        <f>'Sales Rev'!BG20</f>
        <v>2418.707766705194</v>
      </c>
      <c r="BI30" s="17">
        <f>'Sales Rev'!BH20</f>
        <v>2539.6431550404541</v>
      </c>
      <c r="BJ30" s="17">
        <f>'Sales Rev'!BI20</f>
        <v>3286.1225838269829</v>
      </c>
      <c r="BK30" s="17">
        <f>'Sales Rev'!BJ20</f>
        <v>3450.4287130183316</v>
      </c>
      <c r="BL30" s="17">
        <f>'Sales Rev'!BK20</f>
        <v>3622.9501486692484</v>
      </c>
      <c r="BM30" s="17">
        <f>'Sales Rev'!BL20</f>
        <v>3804.097656102711</v>
      </c>
      <c r="BN30" s="17">
        <f>'Sales Rev'!BM20</f>
        <v>3994.3025389078466</v>
      </c>
      <c r="BO30" s="17">
        <f>'Sales Rev'!BN20</f>
        <v>4194.0176658532391</v>
      </c>
      <c r="BP30" s="17">
        <f>'Sales Rev'!BO20</f>
        <v>4403.7185491459013</v>
      </c>
      <c r="BQ30" s="17">
        <f>'Sales Rev'!BP20</f>
        <v>4623.9044766031966</v>
      </c>
      <c r="BR30" s="17">
        <f>'Sales Rev'!BQ20</f>
        <v>4855.0997004333567</v>
      </c>
      <c r="BS30" s="17">
        <f>'Sales Rev'!BR20</f>
        <v>5097.8546854550241</v>
      </c>
      <c r="BT30" s="17">
        <f>'Sales Rev'!BS20</f>
        <v>5352.7474197277752</v>
      </c>
    </row>
    <row r="31" spans="1:75" x14ac:dyDescent="0.3">
      <c r="K31" t="s">
        <v>182</v>
      </c>
      <c r="M31" s="17"/>
      <c r="N31" s="17">
        <f>'Sales Rev'!M18</f>
        <v>0</v>
      </c>
      <c r="O31" s="17">
        <f>'Sales Rev'!N18</f>
        <v>0</v>
      </c>
      <c r="P31" s="17">
        <f>'Sales Rev'!O18</f>
        <v>0</v>
      </c>
      <c r="Q31" s="17">
        <f>'Sales Rev'!P18</f>
        <v>0</v>
      </c>
      <c r="R31" s="17">
        <f>'Sales Rev'!Q18</f>
        <v>0</v>
      </c>
      <c r="S31" s="17">
        <f>'Sales Rev'!R18</f>
        <v>0</v>
      </c>
      <c r="T31" s="17">
        <f>'Sales Rev'!S18</f>
        <v>0</v>
      </c>
      <c r="U31" s="17">
        <f>'Sales Rev'!T18</f>
        <v>0</v>
      </c>
      <c r="V31" s="17">
        <f>'Sales Rev'!U18</f>
        <v>0</v>
      </c>
      <c r="W31" s="17">
        <f>'Sales Rev'!V18</f>
        <v>0</v>
      </c>
      <c r="X31" s="17">
        <f>'Sales Rev'!W18</f>
        <v>0</v>
      </c>
      <c r="Y31" s="17">
        <f>'Sales Rev'!X18</f>
        <v>0</v>
      </c>
      <c r="Z31" s="17">
        <f>'Sales Rev'!Y18</f>
        <v>175</v>
      </c>
      <c r="AA31" s="17">
        <f>'Sales Rev'!Z18</f>
        <v>183.75</v>
      </c>
      <c r="AB31" s="17">
        <f>'Sales Rev'!AA18</f>
        <v>192.9375</v>
      </c>
      <c r="AC31" s="17">
        <f>'Sales Rev'!AB18</f>
        <v>202.58437500000002</v>
      </c>
      <c r="AD31" s="17">
        <f>'Sales Rev'!AC18</f>
        <v>212.71359375000003</v>
      </c>
      <c r="AE31" s="17">
        <f>'Sales Rev'!AD18</f>
        <v>223.34927343750007</v>
      </c>
      <c r="AF31" s="17">
        <f>'Sales Rev'!AE18</f>
        <v>234.51673710937507</v>
      </c>
      <c r="AG31" s="17">
        <f>'Sales Rev'!AF18</f>
        <v>246.24257396484381</v>
      </c>
      <c r="AH31" s="17">
        <f>'Sales Rev'!AG18</f>
        <v>258.55470266308606</v>
      </c>
      <c r="AI31" s="17">
        <f>'Sales Rev'!AH18</f>
        <v>271.48243779624039</v>
      </c>
      <c r="AJ31" s="17">
        <f>'Sales Rev'!AI18</f>
        <v>285.05655968605237</v>
      </c>
      <c r="AK31" s="17">
        <f>'Sales Rev'!AJ18</f>
        <v>299.30938767035502</v>
      </c>
      <c r="AL31" s="17">
        <f>'Sales Rev'!AK18</f>
        <v>618.12301486654997</v>
      </c>
      <c r="AM31" s="17">
        <f>'Sales Rev'!AL18</f>
        <v>649.02916560987751</v>
      </c>
      <c r="AN31" s="17">
        <f>'Sales Rev'!AM18</f>
        <v>681.48062389037148</v>
      </c>
      <c r="AO31" s="17">
        <f>'Sales Rev'!AN18</f>
        <v>715.5546550848901</v>
      </c>
      <c r="AP31" s="17">
        <f>'Sales Rev'!AO18</f>
        <v>751.33238783913464</v>
      </c>
      <c r="AQ31" s="17">
        <f>'Sales Rev'!AP18</f>
        <v>788.89900723109133</v>
      </c>
      <c r="AR31" s="17">
        <f>'Sales Rev'!AQ18</f>
        <v>828.34395759264612</v>
      </c>
      <c r="AS31" s="17">
        <f>'Sales Rev'!AR18</f>
        <v>869.76115547227846</v>
      </c>
      <c r="AT31" s="17">
        <f>'Sales Rev'!AS18</f>
        <v>913.24921324589241</v>
      </c>
      <c r="AU31" s="17">
        <f>'Sales Rev'!AT18</f>
        <v>958.91167390818703</v>
      </c>
      <c r="AV31" s="17">
        <f>'Sales Rev'!AU18</f>
        <v>1006.8572576035964</v>
      </c>
      <c r="AW31" s="17">
        <f>'Sales Rev'!AV18</f>
        <v>1057.2001204837763</v>
      </c>
      <c r="AX31" s="17">
        <f>'Sales Rev'!AW18</f>
        <v>1484.8767544222892</v>
      </c>
      <c r="AY31" s="17">
        <f>'Sales Rev'!AX18</f>
        <v>1559.1205921434037</v>
      </c>
      <c r="AZ31" s="17">
        <f>'Sales Rev'!AY18</f>
        <v>1637.0766217505738</v>
      </c>
      <c r="BA31" s="17">
        <f>'Sales Rev'!AZ18</f>
        <v>1718.9304528381028</v>
      </c>
      <c r="BB31" s="17">
        <f>'Sales Rev'!BA18</f>
        <v>1804.876975480008</v>
      </c>
      <c r="BC31" s="17">
        <f>'Sales Rev'!BB18</f>
        <v>1895.1208242540085</v>
      </c>
      <c r="BD31" s="17">
        <f>'Sales Rev'!BC18</f>
        <v>1989.8768654667092</v>
      </c>
      <c r="BE31" s="17">
        <f>'Sales Rev'!BD18</f>
        <v>2089.3707087400448</v>
      </c>
      <c r="BF31" s="17">
        <f>'Sales Rev'!BE18</f>
        <v>2193.839244177047</v>
      </c>
      <c r="BG31" s="17">
        <f>'Sales Rev'!BF18</f>
        <v>2303.5312063858992</v>
      </c>
      <c r="BH31" s="17">
        <f>'Sales Rev'!BG18</f>
        <v>2418.707766705194</v>
      </c>
      <c r="BI31" s="17">
        <f>'Sales Rev'!BH18</f>
        <v>2539.6431550404541</v>
      </c>
      <c r="BJ31" s="17">
        <f>'Sales Rev'!BI18</f>
        <v>3286.1225838269829</v>
      </c>
      <c r="BK31" s="17">
        <f>'Sales Rev'!BJ18</f>
        <v>3450.4287130183316</v>
      </c>
      <c r="BL31" s="17">
        <f>'Sales Rev'!BK18</f>
        <v>3622.9501486692484</v>
      </c>
      <c r="BM31" s="17">
        <f>'Sales Rev'!BL18</f>
        <v>3804.097656102711</v>
      </c>
      <c r="BN31" s="17">
        <f>'Sales Rev'!BM18</f>
        <v>3994.3025389078466</v>
      </c>
      <c r="BO31" s="17">
        <f>'Sales Rev'!BN18</f>
        <v>4194.0176658532391</v>
      </c>
      <c r="BP31" s="17">
        <f>'Sales Rev'!BO18</f>
        <v>4403.7185491459013</v>
      </c>
      <c r="BQ31" s="17">
        <f>'Sales Rev'!BP18</f>
        <v>4623.9044766031966</v>
      </c>
      <c r="BR31" s="17">
        <f>'Sales Rev'!BQ18</f>
        <v>4855.0997004333567</v>
      </c>
      <c r="BS31" s="17">
        <f>'Sales Rev'!BR18</f>
        <v>5097.8546854550241</v>
      </c>
      <c r="BT31" s="17">
        <f>'Sales Rev'!BS18</f>
        <v>5352.7474197277752</v>
      </c>
    </row>
    <row r="32" spans="1:75" x14ac:dyDescent="0.3">
      <c r="K32" t="s">
        <v>185</v>
      </c>
      <c r="M32" s="17"/>
      <c r="N32" s="17">
        <f>'Sales Rev'!M22</f>
        <v>0</v>
      </c>
      <c r="O32" s="17">
        <f>'Sales Rev'!N22</f>
        <v>0</v>
      </c>
      <c r="P32" s="17">
        <f>'Sales Rev'!O22</f>
        <v>0</v>
      </c>
      <c r="Q32" s="17">
        <f>'Sales Rev'!P22</f>
        <v>0</v>
      </c>
      <c r="R32" s="17">
        <f>'Sales Rev'!Q22</f>
        <v>0</v>
      </c>
      <c r="S32" s="17">
        <f>'Sales Rev'!R22</f>
        <v>0</v>
      </c>
      <c r="T32" s="17">
        <f>'Sales Rev'!S22</f>
        <v>0</v>
      </c>
      <c r="U32" s="17">
        <f>'Sales Rev'!T22</f>
        <v>0</v>
      </c>
      <c r="V32" s="17">
        <f>'Sales Rev'!U22</f>
        <v>0</v>
      </c>
      <c r="W32" s="17">
        <f>'Sales Rev'!V22</f>
        <v>0</v>
      </c>
      <c r="X32" s="17">
        <f>'Sales Rev'!W22</f>
        <v>0</v>
      </c>
      <c r="Y32" s="17">
        <f>'Sales Rev'!X22</f>
        <v>0</v>
      </c>
      <c r="Z32" s="17">
        <f>'Sales Rev'!Y22</f>
        <v>0</v>
      </c>
      <c r="AA32" s="17">
        <f>'Sales Rev'!Z22</f>
        <v>0</v>
      </c>
      <c r="AB32" s="17">
        <f>'Sales Rev'!AA22</f>
        <v>0</v>
      </c>
      <c r="AC32" s="17">
        <f>'Sales Rev'!AB22</f>
        <v>0</v>
      </c>
      <c r="AD32" s="17">
        <f>'Sales Rev'!AC22</f>
        <v>0</v>
      </c>
      <c r="AE32" s="17">
        <f>'Sales Rev'!AD22</f>
        <v>0</v>
      </c>
      <c r="AF32" s="17">
        <f>'Sales Rev'!AE22</f>
        <v>0</v>
      </c>
      <c r="AG32" s="17">
        <f>'Sales Rev'!AF22</f>
        <v>0</v>
      </c>
      <c r="AH32" s="17">
        <f>'Sales Rev'!AG22</f>
        <v>0</v>
      </c>
      <c r="AI32" s="17">
        <f>'Sales Rev'!AH22</f>
        <v>0</v>
      </c>
      <c r="AJ32" s="17">
        <f>'Sales Rev'!AI22</f>
        <v>0</v>
      </c>
      <c r="AK32" s="17">
        <f>'Sales Rev'!AJ22</f>
        <v>0</v>
      </c>
      <c r="AL32" s="17">
        <f>'Sales Rev'!AK22</f>
        <v>0</v>
      </c>
      <c r="AM32" s="17">
        <f>'Sales Rev'!AL22</f>
        <v>0</v>
      </c>
      <c r="AN32" s="17">
        <f>'Sales Rev'!AM22</f>
        <v>0</v>
      </c>
      <c r="AO32" s="17">
        <f>'Sales Rev'!AN22</f>
        <v>0</v>
      </c>
      <c r="AP32" s="17">
        <f>'Sales Rev'!AO22</f>
        <v>0</v>
      </c>
      <c r="AQ32" s="17">
        <f>'Sales Rev'!AP22</f>
        <v>0</v>
      </c>
      <c r="AR32" s="17">
        <f>'Sales Rev'!AQ22</f>
        <v>0</v>
      </c>
      <c r="AS32" s="17">
        <f>'Sales Rev'!AR22</f>
        <v>0</v>
      </c>
      <c r="AT32" s="17">
        <f>'Sales Rev'!AS22</f>
        <v>0</v>
      </c>
      <c r="AU32" s="17">
        <f>'Sales Rev'!AT22</f>
        <v>0</v>
      </c>
      <c r="AV32" s="17">
        <f>'Sales Rev'!AU22</f>
        <v>0</v>
      </c>
      <c r="AW32" s="17">
        <f>'Sales Rev'!AV22</f>
        <v>0</v>
      </c>
      <c r="AX32" s="17">
        <f>'Sales Rev'!AW22</f>
        <v>446.66666666666674</v>
      </c>
      <c r="AY32" s="17">
        <f>'Sales Rev'!AX22</f>
        <v>469.00000000000011</v>
      </c>
      <c r="AZ32" s="17">
        <f>'Sales Rev'!AY22</f>
        <v>492.4500000000001</v>
      </c>
      <c r="BA32" s="17">
        <f>'Sales Rev'!AZ22</f>
        <v>517.0725000000001</v>
      </c>
      <c r="BB32" s="17">
        <f>'Sales Rev'!BA22</f>
        <v>542.92612500000018</v>
      </c>
      <c r="BC32" s="17">
        <f>'Sales Rev'!BB22</f>
        <v>570.07243125000025</v>
      </c>
      <c r="BD32" s="17">
        <f>'Sales Rev'!BC22</f>
        <v>598.57605281250028</v>
      </c>
      <c r="BE32" s="17">
        <f>'Sales Rev'!BD22</f>
        <v>628.50485545312529</v>
      </c>
      <c r="BF32" s="17">
        <f>'Sales Rev'!BE22</f>
        <v>659.93009822578153</v>
      </c>
      <c r="BG32" s="17">
        <f>'Sales Rev'!BF22</f>
        <v>692.92660313707074</v>
      </c>
      <c r="BH32" s="17">
        <f>'Sales Rev'!BG22</f>
        <v>727.57293329392417</v>
      </c>
      <c r="BI32" s="17">
        <f>'Sales Rev'!BH22</f>
        <v>763.95157995862041</v>
      </c>
      <c r="BJ32" s="17">
        <f>'Sales Rev'!BI22</f>
        <v>1436.5719414455994</v>
      </c>
      <c r="BK32" s="17">
        <f>'Sales Rev'!BJ22</f>
        <v>1508.4005385178796</v>
      </c>
      <c r="BL32" s="17">
        <f>'Sales Rev'!BK22</f>
        <v>1583.8205654437736</v>
      </c>
      <c r="BM32" s="17">
        <f>'Sales Rev'!BL22</f>
        <v>1663.0115937159624</v>
      </c>
      <c r="BN32" s="17">
        <f>'Sales Rev'!BM22</f>
        <v>1746.1621734017606</v>
      </c>
      <c r="BO32" s="17">
        <f>'Sales Rev'!BN22</f>
        <v>1833.4702820718485</v>
      </c>
      <c r="BP32" s="17">
        <f>'Sales Rev'!BO22</f>
        <v>1925.1437961754411</v>
      </c>
      <c r="BQ32" s="17">
        <f>'Sales Rev'!BP22</f>
        <v>2021.4009859842133</v>
      </c>
      <c r="BR32" s="17">
        <f>'Sales Rev'!BQ22</f>
        <v>2122.471035283424</v>
      </c>
      <c r="BS32" s="17">
        <f>'Sales Rev'!BR22</f>
        <v>2228.5945870475953</v>
      </c>
      <c r="BT32" s="17">
        <f>'Sales Rev'!BS22</f>
        <v>2340.0243163999753</v>
      </c>
    </row>
    <row r="33" spans="3:72" x14ac:dyDescent="0.3">
      <c r="K33" t="s">
        <v>186</v>
      </c>
      <c r="M33" s="17"/>
      <c r="N33" s="17">
        <f>'Sales Rev'!M19</f>
        <v>0</v>
      </c>
      <c r="O33" s="17">
        <f>'Sales Rev'!N19</f>
        <v>0</v>
      </c>
      <c r="P33" s="17">
        <f>'Sales Rev'!O19</f>
        <v>0</v>
      </c>
      <c r="Q33" s="17">
        <f>'Sales Rev'!P19</f>
        <v>0</v>
      </c>
      <c r="R33" s="17">
        <f>'Sales Rev'!Q19</f>
        <v>0</v>
      </c>
      <c r="S33" s="17">
        <f>'Sales Rev'!R19</f>
        <v>0</v>
      </c>
      <c r="T33" s="17">
        <f>'Sales Rev'!S19</f>
        <v>0</v>
      </c>
      <c r="U33" s="17">
        <f>'Sales Rev'!T19</f>
        <v>0</v>
      </c>
      <c r="V33" s="17">
        <f>'Sales Rev'!U19</f>
        <v>0</v>
      </c>
      <c r="W33" s="17">
        <f>'Sales Rev'!V19</f>
        <v>0</v>
      </c>
      <c r="X33" s="17">
        <f>'Sales Rev'!W19</f>
        <v>0</v>
      </c>
      <c r="Y33" s="17">
        <f>'Sales Rev'!X19</f>
        <v>0</v>
      </c>
      <c r="Z33" s="17">
        <f>'Sales Rev'!Y19</f>
        <v>0</v>
      </c>
      <c r="AA33" s="17">
        <f>'Sales Rev'!Z19</f>
        <v>0</v>
      </c>
      <c r="AB33" s="17">
        <f>'Sales Rev'!AA19</f>
        <v>0</v>
      </c>
      <c r="AC33" s="17">
        <f>'Sales Rev'!AB19</f>
        <v>0</v>
      </c>
      <c r="AD33" s="17">
        <f>'Sales Rev'!AC19</f>
        <v>0</v>
      </c>
      <c r="AE33" s="17">
        <f>'Sales Rev'!AD19</f>
        <v>0</v>
      </c>
      <c r="AF33" s="17">
        <f>'Sales Rev'!AE19</f>
        <v>0</v>
      </c>
      <c r="AG33" s="17">
        <f>'Sales Rev'!AF19</f>
        <v>0</v>
      </c>
      <c r="AH33" s="17">
        <f>'Sales Rev'!AG19</f>
        <v>0</v>
      </c>
      <c r="AI33" s="17">
        <f>'Sales Rev'!AH19</f>
        <v>0</v>
      </c>
      <c r="AJ33" s="17">
        <f>'Sales Rev'!AI19</f>
        <v>0</v>
      </c>
      <c r="AK33" s="17">
        <f>'Sales Rev'!AJ19</f>
        <v>0</v>
      </c>
      <c r="AL33" s="17">
        <f>'Sales Rev'!AK19</f>
        <v>0</v>
      </c>
      <c r="AM33" s="17">
        <f>'Sales Rev'!AL19</f>
        <v>0</v>
      </c>
      <c r="AN33" s="17">
        <f>'Sales Rev'!AM19</f>
        <v>0</v>
      </c>
      <c r="AO33" s="17">
        <f>'Sales Rev'!AN19</f>
        <v>0</v>
      </c>
      <c r="AP33" s="17">
        <f>'Sales Rev'!AO19</f>
        <v>0</v>
      </c>
      <c r="AQ33" s="17">
        <f>'Sales Rev'!AP19</f>
        <v>0</v>
      </c>
      <c r="AR33" s="17">
        <f>'Sales Rev'!AQ19</f>
        <v>0</v>
      </c>
      <c r="AS33" s="17">
        <f>'Sales Rev'!AR19</f>
        <v>0</v>
      </c>
      <c r="AT33" s="17">
        <f>'Sales Rev'!AS19</f>
        <v>0</v>
      </c>
      <c r="AU33" s="17">
        <f>'Sales Rev'!AT19</f>
        <v>0</v>
      </c>
      <c r="AV33" s="17">
        <f>'Sales Rev'!AU19</f>
        <v>0</v>
      </c>
      <c r="AW33" s="17">
        <f>'Sales Rev'!AV19</f>
        <v>0</v>
      </c>
      <c r="AX33" s="17">
        <f>'Sales Rev'!AW19</f>
        <v>0</v>
      </c>
      <c r="AY33" s="17">
        <f>'Sales Rev'!AX19</f>
        <v>0</v>
      </c>
      <c r="AZ33" s="17">
        <f>'Sales Rev'!AY19</f>
        <v>0</v>
      </c>
      <c r="BA33" s="17">
        <f>'Sales Rev'!AZ19</f>
        <v>0</v>
      </c>
      <c r="BB33" s="17">
        <f>'Sales Rev'!BA19</f>
        <v>0</v>
      </c>
      <c r="BC33" s="17">
        <f>'Sales Rev'!BB19</f>
        <v>0</v>
      </c>
      <c r="BD33" s="17">
        <f>'Sales Rev'!BC19</f>
        <v>0</v>
      </c>
      <c r="BE33" s="17">
        <f>'Sales Rev'!BD19</f>
        <v>0</v>
      </c>
      <c r="BF33" s="17">
        <f>'Sales Rev'!BE19</f>
        <v>0</v>
      </c>
      <c r="BG33" s="17">
        <f>'Sales Rev'!BF19</f>
        <v>0</v>
      </c>
      <c r="BH33" s="17">
        <f>'Sales Rev'!BG19</f>
        <v>0</v>
      </c>
      <c r="BI33" s="17">
        <f>'Sales Rev'!BH19</f>
        <v>0</v>
      </c>
      <c r="BJ33" s="17">
        <f>'Sales Rev'!BI19</f>
        <v>506.66666666666674</v>
      </c>
      <c r="BK33" s="17">
        <f>'Sales Rev'!BJ19</f>
        <v>532.00000000000011</v>
      </c>
      <c r="BL33" s="17">
        <f>'Sales Rev'!BK19</f>
        <v>558.60000000000014</v>
      </c>
      <c r="BM33" s="17">
        <f>'Sales Rev'!BL19</f>
        <v>586.53000000000009</v>
      </c>
      <c r="BN33" s="17">
        <f>'Sales Rev'!BM19</f>
        <v>615.85650000000021</v>
      </c>
      <c r="BO33" s="17">
        <f>'Sales Rev'!BN19</f>
        <v>646.64932500000032</v>
      </c>
      <c r="BP33" s="17">
        <f>'Sales Rev'!BO19</f>
        <v>678.98179125000024</v>
      </c>
      <c r="BQ33" s="17">
        <f>'Sales Rev'!BP19</f>
        <v>712.93088081250028</v>
      </c>
      <c r="BR33" s="17">
        <f>'Sales Rev'!BQ19</f>
        <v>748.57742485312531</v>
      </c>
      <c r="BS33" s="17">
        <f>'Sales Rev'!BR19</f>
        <v>786.00629609578164</v>
      </c>
      <c r="BT33" s="17">
        <f>'Sales Rev'!BS19</f>
        <v>825.30661090057083</v>
      </c>
    </row>
    <row r="34" spans="3:72" x14ac:dyDescent="0.3">
      <c r="C34" s="35"/>
      <c r="K34" t="s">
        <v>187</v>
      </c>
      <c r="M34" s="17"/>
      <c r="N34" s="17">
        <f>'Sales Rev'!M17</f>
        <v>0</v>
      </c>
      <c r="O34" s="17">
        <f>'Sales Rev'!N17</f>
        <v>0</v>
      </c>
      <c r="P34" s="17">
        <f>'Sales Rev'!O17</f>
        <v>0</v>
      </c>
      <c r="Q34" s="17">
        <f>'Sales Rev'!P17</f>
        <v>0</v>
      </c>
      <c r="R34" s="17">
        <f>'Sales Rev'!Q17</f>
        <v>0</v>
      </c>
      <c r="S34" s="17">
        <f>'Sales Rev'!R17</f>
        <v>0</v>
      </c>
      <c r="T34" s="17">
        <f>'Sales Rev'!S17</f>
        <v>0</v>
      </c>
      <c r="U34" s="17">
        <f>'Sales Rev'!T17</f>
        <v>0</v>
      </c>
      <c r="V34" s="17">
        <f>'Sales Rev'!U17</f>
        <v>0</v>
      </c>
      <c r="W34" s="17">
        <f>'Sales Rev'!V17</f>
        <v>0</v>
      </c>
      <c r="X34" s="17">
        <f>'Sales Rev'!W17</f>
        <v>0</v>
      </c>
      <c r="Y34" s="17">
        <f>'Sales Rev'!X17</f>
        <v>0</v>
      </c>
      <c r="Z34" s="17">
        <f>'Sales Rev'!Y17</f>
        <v>0</v>
      </c>
      <c r="AA34" s="17">
        <f>'Sales Rev'!Z17</f>
        <v>0</v>
      </c>
      <c r="AB34" s="17">
        <f>'Sales Rev'!AA17</f>
        <v>0</v>
      </c>
      <c r="AC34" s="17">
        <f>'Sales Rev'!AB17</f>
        <v>0</v>
      </c>
      <c r="AD34" s="17">
        <f>'Sales Rev'!AC17</f>
        <v>0</v>
      </c>
      <c r="AE34" s="17">
        <f>'Sales Rev'!AD17</f>
        <v>0</v>
      </c>
      <c r="AF34" s="17">
        <f>'Sales Rev'!AE17</f>
        <v>0</v>
      </c>
      <c r="AG34" s="17">
        <f>'Sales Rev'!AF17</f>
        <v>0</v>
      </c>
      <c r="AH34" s="17">
        <f>'Sales Rev'!AG17</f>
        <v>0</v>
      </c>
      <c r="AI34" s="17">
        <f>'Sales Rev'!AH17</f>
        <v>0</v>
      </c>
      <c r="AJ34" s="17">
        <f>'Sales Rev'!AI17</f>
        <v>0</v>
      </c>
      <c r="AK34" s="17">
        <f>'Sales Rev'!AJ17</f>
        <v>0</v>
      </c>
      <c r="AL34" s="17">
        <f>'Sales Rev'!AK17</f>
        <v>0</v>
      </c>
      <c r="AM34" s="17">
        <f>'Sales Rev'!AL17</f>
        <v>0</v>
      </c>
      <c r="AN34" s="17">
        <f>'Sales Rev'!AM17</f>
        <v>0</v>
      </c>
      <c r="AO34" s="17">
        <f>'Sales Rev'!AN17</f>
        <v>0</v>
      </c>
      <c r="AP34" s="17">
        <f>'Sales Rev'!AO17</f>
        <v>0</v>
      </c>
      <c r="AQ34" s="17">
        <f>'Sales Rev'!AP17</f>
        <v>0</v>
      </c>
      <c r="AR34" s="17">
        <f>'Sales Rev'!AQ17</f>
        <v>0</v>
      </c>
      <c r="AS34" s="17">
        <f>'Sales Rev'!AR17</f>
        <v>0</v>
      </c>
      <c r="AT34" s="17">
        <f>'Sales Rev'!AS17</f>
        <v>0</v>
      </c>
      <c r="AU34" s="17">
        <f>'Sales Rev'!AT17</f>
        <v>0</v>
      </c>
      <c r="AV34" s="17">
        <f>'Sales Rev'!AU17</f>
        <v>0</v>
      </c>
      <c r="AW34" s="17">
        <f>'Sales Rev'!AV17</f>
        <v>0</v>
      </c>
      <c r="AX34" s="17">
        <f>'Sales Rev'!AW17</f>
        <v>335</v>
      </c>
      <c r="AY34" s="17">
        <f>'Sales Rev'!AX17</f>
        <v>351.75000000000006</v>
      </c>
      <c r="AZ34" s="17">
        <f>'Sales Rev'!AY17</f>
        <v>369.33750000000009</v>
      </c>
      <c r="BA34" s="17">
        <f>'Sales Rev'!AZ17</f>
        <v>387.80437500000011</v>
      </c>
      <c r="BB34" s="17">
        <f>'Sales Rev'!BA17</f>
        <v>407.19459375000014</v>
      </c>
      <c r="BC34" s="17">
        <f>'Sales Rev'!BB17</f>
        <v>427.55432343750022</v>
      </c>
      <c r="BD34" s="17">
        <f>'Sales Rev'!BC17</f>
        <v>448.93203960937529</v>
      </c>
      <c r="BE34" s="17">
        <f>'Sales Rev'!BD17</f>
        <v>471.37864158984394</v>
      </c>
      <c r="BF34" s="17">
        <f>'Sales Rev'!BE17</f>
        <v>494.94757366933618</v>
      </c>
      <c r="BG34" s="17">
        <f>'Sales Rev'!BF17</f>
        <v>519.69495235280306</v>
      </c>
      <c r="BH34" s="17">
        <f>'Sales Rev'!BG17</f>
        <v>545.67969997044327</v>
      </c>
      <c r="BI34" s="17">
        <f>'Sales Rev'!BH17</f>
        <v>572.96368496896537</v>
      </c>
      <c r="BJ34" s="17">
        <f>'Sales Rev'!BI17</f>
        <v>1055.2622894175329</v>
      </c>
      <c r="BK34" s="17">
        <f>'Sales Rev'!BJ17</f>
        <v>1108.0254038884098</v>
      </c>
      <c r="BL34" s="17">
        <f>'Sales Rev'!BK17</f>
        <v>1163.4266740828305</v>
      </c>
      <c r="BM34" s="17">
        <f>'Sales Rev'!BL17</f>
        <v>1221.5980077869717</v>
      </c>
      <c r="BN34" s="17">
        <f>'Sales Rev'!BM17</f>
        <v>1282.6779081763207</v>
      </c>
      <c r="BO34" s="17">
        <f>'Sales Rev'!BN17</f>
        <v>1346.8118035851367</v>
      </c>
      <c r="BP34" s="17">
        <f>'Sales Rev'!BO17</f>
        <v>1414.1523937643938</v>
      </c>
      <c r="BQ34" s="17">
        <f>'Sales Rev'!BP17</f>
        <v>1484.8600134526134</v>
      </c>
      <c r="BR34" s="17">
        <f>'Sales Rev'!BQ17</f>
        <v>1559.103014125244</v>
      </c>
      <c r="BS34" s="17">
        <f>'Sales Rev'!BR17</f>
        <v>1637.0581648315065</v>
      </c>
      <c r="BT34" s="17">
        <f>'Sales Rev'!BS17</f>
        <v>1718.911073073082</v>
      </c>
    </row>
    <row r="35" spans="3:72" x14ac:dyDescent="0.3">
      <c r="C35" s="35"/>
      <c r="K35" t="s">
        <v>272</v>
      </c>
      <c r="M35" s="17"/>
      <c r="N35" s="17">
        <f>'Sales Rev'!M15</f>
        <v>0</v>
      </c>
      <c r="O35" s="17">
        <f>'Sales Rev'!N15</f>
        <v>0</v>
      </c>
      <c r="P35" s="17">
        <f>'Sales Rev'!O15</f>
        <v>0</v>
      </c>
      <c r="Q35" s="17">
        <f>'Sales Rev'!P15</f>
        <v>0</v>
      </c>
      <c r="R35" s="17">
        <f>'Sales Rev'!Q15</f>
        <v>0</v>
      </c>
      <c r="S35" s="17">
        <f>'Sales Rev'!R15</f>
        <v>0</v>
      </c>
      <c r="T35" s="17">
        <f>'Sales Rev'!S15</f>
        <v>0</v>
      </c>
      <c r="U35" s="17">
        <f>'Sales Rev'!T15</f>
        <v>0</v>
      </c>
      <c r="V35" s="17">
        <f>'Sales Rev'!U15</f>
        <v>0</v>
      </c>
      <c r="W35" s="17">
        <f>'Sales Rev'!V15</f>
        <v>0</v>
      </c>
      <c r="X35" s="17">
        <f>'Sales Rev'!W15</f>
        <v>0</v>
      </c>
      <c r="Y35" s="17">
        <f>'Sales Rev'!X15</f>
        <v>0</v>
      </c>
      <c r="Z35" s="17">
        <f>'Sales Rev'!Y15</f>
        <v>0</v>
      </c>
      <c r="AA35" s="17">
        <f>'Sales Rev'!Z15</f>
        <v>0</v>
      </c>
      <c r="AB35" s="17">
        <f>'Sales Rev'!AA15</f>
        <v>0</v>
      </c>
      <c r="AC35" s="17">
        <f>'Sales Rev'!AB15</f>
        <v>0</v>
      </c>
      <c r="AD35" s="17">
        <f>'Sales Rev'!AC15</f>
        <v>0</v>
      </c>
      <c r="AE35" s="17">
        <f>'Sales Rev'!AD15</f>
        <v>0</v>
      </c>
      <c r="AF35" s="17">
        <f>'Sales Rev'!AE15</f>
        <v>0</v>
      </c>
      <c r="AG35" s="17">
        <f>'Sales Rev'!AF15</f>
        <v>0</v>
      </c>
      <c r="AH35" s="17">
        <f>'Sales Rev'!AG15</f>
        <v>0</v>
      </c>
      <c r="AI35" s="17">
        <f>'Sales Rev'!AH15</f>
        <v>0</v>
      </c>
      <c r="AJ35" s="17">
        <f>'Sales Rev'!AI15</f>
        <v>0</v>
      </c>
      <c r="AK35" s="17">
        <f>'Sales Rev'!AJ15</f>
        <v>0</v>
      </c>
      <c r="AL35" s="17">
        <f>'Sales Rev'!AK15</f>
        <v>0</v>
      </c>
      <c r="AM35" s="17">
        <f>'Sales Rev'!AL15</f>
        <v>0</v>
      </c>
      <c r="AN35" s="17">
        <f>'Sales Rev'!AM15</f>
        <v>0</v>
      </c>
      <c r="AO35" s="17">
        <f>'Sales Rev'!AN15</f>
        <v>0</v>
      </c>
      <c r="AP35" s="17">
        <f>'Sales Rev'!AO15</f>
        <v>0</v>
      </c>
      <c r="AQ35" s="17">
        <f>'Sales Rev'!AP15</f>
        <v>0</v>
      </c>
      <c r="AR35" s="17">
        <f>'Sales Rev'!AQ15</f>
        <v>0</v>
      </c>
      <c r="AS35" s="17">
        <f>'Sales Rev'!AR15</f>
        <v>0</v>
      </c>
      <c r="AT35" s="17">
        <f>'Sales Rev'!AS15</f>
        <v>0</v>
      </c>
      <c r="AU35" s="17">
        <f>'Sales Rev'!AT15</f>
        <v>0</v>
      </c>
      <c r="AV35" s="17">
        <f>'Sales Rev'!AU15</f>
        <v>0</v>
      </c>
      <c r="AW35" s="17">
        <f>'Sales Rev'!AV15</f>
        <v>0</v>
      </c>
      <c r="AX35" s="17">
        <f>'Sales Rev'!AW15</f>
        <v>134</v>
      </c>
      <c r="AY35" s="17">
        <f>'Sales Rev'!AX15</f>
        <v>140.70000000000002</v>
      </c>
      <c r="AZ35" s="17">
        <f>'Sales Rev'!AY15</f>
        <v>147.73500000000004</v>
      </c>
      <c r="BA35" s="17">
        <f>'Sales Rev'!AZ15</f>
        <v>155.12175000000005</v>
      </c>
      <c r="BB35" s="17">
        <f>'Sales Rev'!BA15</f>
        <v>162.87783750000008</v>
      </c>
      <c r="BC35" s="17">
        <f>'Sales Rev'!BB15</f>
        <v>171.02172937500009</v>
      </c>
      <c r="BD35" s="17">
        <f>'Sales Rev'!BC15</f>
        <v>179.57281584375011</v>
      </c>
      <c r="BE35" s="17">
        <f>'Sales Rev'!BD15</f>
        <v>188.55145663593763</v>
      </c>
      <c r="BF35" s="17">
        <f>'Sales Rev'!BE15</f>
        <v>197.97902946773453</v>
      </c>
      <c r="BG35" s="17">
        <f>'Sales Rev'!BF15</f>
        <v>207.87798094112128</v>
      </c>
      <c r="BH35" s="17">
        <f>'Sales Rev'!BG15</f>
        <v>218.27187998817732</v>
      </c>
      <c r="BI35" s="17">
        <f>'Sales Rev'!BH15</f>
        <v>229.18547398758619</v>
      </c>
      <c r="BJ35" s="17">
        <f>'Sales Rev'!BI15</f>
        <v>449.97158243367988</v>
      </c>
      <c r="BK35" s="17">
        <f>'Sales Rev'!BJ15</f>
        <v>472.47016155536386</v>
      </c>
      <c r="BL35" s="17">
        <f>'Sales Rev'!BK15</f>
        <v>496.09366963313215</v>
      </c>
      <c r="BM35" s="17">
        <f>'Sales Rev'!BL15</f>
        <v>520.89835311478873</v>
      </c>
      <c r="BN35" s="17">
        <f>'Sales Rev'!BM15</f>
        <v>546.94327077052822</v>
      </c>
      <c r="BO35" s="17">
        <f>'Sales Rev'!BN15</f>
        <v>574.2904343090546</v>
      </c>
      <c r="BP35" s="17">
        <f>'Sales Rev'!BO15</f>
        <v>603.00495602450735</v>
      </c>
      <c r="BQ35" s="17">
        <f>'Sales Rev'!BP15</f>
        <v>633.15520382573288</v>
      </c>
      <c r="BR35" s="17">
        <f>'Sales Rev'!BQ15</f>
        <v>664.81296401701957</v>
      </c>
      <c r="BS35" s="17">
        <f>'Sales Rev'!BR15</f>
        <v>698.05361221787052</v>
      </c>
      <c r="BT35" s="17">
        <f>'Sales Rev'!BS15</f>
        <v>732.95629282876416</v>
      </c>
    </row>
    <row r="36" spans="3:72" x14ac:dyDescent="0.3">
      <c r="C36" s="35"/>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row>
    <row r="37" spans="3:72" x14ac:dyDescent="0.3">
      <c r="C37" s="35"/>
      <c r="K37" s="16" t="s">
        <v>287</v>
      </c>
      <c r="M37" s="49">
        <f>SUM(M19:M25,M27,M29:M35)</f>
        <v>500</v>
      </c>
      <c r="N37" s="49">
        <f t="shared" ref="N37:BT37" si="31">SUM(N19:N25,N27,N29:N35)</f>
        <v>500</v>
      </c>
      <c r="O37" s="49">
        <f t="shared" si="31"/>
        <v>500</v>
      </c>
      <c r="P37" s="49">
        <f t="shared" si="31"/>
        <v>500</v>
      </c>
      <c r="Q37" s="49">
        <f t="shared" si="31"/>
        <v>500</v>
      </c>
      <c r="R37" s="49">
        <f t="shared" si="31"/>
        <v>500</v>
      </c>
      <c r="S37" s="49">
        <f t="shared" si="31"/>
        <v>500</v>
      </c>
      <c r="T37" s="49">
        <f t="shared" si="31"/>
        <v>500</v>
      </c>
      <c r="U37" s="49">
        <f t="shared" si="31"/>
        <v>500</v>
      </c>
      <c r="V37" s="49">
        <f t="shared" si="31"/>
        <v>500</v>
      </c>
      <c r="W37" s="49">
        <f t="shared" si="31"/>
        <v>500</v>
      </c>
      <c r="X37" s="49">
        <f t="shared" si="31"/>
        <v>500</v>
      </c>
      <c r="Y37" s="49">
        <f t="shared" si="31"/>
        <v>22312.5</v>
      </c>
      <c r="Z37" s="49">
        <f t="shared" si="31"/>
        <v>22837.5</v>
      </c>
      <c r="AA37" s="49">
        <f t="shared" si="31"/>
        <v>22863.75</v>
      </c>
      <c r="AB37" s="49">
        <f t="shared" si="31"/>
        <v>22891.3125</v>
      </c>
      <c r="AC37" s="49">
        <f t="shared" si="31"/>
        <v>22920.253124999996</v>
      </c>
      <c r="AD37" s="49">
        <f t="shared" si="31"/>
        <v>22950.640781249997</v>
      </c>
      <c r="AE37" s="49">
        <f t="shared" si="31"/>
        <v>22982.547820312499</v>
      </c>
      <c r="AF37" s="49">
        <f t="shared" si="31"/>
        <v>23016.050211328122</v>
      </c>
      <c r="AG37" s="49">
        <f t="shared" si="31"/>
        <v>23051.227721894527</v>
      </c>
      <c r="AH37" s="49">
        <f t="shared" si="31"/>
        <v>23088.164107989254</v>
      </c>
      <c r="AI37" s="49">
        <f t="shared" si="31"/>
        <v>23126.947313388719</v>
      </c>
      <c r="AJ37" s="49">
        <f t="shared" si="31"/>
        <v>23167.669679058152</v>
      </c>
      <c r="AK37" s="49">
        <f t="shared" si="31"/>
        <v>32413.55316301106</v>
      </c>
      <c r="AL37" s="49">
        <f t="shared" si="31"/>
        <v>33328.927377932981</v>
      </c>
      <c r="AM37" s="49">
        <f t="shared" si="31"/>
        <v>33419.592496829631</v>
      </c>
      <c r="AN37" s="49">
        <f t="shared" si="31"/>
        <v>33514.79087167111</v>
      </c>
      <c r="AO37" s="49">
        <f t="shared" si="31"/>
        <v>33614.749165254667</v>
      </c>
      <c r="AP37" s="49">
        <f t="shared" si="31"/>
        <v>33719.705373517398</v>
      </c>
      <c r="AQ37" s="49">
        <f t="shared" si="31"/>
        <v>33829.909392193273</v>
      </c>
      <c r="AR37" s="49">
        <f t="shared" si="31"/>
        <v>33945.623611802941</v>
      </c>
      <c r="AS37" s="49">
        <f t="shared" si="31"/>
        <v>34067.123542393078</v>
      </c>
      <c r="AT37" s="49">
        <f t="shared" si="31"/>
        <v>34194.698469512739</v>
      </c>
      <c r="AU37" s="49">
        <f t="shared" si="31"/>
        <v>34328.652142988372</v>
      </c>
      <c r="AV37" s="49">
        <f t="shared" si="31"/>
        <v>34469.303500137794</v>
      </c>
      <c r="AW37" s="49">
        <f t="shared" si="31"/>
        <v>51713.862425144689</v>
      </c>
      <c r="AX37" s="49">
        <f t="shared" si="31"/>
        <v>53839.401771937664</v>
      </c>
      <c r="AY37" s="49">
        <f t="shared" si="31"/>
        <v>54100.746860534549</v>
      </c>
      <c r="AZ37" s="49">
        <f t="shared" si="31"/>
        <v>54375.159203561285</v>
      </c>
      <c r="BA37" s="49">
        <f t="shared" si="31"/>
        <v>54663.292163739352</v>
      </c>
      <c r="BB37" s="49">
        <f t="shared" si="31"/>
        <v>54965.831771926314</v>
      </c>
      <c r="BC37" s="49">
        <f t="shared" si="31"/>
        <v>55283.498360522637</v>
      </c>
      <c r="BD37" s="49">
        <f t="shared" si="31"/>
        <v>55617.048278548762</v>
      </c>
      <c r="BE37" s="49">
        <f t="shared" si="31"/>
        <v>55967.2756924762</v>
      </c>
      <c r="BF37" s="49">
        <f t="shared" si="31"/>
        <v>56335.01447710002</v>
      </c>
      <c r="BG37" s="49">
        <f t="shared" si="31"/>
        <v>56721.140200955015</v>
      </c>
      <c r="BH37" s="49">
        <f t="shared" si="31"/>
        <v>57126.572211002764</v>
      </c>
      <c r="BI37" s="49">
        <f t="shared" si="31"/>
        <v>66155.400821552903</v>
      </c>
      <c r="BJ37" s="49">
        <f t="shared" si="31"/>
        <v>70168.266230418216</v>
      </c>
      <c r="BK37" s="49">
        <f t="shared" si="31"/>
        <v>70815.898291939127</v>
      </c>
      <c r="BL37" s="49">
        <f t="shared" si="31"/>
        <v>71495.911956536103</v>
      </c>
      <c r="BM37" s="49">
        <f t="shared" si="31"/>
        <v>72209.926304362889</v>
      </c>
      <c r="BN37" s="49">
        <f t="shared" si="31"/>
        <v>72959.641369581019</v>
      </c>
      <c r="BO37" s="49">
        <f t="shared" si="31"/>
        <v>73746.842188060094</v>
      </c>
      <c r="BP37" s="49">
        <f t="shared" si="31"/>
        <v>74573.403047463085</v>
      </c>
      <c r="BQ37" s="49">
        <f t="shared" si="31"/>
        <v>75441.291949836275</v>
      </c>
      <c r="BR37" s="49">
        <f t="shared" si="31"/>
        <v>76352.575297328076</v>
      </c>
      <c r="BS37" s="49">
        <f t="shared" si="31"/>
        <v>77309.422812194491</v>
      </c>
      <c r="BT37" s="49">
        <f t="shared" si="31"/>
        <v>78314.112702804181</v>
      </c>
    </row>
    <row r="38" spans="3:72" x14ac:dyDescent="0.3">
      <c r="C38" s="35"/>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row>
    <row r="39" spans="3:72" x14ac:dyDescent="0.3">
      <c r="C39" s="35"/>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row>
    <row r="40" spans="3:72" x14ac:dyDescent="0.3">
      <c r="C40" s="35"/>
    </row>
    <row r="41" spans="3:72" x14ac:dyDescent="0.3">
      <c r="C41" s="35"/>
    </row>
    <row r="42" spans="3:72" x14ac:dyDescent="0.3">
      <c r="C42" s="35"/>
    </row>
    <row r="43" spans="3:72" x14ac:dyDescent="0.3">
      <c r="C43" s="35"/>
    </row>
    <row r="44" spans="3:72" x14ac:dyDescent="0.3">
      <c r="C44" s="35"/>
    </row>
    <row r="57" spans="1:1" x14ac:dyDescent="0.3">
      <c r="A57" s="28"/>
    </row>
    <row r="58" spans="1:1" x14ac:dyDescent="0.3">
      <c r="A58" s="28"/>
    </row>
    <row r="59" spans="1:1" x14ac:dyDescent="0.3">
      <c r="A59" s="28"/>
    </row>
    <row r="60" spans="1:1" x14ac:dyDescent="0.3">
      <c r="A60" s="28"/>
    </row>
    <row r="61" spans="1:1" x14ac:dyDescent="0.3">
      <c r="A61" s="28"/>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44E74-12C6-407E-BF09-C08D141CFC1C}">
  <sheetPr>
    <tabColor rgb="FFFFFF00"/>
  </sheetPr>
  <dimension ref="A1:BT39"/>
  <sheetViews>
    <sheetView workbookViewId="0"/>
  </sheetViews>
  <sheetFormatPr defaultColWidth="11.44140625" defaultRowHeight="14.4" x14ac:dyDescent="0.3"/>
  <cols>
    <col min="2" max="2" width="37.109375" bestFit="1" customWidth="1"/>
    <col min="3" max="3" width="28.33203125" bestFit="1" customWidth="1"/>
    <col min="4" max="4" width="9" customWidth="1"/>
    <col min="5" max="5" width="9.44140625" customWidth="1"/>
    <col min="6" max="6" width="7.6640625" bestFit="1" customWidth="1"/>
    <col min="7" max="7" width="7.33203125" customWidth="1"/>
    <col min="8" max="9" width="2.44140625" customWidth="1"/>
    <col min="10" max="10" width="11.6640625" bestFit="1" customWidth="1"/>
    <col min="11" max="11" width="37.109375" bestFit="1" customWidth="1"/>
    <col min="12" max="12" width="15.44140625" bestFit="1" customWidth="1"/>
  </cols>
  <sheetData>
    <row r="1" spans="1:72" x14ac:dyDescent="0.3">
      <c r="A1" t="s">
        <v>227</v>
      </c>
    </row>
    <row r="2" spans="1:72" x14ac:dyDescent="0.3">
      <c r="M2" s="78" t="s">
        <v>8</v>
      </c>
      <c r="N2" s="78" t="s">
        <v>8</v>
      </c>
      <c r="O2" s="78" t="s">
        <v>8</v>
      </c>
      <c r="P2" s="78" t="s">
        <v>8</v>
      </c>
      <c r="Q2" s="78" t="s">
        <v>8</v>
      </c>
      <c r="R2" s="78" t="s">
        <v>8</v>
      </c>
      <c r="S2" s="78" t="s">
        <v>8</v>
      </c>
      <c r="T2" s="78" t="s">
        <v>8</v>
      </c>
      <c r="U2" s="78" t="s">
        <v>8</v>
      </c>
      <c r="V2" s="78" t="s">
        <v>8</v>
      </c>
      <c r="W2" s="78" t="s">
        <v>8</v>
      </c>
      <c r="X2" s="78" t="s">
        <v>8</v>
      </c>
      <c r="Y2" s="78" t="s">
        <v>9</v>
      </c>
      <c r="Z2" s="78" t="s">
        <v>9</v>
      </c>
      <c r="AA2" s="78" t="s">
        <v>9</v>
      </c>
      <c r="AB2" s="78" t="s">
        <v>9</v>
      </c>
      <c r="AC2" s="78" t="s">
        <v>9</v>
      </c>
      <c r="AD2" s="78" t="s">
        <v>9</v>
      </c>
      <c r="AE2" s="78" t="s">
        <v>9</v>
      </c>
      <c r="AF2" s="78" t="s">
        <v>9</v>
      </c>
      <c r="AG2" s="78" t="s">
        <v>9</v>
      </c>
      <c r="AH2" s="78" t="s">
        <v>9</v>
      </c>
      <c r="AI2" s="78" t="s">
        <v>9</v>
      </c>
      <c r="AJ2" s="78" t="s">
        <v>9</v>
      </c>
      <c r="AK2" s="78" t="s">
        <v>10</v>
      </c>
      <c r="AL2" s="78" t="s">
        <v>10</v>
      </c>
      <c r="AM2" s="78" t="s">
        <v>10</v>
      </c>
      <c r="AN2" s="78" t="s">
        <v>10</v>
      </c>
      <c r="AO2" s="78" t="s">
        <v>10</v>
      </c>
      <c r="AP2" s="78" t="s">
        <v>10</v>
      </c>
      <c r="AQ2" s="78" t="s">
        <v>10</v>
      </c>
      <c r="AR2" s="78" t="s">
        <v>10</v>
      </c>
      <c r="AS2" s="78" t="s">
        <v>10</v>
      </c>
      <c r="AT2" s="78" t="s">
        <v>10</v>
      </c>
      <c r="AU2" s="78" t="s">
        <v>10</v>
      </c>
      <c r="AV2" s="78" t="s">
        <v>10</v>
      </c>
      <c r="AW2" s="78" t="s">
        <v>11</v>
      </c>
      <c r="AX2" s="78" t="s">
        <v>11</v>
      </c>
      <c r="AY2" s="78" t="s">
        <v>11</v>
      </c>
      <c r="AZ2" s="78" t="s">
        <v>11</v>
      </c>
      <c r="BA2" s="78" t="s">
        <v>11</v>
      </c>
      <c r="BB2" s="78" t="s">
        <v>11</v>
      </c>
      <c r="BC2" s="78" t="s">
        <v>11</v>
      </c>
      <c r="BD2" s="78" t="s">
        <v>11</v>
      </c>
      <c r="BE2" s="78" t="s">
        <v>11</v>
      </c>
      <c r="BF2" s="78" t="s">
        <v>11</v>
      </c>
      <c r="BG2" s="78" t="s">
        <v>11</v>
      </c>
      <c r="BH2" s="78" t="s">
        <v>11</v>
      </c>
      <c r="BI2" s="78" t="s">
        <v>12</v>
      </c>
      <c r="BJ2" s="78" t="s">
        <v>12</v>
      </c>
      <c r="BK2" s="78" t="s">
        <v>12</v>
      </c>
      <c r="BL2" s="78" t="s">
        <v>12</v>
      </c>
      <c r="BM2" s="78" t="s">
        <v>12</v>
      </c>
      <c r="BN2" s="78" t="s">
        <v>12</v>
      </c>
      <c r="BO2" s="78" t="s">
        <v>12</v>
      </c>
      <c r="BP2" s="78" t="s">
        <v>12</v>
      </c>
      <c r="BQ2" s="78" t="s">
        <v>12</v>
      </c>
      <c r="BR2" s="78" t="s">
        <v>12</v>
      </c>
      <c r="BS2" s="78" t="s">
        <v>12</v>
      </c>
      <c r="BT2" s="78" t="s">
        <v>12</v>
      </c>
    </row>
    <row r="3" spans="1:72" x14ac:dyDescent="0.3">
      <c r="A3" s="16" t="s">
        <v>228</v>
      </c>
      <c r="D3" t="s">
        <v>229</v>
      </c>
      <c r="E3" t="s">
        <v>230</v>
      </c>
      <c r="J3" s="16" t="s">
        <v>80</v>
      </c>
      <c r="M3" s="79" t="s">
        <v>14</v>
      </c>
      <c r="N3" s="79" t="s">
        <v>15</v>
      </c>
      <c r="O3" s="79" t="s">
        <v>16</v>
      </c>
      <c r="P3" s="79" t="s">
        <v>17</v>
      </c>
      <c r="Q3" s="79" t="s">
        <v>18</v>
      </c>
      <c r="R3" s="79" t="s">
        <v>19</v>
      </c>
      <c r="S3" s="79" t="s">
        <v>20</v>
      </c>
      <c r="T3" s="79" t="s">
        <v>21</v>
      </c>
      <c r="U3" s="79" t="s">
        <v>22</v>
      </c>
      <c r="V3" s="79" t="s">
        <v>23</v>
      </c>
      <c r="W3" s="79" t="s">
        <v>24</v>
      </c>
      <c r="X3" s="79" t="s">
        <v>25</v>
      </c>
      <c r="Y3" s="79" t="s">
        <v>14</v>
      </c>
      <c r="Z3" s="79" t="s">
        <v>15</v>
      </c>
      <c r="AA3" s="79" t="s">
        <v>16</v>
      </c>
      <c r="AB3" s="79" t="s">
        <v>17</v>
      </c>
      <c r="AC3" s="79" t="s">
        <v>18</v>
      </c>
      <c r="AD3" s="79" t="s">
        <v>19</v>
      </c>
      <c r="AE3" s="79" t="s">
        <v>20</v>
      </c>
      <c r="AF3" s="79" t="s">
        <v>21</v>
      </c>
      <c r="AG3" s="79" t="s">
        <v>22</v>
      </c>
      <c r="AH3" s="79" t="s">
        <v>23</v>
      </c>
      <c r="AI3" s="79" t="s">
        <v>24</v>
      </c>
      <c r="AJ3" s="79" t="s">
        <v>25</v>
      </c>
      <c r="AK3" s="79" t="s">
        <v>14</v>
      </c>
      <c r="AL3" s="79" t="s">
        <v>15</v>
      </c>
      <c r="AM3" s="79" t="s">
        <v>16</v>
      </c>
      <c r="AN3" s="79" t="s">
        <v>17</v>
      </c>
      <c r="AO3" s="79" t="s">
        <v>18</v>
      </c>
      <c r="AP3" s="79" t="s">
        <v>19</v>
      </c>
      <c r="AQ3" s="79" t="s">
        <v>20</v>
      </c>
      <c r="AR3" s="79" t="s">
        <v>21</v>
      </c>
      <c r="AS3" s="79" t="s">
        <v>22</v>
      </c>
      <c r="AT3" s="79" t="s">
        <v>23</v>
      </c>
      <c r="AU3" s="79" t="s">
        <v>24</v>
      </c>
      <c r="AV3" s="79" t="s">
        <v>25</v>
      </c>
      <c r="AW3" s="79" t="s">
        <v>14</v>
      </c>
      <c r="AX3" s="79" t="s">
        <v>15</v>
      </c>
      <c r="AY3" s="79" t="s">
        <v>16</v>
      </c>
      <c r="AZ3" s="79" t="s">
        <v>17</v>
      </c>
      <c r="BA3" s="79" t="s">
        <v>18</v>
      </c>
      <c r="BB3" s="79" t="s">
        <v>19</v>
      </c>
      <c r="BC3" s="79" t="s">
        <v>20</v>
      </c>
      <c r="BD3" s="79" t="s">
        <v>21</v>
      </c>
      <c r="BE3" s="79" t="s">
        <v>22</v>
      </c>
      <c r="BF3" s="79" t="s">
        <v>23</v>
      </c>
      <c r="BG3" s="79" t="s">
        <v>24</v>
      </c>
      <c r="BH3" s="79" t="s">
        <v>25</v>
      </c>
      <c r="BI3" s="79" t="s">
        <v>14</v>
      </c>
      <c r="BJ3" s="79" t="s">
        <v>15</v>
      </c>
      <c r="BK3" s="79" t="s">
        <v>16</v>
      </c>
      <c r="BL3" s="79" t="s">
        <v>17</v>
      </c>
      <c r="BM3" s="79" t="s">
        <v>18</v>
      </c>
      <c r="BN3" s="79" t="s">
        <v>19</v>
      </c>
      <c r="BO3" s="79" t="s">
        <v>20</v>
      </c>
      <c r="BP3" s="79" t="s">
        <v>21</v>
      </c>
      <c r="BQ3" s="79" t="s">
        <v>22</v>
      </c>
      <c r="BR3" s="79" t="s">
        <v>23</v>
      </c>
      <c r="BS3" s="79" t="s">
        <v>24</v>
      </c>
      <c r="BT3" s="79" t="s">
        <v>25</v>
      </c>
    </row>
    <row r="4" spans="1:72" x14ac:dyDescent="0.3">
      <c r="C4" t="s">
        <v>231</v>
      </c>
      <c r="D4" s="57">
        <v>2000</v>
      </c>
      <c r="E4" s="7">
        <v>5</v>
      </c>
      <c r="K4" t="s">
        <v>231</v>
      </c>
      <c r="L4" s="35"/>
      <c r="M4" s="17">
        <f>_xlfn.XLOOKUP(_xlfn.NUMBERVALUE(RIGHT(M$2,1)),$C$11:$G$11,$C28:$G28)*$D4/12/$E4</f>
        <v>100</v>
      </c>
      <c r="N4" s="17">
        <f t="shared" ref="N4:BT5" si="0">_xlfn.XLOOKUP(_xlfn.NUMBERVALUE(RIGHT(N$2,1)),$C$11:$G$11,$C28:$G28)*$D4/12/$E4</f>
        <v>100</v>
      </c>
      <c r="O4" s="17">
        <f t="shared" si="0"/>
        <v>100</v>
      </c>
      <c r="P4" s="17">
        <f t="shared" si="0"/>
        <v>100</v>
      </c>
      <c r="Q4" s="17">
        <f t="shared" si="0"/>
        <v>100</v>
      </c>
      <c r="R4" s="17">
        <f t="shared" si="0"/>
        <v>100</v>
      </c>
      <c r="S4" s="17">
        <f t="shared" si="0"/>
        <v>100</v>
      </c>
      <c r="T4" s="17">
        <f t="shared" si="0"/>
        <v>100</v>
      </c>
      <c r="U4" s="17">
        <f t="shared" si="0"/>
        <v>100</v>
      </c>
      <c r="V4" s="17">
        <f t="shared" si="0"/>
        <v>100</v>
      </c>
      <c r="W4" s="17">
        <f t="shared" si="0"/>
        <v>100</v>
      </c>
      <c r="X4" s="17">
        <f t="shared" si="0"/>
        <v>100</v>
      </c>
      <c r="Y4" s="17">
        <f t="shared" ca="1" si="0"/>
        <v>266.66666666666663</v>
      </c>
      <c r="Z4" s="17">
        <f t="shared" ca="1" si="0"/>
        <v>266.66666666666663</v>
      </c>
      <c r="AA4" s="17">
        <f t="shared" ca="1" si="0"/>
        <v>266.66666666666663</v>
      </c>
      <c r="AB4" s="17">
        <f t="shared" ca="1" si="0"/>
        <v>266.66666666666663</v>
      </c>
      <c r="AC4" s="17">
        <f t="shared" ca="1" si="0"/>
        <v>266.66666666666663</v>
      </c>
      <c r="AD4" s="17">
        <f t="shared" ca="1" si="0"/>
        <v>266.66666666666663</v>
      </c>
      <c r="AE4" s="17">
        <f t="shared" ca="1" si="0"/>
        <v>266.66666666666663</v>
      </c>
      <c r="AF4" s="17">
        <f t="shared" ca="1" si="0"/>
        <v>266.66666666666663</v>
      </c>
      <c r="AG4" s="17">
        <f t="shared" ca="1" si="0"/>
        <v>266.66666666666663</v>
      </c>
      <c r="AH4" s="17">
        <f t="shared" ca="1" si="0"/>
        <v>266.66666666666663</v>
      </c>
      <c r="AI4" s="17">
        <f t="shared" ca="1" si="0"/>
        <v>266.66666666666663</v>
      </c>
      <c r="AJ4" s="17">
        <f t="shared" ca="1" si="0"/>
        <v>266.66666666666663</v>
      </c>
      <c r="AK4" s="17">
        <f t="shared" ca="1" si="0"/>
        <v>533.33333333333326</v>
      </c>
      <c r="AL4" s="17">
        <f t="shared" ca="1" si="0"/>
        <v>533.33333333333326</v>
      </c>
      <c r="AM4" s="17">
        <f t="shared" ca="1" si="0"/>
        <v>533.33333333333326</v>
      </c>
      <c r="AN4" s="17">
        <f t="shared" ca="1" si="0"/>
        <v>533.33333333333326</v>
      </c>
      <c r="AO4" s="17">
        <f t="shared" ca="1" si="0"/>
        <v>533.33333333333326</v>
      </c>
      <c r="AP4" s="17">
        <f t="shared" ca="1" si="0"/>
        <v>533.33333333333326</v>
      </c>
      <c r="AQ4" s="17">
        <f t="shared" ca="1" si="0"/>
        <v>533.33333333333326</v>
      </c>
      <c r="AR4" s="17">
        <f t="shared" ca="1" si="0"/>
        <v>533.33333333333326</v>
      </c>
      <c r="AS4" s="17">
        <f t="shared" ca="1" si="0"/>
        <v>533.33333333333326</v>
      </c>
      <c r="AT4" s="17">
        <f t="shared" ca="1" si="0"/>
        <v>533.33333333333326</v>
      </c>
      <c r="AU4" s="17">
        <f t="shared" ca="1" si="0"/>
        <v>533.33333333333326</v>
      </c>
      <c r="AV4" s="17">
        <f t="shared" ca="1" si="0"/>
        <v>533.33333333333326</v>
      </c>
      <c r="AW4" s="17">
        <f t="shared" ca="1" si="0"/>
        <v>766.66666666666674</v>
      </c>
      <c r="AX4" s="17">
        <f t="shared" ca="1" si="0"/>
        <v>766.66666666666674</v>
      </c>
      <c r="AY4" s="17">
        <f t="shared" ca="1" si="0"/>
        <v>766.66666666666674</v>
      </c>
      <c r="AZ4" s="17">
        <f t="shared" ca="1" si="0"/>
        <v>766.66666666666674</v>
      </c>
      <c r="BA4" s="17">
        <f t="shared" ca="1" si="0"/>
        <v>766.66666666666674</v>
      </c>
      <c r="BB4" s="17">
        <f t="shared" ca="1" si="0"/>
        <v>766.66666666666674</v>
      </c>
      <c r="BC4" s="17">
        <f t="shared" ca="1" si="0"/>
        <v>766.66666666666674</v>
      </c>
      <c r="BD4" s="17">
        <f t="shared" ca="1" si="0"/>
        <v>766.66666666666674</v>
      </c>
      <c r="BE4" s="17">
        <f t="shared" ca="1" si="0"/>
        <v>766.66666666666674</v>
      </c>
      <c r="BF4" s="17">
        <f t="shared" ca="1" si="0"/>
        <v>766.66666666666674</v>
      </c>
      <c r="BG4" s="17">
        <f t="shared" ca="1" si="0"/>
        <v>766.66666666666674</v>
      </c>
      <c r="BH4" s="17">
        <f t="shared" ca="1" si="0"/>
        <v>766.66666666666674</v>
      </c>
      <c r="BI4" s="17">
        <f t="shared" ca="1" si="0"/>
        <v>766.66666666666674</v>
      </c>
      <c r="BJ4" s="17">
        <f t="shared" ca="1" si="0"/>
        <v>766.66666666666674</v>
      </c>
      <c r="BK4" s="17">
        <f t="shared" ca="1" si="0"/>
        <v>766.66666666666674</v>
      </c>
      <c r="BL4" s="17">
        <f t="shared" ca="1" si="0"/>
        <v>766.66666666666674</v>
      </c>
      <c r="BM4" s="17">
        <f t="shared" ca="1" si="0"/>
        <v>766.66666666666674</v>
      </c>
      <c r="BN4" s="17">
        <f t="shared" ca="1" si="0"/>
        <v>766.66666666666674</v>
      </c>
      <c r="BO4" s="17">
        <f t="shared" ca="1" si="0"/>
        <v>766.66666666666674</v>
      </c>
      <c r="BP4" s="17">
        <f t="shared" ca="1" si="0"/>
        <v>766.66666666666674</v>
      </c>
      <c r="BQ4" s="17">
        <f t="shared" ca="1" si="0"/>
        <v>766.66666666666674</v>
      </c>
      <c r="BR4" s="17">
        <f t="shared" ca="1" si="0"/>
        <v>766.66666666666674</v>
      </c>
      <c r="BS4" s="17">
        <f t="shared" ca="1" si="0"/>
        <v>766.66666666666674</v>
      </c>
      <c r="BT4" s="17">
        <f t="shared" ca="1" si="0"/>
        <v>766.66666666666674</v>
      </c>
    </row>
    <row r="5" spans="1:72" x14ac:dyDescent="0.3">
      <c r="C5" t="s">
        <v>232</v>
      </c>
      <c r="D5" s="57">
        <v>4000</v>
      </c>
      <c r="E5" s="7">
        <v>5</v>
      </c>
      <c r="K5" t="s">
        <v>232</v>
      </c>
      <c r="L5" s="35"/>
      <c r="M5" s="17">
        <f t="shared" ref="M5:AB5" si="1">_xlfn.XLOOKUP(_xlfn.NUMBERVALUE(RIGHT(M$2,1)),$C$11:$G$11,$C29:$G29)*$D5/12/$E5</f>
        <v>66.666666666666657</v>
      </c>
      <c r="N5" s="17">
        <f t="shared" si="1"/>
        <v>66.666666666666657</v>
      </c>
      <c r="O5" s="17">
        <f t="shared" si="1"/>
        <v>66.666666666666657</v>
      </c>
      <c r="P5" s="17">
        <f t="shared" si="1"/>
        <v>66.666666666666657</v>
      </c>
      <c r="Q5" s="17">
        <f t="shared" si="1"/>
        <v>66.666666666666657</v>
      </c>
      <c r="R5" s="17">
        <f t="shared" si="1"/>
        <v>66.666666666666657</v>
      </c>
      <c r="S5" s="17">
        <f t="shared" si="1"/>
        <v>66.666666666666657</v>
      </c>
      <c r="T5" s="17">
        <f t="shared" si="1"/>
        <v>66.666666666666657</v>
      </c>
      <c r="U5" s="17">
        <f t="shared" si="1"/>
        <v>66.666666666666657</v>
      </c>
      <c r="V5" s="17">
        <f t="shared" si="1"/>
        <v>66.666666666666657</v>
      </c>
      <c r="W5" s="17">
        <f t="shared" si="1"/>
        <v>66.666666666666657</v>
      </c>
      <c r="X5" s="17">
        <f t="shared" si="1"/>
        <v>66.666666666666657</v>
      </c>
      <c r="Y5" s="17">
        <f t="shared" ca="1" si="1"/>
        <v>66.666666666666657</v>
      </c>
      <c r="Z5" s="17">
        <f t="shared" ca="1" si="1"/>
        <v>66.666666666666657</v>
      </c>
      <c r="AA5" s="17">
        <f t="shared" ca="1" si="1"/>
        <v>66.666666666666657</v>
      </c>
      <c r="AB5" s="17">
        <f t="shared" ca="1" si="1"/>
        <v>66.666666666666657</v>
      </c>
      <c r="AC5" s="17">
        <f t="shared" ca="1" si="0"/>
        <v>66.666666666666657</v>
      </c>
      <c r="AD5" s="17">
        <f t="shared" ca="1" si="0"/>
        <v>66.666666666666657</v>
      </c>
      <c r="AE5" s="17">
        <f t="shared" ca="1" si="0"/>
        <v>66.666666666666657</v>
      </c>
      <c r="AF5" s="17">
        <f t="shared" ca="1" si="0"/>
        <v>66.666666666666657</v>
      </c>
      <c r="AG5" s="17">
        <f t="shared" ca="1" si="0"/>
        <v>66.666666666666657</v>
      </c>
      <c r="AH5" s="17">
        <f t="shared" ca="1" si="0"/>
        <v>66.666666666666657</v>
      </c>
      <c r="AI5" s="17">
        <f t="shared" ca="1" si="0"/>
        <v>66.666666666666657</v>
      </c>
      <c r="AJ5" s="17">
        <f t="shared" ca="1" si="0"/>
        <v>66.666666666666657</v>
      </c>
      <c r="AK5" s="17">
        <f t="shared" ca="1" si="0"/>
        <v>66.666666666666657</v>
      </c>
      <c r="AL5" s="17">
        <f t="shared" ca="1" si="0"/>
        <v>66.666666666666657</v>
      </c>
      <c r="AM5" s="17">
        <f t="shared" ca="1" si="0"/>
        <v>66.666666666666657</v>
      </c>
      <c r="AN5" s="17">
        <f t="shared" ca="1" si="0"/>
        <v>66.666666666666657</v>
      </c>
      <c r="AO5" s="17">
        <f t="shared" ca="1" si="0"/>
        <v>66.666666666666657</v>
      </c>
      <c r="AP5" s="17">
        <f t="shared" ca="1" si="0"/>
        <v>66.666666666666657</v>
      </c>
      <c r="AQ5" s="17">
        <f t="shared" ca="1" si="0"/>
        <v>66.666666666666657</v>
      </c>
      <c r="AR5" s="17">
        <f t="shared" ca="1" si="0"/>
        <v>66.666666666666657</v>
      </c>
      <c r="AS5" s="17">
        <f t="shared" ca="1" si="0"/>
        <v>66.666666666666657</v>
      </c>
      <c r="AT5" s="17">
        <f t="shared" ca="1" si="0"/>
        <v>66.666666666666657</v>
      </c>
      <c r="AU5" s="17">
        <f t="shared" ca="1" si="0"/>
        <v>66.666666666666657</v>
      </c>
      <c r="AV5" s="17">
        <f t="shared" ca="1" si="0"/>
        <v>66.666666666666657</v>
      </c>
      <c r="AW5" s="17">
        <f t="shared" ca="1" si="0"/>
        <v>66.666666666666657</v>
      </c>
      <c r="AX5" s="17">
        <f t="shared" ca="1" si="0"/>
        <v>66.666666666666657</v>
      </c>
      <c r="AY5" s="17">
        <f t="shared" ca="1" si="0"/>
        <v>66.666666666666657</v>
      </c>
      <c r="AZ5" s="17">
        <f t="shared" ca="1" si="0"/>
        <v>66.666666666666657</v>
      </c>
      <c r="BA5" s="17">
        <f t="shared" ca="1" si="0"/>
        <v>66.666666666666657</v>
      </c>
      <c r="BB5" s="17">
        <f t="shared" ca="1" si="0"/>
        <v>66.666666666666657</v>
      </c>
      <c r="BC5" s="17">
        <f t="shared" ca="1" si="0"/>
        <v>66.666666666666657</v>
      </c>
      <c r="BD5" s="17">
        <f t="shared" ca="1" si="0"/>
        <v>66.666666666666657</v>
      </c>
      <c r="BE5" s="17">
        <f t="shared" ca="1" si="0"/>
        <v>66.666666666666657</v>
      </c>
      <c r="BF5" s="17">
        <f t="shared" ca="1" si="0"/>
        <v>66.666666666666657</v>
      </c>
      <c r="BG5" s="17">
        <f t="shared" ca="1" si="0"/>
        <v>66.666666666666657</v>
      </c>
      <c r="BH5" s="17">
        <f t="shared" ca="1" si="0"/>
        <v>66.666666666666657</v>
      </c>
      <c r="BI5" s="17">
        <f t="shared" ca="1" si="0"/>
        <v>66.666666666666657</v>
      </c>
      <c r="BJ5" s="17">
        <f t="shared" ca="1" si="0"/>
        <v>66.666666666666657</v>
      </c>
      <c r="BK5" s="17">
        <f t="shared" ca="1" si="0"/>
        <v>66.666666666666657</v>
      </c>
      <c r="BL5" s="17">
        <f t="shared" ca="1" si="0"/>
        <v>66.666666666666657</v>
      </c>
      <c r="BM5" s="17">
        <f t="shared" ca="1" si="0"/>
        <v>66.666666666666657</v>
      </c>
      <c r="BN5" s="17">
        <f t="shared" ca="1" si="0"/>
        <v>66.666666666666657</v>
      </c>
      <c r="BO5" s="17">
        <f t="shared" ca="1" si="0"/>
        <v>66.666666666666657</v>
      </c>
      <c r="BP5" s="17">
        <f t="shared" ca="1" si="0"/>
        <v>66.666666666666657</v>
      </c>
      <c r="BQ5" s="17">
        <f t="shared" ca="1" si="0"/>
        <v>66.666666666666657</v>
      </c>
      <c r="BR5" s="17">
        <f t="shared" ca="1" si="0"/>
        <v>66.666666666666657</v>
      </c>
      <c r="BS5" s="17">
        <f t="shared" ca="1" si="0"/>
        <v>66.666666666666657</v>
      </c>
      <c r="BT5" s="17">
        <f t="shared" ca="1" si="0"/>
        <v>66.666666666666657</v>
      </c>
    </row>
    <row r="6" spans="1:72" x14ac:dyDescent="0.3">
      <c r="C6" t="s">
        <v>233</v>
      </c>
      <c r="D6" s="57">
        <v>1000</v>
      </c>
      <c r="E6" s="7">
        <v>5</v>
      </c>
      <c r="K6" t="s">
        <v>233</v>
      </c>
      <c r="L6" s="35"/>
      <c r="M6" s="17">
        <f t="shared" ref="M6:AR6" si="2">_xlfn.XLOOKUP(_xlfn.NUMBERVALUE(RIGHT(M$2,1)),$C$11:$G$11,$C30:$G30)*$D6/12/$E6</f>
        <v>50</v>
      </c>
      <c r="N6" s="17">
        <f t="shared" si="2"/>
        <v>50</v>
      </c>
      <c r="O6" s="17">
        <f t="shared" si="2"/>
        <v>50</v>
      </c>
      <c r="P6" s="17">
        <f t="shared" si="2"/>
        <v>50</v>
      </c>
      <c r="Q6" s="17">
        <f t="shared" si="2"/>
        <v>50</v>
      </c>
      <c r="R6" s="17">
        <f t="shared" si="2"/>
        <v>50</v>
      </c>
      <c r="S6" s="17">
        <f t="shared" si="2"/>
        <v>50</v>
      </c>
      <c r="T6" s="17">
        <f t="shared" si="2"/>
        <v>50</v>
      </c>
      <c r="U6" s="17">
        <f t="shared" si="2"/>
        <v>50</v>
      </c>
      <c r="V6" s="17">
        <f t="shared" si="2"/>
        <v>50</v>
      </c>
      <c r="W6" s="17">
        <f t="shared" si="2"/>
        <v>50</v>
      </c>
      <c r="X6" s="17">
        <f t="shared" si="2"/>
        <v>50</v>
      </c>
      <c r="Y6" s="17">
        <f t="shared" ca="1" si="2"/>
        <v>133.33333333333331</v>
      </c>
      <c r="Z6" s="17">
        <f t="shared" ca="1" si="2"/>
        <v>133.33333333333331</v>
      </c>
      <c r="AA6" s="17">
        <f t="shared" ca="1" si="2"/>
        <v>133.33333333333331</v>
      </c>
      <c r="AB6" s="17">
        <f t="shared" ca="1" si="2"/>
        <v>133.33333333333331</v>
      </c>
      <c r="AC6" s="17">
        <f t="shared" ca="1" si="2"/>
        <v>133.33333333333331</v>
      </c>
      <c r="AD6" s="17">
        <f t="shared" ca="1" si="2"/>
        <v>133.33333333333331</v>
      </c>
      <c r="AE6" s="17">
        <f t="shared" ca="1" si="2"/>
        <v>133.33333333333331</v>
      </c>
      <c r="AF6" s="17">
        <f t="shared" ca="1" si="2"/>
        <v>133.33333333333331</v>
      </c>
      <c r="AG6" s="17">
        <f t="shared" ca="1" si="2"/>
        <v>133.33333333333331</v>
      </c>
      <c r="AH6" s="17">
        <f t="shared" ca="1" si="2"/>
        <v>133.33333333333331</v>
      </c>
      <c r="AI6" s="17">
        <f t="shared" ca="1" si="2"/>
        <v>133.33333333333331</v>
      </c>
      <c r="AJ6" s="17">
        <f t="shared" ca="1" si="2"/>
        <v>133.33333333333331</v>
      </c>
      <c r="AK6" s="17">
        <f t="shared" ca="1" si="2"/>
        <v>266.66666666666663</v>
      </c>
      <c r="AL6" s="17">
        <f t="shared" ca="1" si="2"/>
        <v>266.66666666666663</v>
      </c>
      <c r="AM6" s="17">
        <f t="shared" ca="1" si="2"/>
        <v>266.66666666666663</v>
      </c>
      <c r="AN6" s="17">
        <f t="shared" ca="1" si="2"/>
        <v>266.66666666666663</v>
      </c>
      <c r="AO6" s="17">
        <f t="shared" ca="1" si="2"/>
        <v>266.66666666666663</v>
      </c>
      <c r="AP6" s="17">
        <f t="shared" ca="1" si="2"/>
        <v>266.66666666666663</v>
      </c>
      <c r="AQ6" s="17">
        <f t="shared" ca="1" si="2"/>
        <v>266.66666666666663</v>
      </c>
      <c r="AR6" s="17">
        <f t="shared" ca="1" si="2"/>
        <v>266.66666666666663</v>
      </c>
      <c r="AS6" s="17">
        <f t="shared" ref="AS6:BT6" ca="1" si="3">_xlfn.XLOOKUP(_xlfn.NUMBERVALUE(RIGHT(AS$2,1)),$C$11:$G$11,$C30:$G30)*$D6/12/$E6</f>
        <v>266.66666666666663</v>
      </c>
      <c r="AT6" s="17">
        <f t="shared" ca="1" si="3"/>
        <v>266.66666666666663</v>
      </c>
      <c r="AU6" s="17">
        <f t="shared" ca="1" si="3"/>
        <v>266.66666666666663</v>
      </c>
      <c r="AV6" s="17">
        <f t="shared" ca="1" si="3"/>
        <v>266.66666666666663</v>
      </c>
      <c r="AW6" s="17">
        <f t="shared" ca="1" si="3"/>
        <v>383.33333333333337</v>
      </c>
      <c r="AX6" s="17">
        <f t="shared" ca="1" si="3"/>
        <v>383.33333333333337</v>
      </c>
      <c r="AY6" s="17">
        <f t="shared" ca="1" si="3"/>
        <v>383.33333333333337</v>
      </c>
      <c r="AZ6" s="17">
        <f t="shared" ca="1" si="3"/>
        <v>383.33333333333337</v>
      </c>
      <c r="BA6" s="17">
        <f t="shared" ca="1" si="3"/>
        <v>383.33333333333337</v>
      </c>
      <c r="BB6" s="17">
        <f t="shared" ca="1" si="3"/>
        <v>383.33333333333337</v>
      </c>
      <c r="BC6" s="17">
        <f t="shared" ca="1" si="3"/>
        <v>383.33333333333337</v>
      </c>
      <c r="BD6" s="17">
        <f t="shared" ca="1" si="3"/>
        <v>383.33333333333337</v>
      </c>
      <c r="BE6" s="17">
        <f t="shared" ca="1" si="3"/>
        <v>383.33333333333337</v>
      </c>
      <c r="BF6" s="17">
        <f t="shared" ca="1" si="3"/>
        <v>383.33333333333337</v>
      </c>
      <c r="BG6" s="17">
        <f t="shared" ca="1" si="3"/>
        <v>383.33333333333337</v>
      </c>
      <c r="BH6" s="17">
        <f t="shared" ca="1" si="3"/>
        <v>383.33333333333337</v>
      </c>
      <c r="BI6" s="17">
        <f t="shared" ca="1" si="3"/>
        <v>383.33333333333337</v>
      </c>
      <c r="BJ6" s="17">
        <f t="shared" ca="1" si="3"/>
        <v>383.33333333333337</v>
      </c>
      <c r="BK6" s="17">
        <f t="shared" ca="1" si="3"/>
        <v>383.33333333333337</v>
      </c>
      <c r="BL6" s="17">
        <f t="shared" ca="1" si="3"/>
        <v>383.33333333333337</v>
      </c>
      <c r="BM6" s="17">
        <f t="shared" ca="1" si="3"/>
        <v>383.33333333333337</v>
      </c>
      <c r="BN6" s="17">
        <f t="shared" ca="1" si="3"/>
        <v>383.33333333333337</v>
      </c>
      <c r="BO6" s="17">
        <f t="shared" ca="1" si="3"/>
        <v>383.33333333333337</v>
      </c>
      <c r="BP6" s="17">
        <f t="shared" ca="1" si="3"/>
        <v>383.33333333333337</v>
      </c>
      <c r="BQ6" s="17">
        <f t="shared" ca="1" si="3"/>
        <v>383.33333333333337</v>
      </c>
      <c r="BR6" s="17">
        <f t="shared" ca="1" si="3"/>
        <v>383.33333333333337</v>
      </c>
      <c r="BS6" s="17">
        <f t="shared" ca="1" si="3"/>
        <v>383.33333333333337</v>
      </c>
      <c r="BT6" s="17">
        <f t="shared" ca="1" si="3"/>
        <v>383.33333333333337</v>
      </c>
    </row>
    <row r="7" spans="1:72" x14ac:dyDescent="0.3">
      <c r="C7" t="s">
        <v>234</v>
      </c>
      <c r="D7" s="57">
        <v>15000</v>
      </c>
      <c r="E7" s="7">
        <v>5</v>
      </c>
      <c r="K7" t="s">
        <v>234</v>
      </c>
      <c r="L7" s="35"/>
      <c r="M7" s="17">
        <f t="shared" ref="M7:AR7" si="4">_xlfn.XLOOKUP(_xlfn.NUMBERVALUE(RIGHT(M$2,1)),$C$11:$G$11,$C31:$G31)*$D7/12/$E7</f>
        <v>250</v>
      </c>
      <c r="N7" s="17">
        <f t="shared" si="4"/>
        <v>250</v>
      </c>
      <c r="O7" s="17">
        <f t="shared" si="4"/>
        <v>250</v>
      </c>
      <c r="P7" s="17">
        <f t="shared" si="4"/>
        <v>250</v>
      </c>
      <c r="Q7" s="17">
        <f t="shared" si="4"/>
        <v>250</v>
      </c>
      <c r="R7" s="17">
        <f t="shared" si="4"/>
        <v>250</v>
      </c>
      <c r="S7" s="17">
        <f t="shared" si="4"/>
        <v>250</v>
      </c>
      <c r="T7" s="17">
        <f t="shared" si="4"/>
        <v>250</v>
      </c>
      <c r="U7" s="17">
        <f t="shared" si="4"/>
        <v>250</v>
      </c>
      <c r="V7" s="17">
        <f t="shared" si="4"/>
        <v>250</v>
      </c>
      <c r="W7" s="17">
        <f t="shared" si="4"/>
        <v>250</v>
      </c>
      <c r="X7" s="17">
        <f t="shared" si="4"/>
        <v>250</v>
      </c>
      <c r="Y7" s="17">
        <f t="shared" ca="1" si="4"/>
        <v>250</v>
      </c>
      <c r="Z7" s="17">
        <f t="shared" ca="1" si="4"/>
        <v>250</v>
      </c>
      <c r="AA7" s="17">
        <f t="shared" ca="1" si="4"/>
        <v>250</v>
      </c>
      <c r="AB7" s="17">
        <f t="shared" ca="1" si="4"/>
        <v>250</v>
      </c>
      <c r="AC7" s="17">
        <f t="shared" ca="1" si="4"/>
        <v>250</v>
      </c>
      <c r="AD7" s="17">
        <f t="shared" ca="1" si="4"/>
        <v>250</v>
      </c>
      <c r="AE7" s="17">
        <f t="shared" ca="1" si="4"/>
        <v>250</v>
      </c>
      <c r="AF7" s="17">
        <f t="shared" ca="1" si="4"/>
        <v>250</v>
      </c>
      <c r="AG7" s="17">
        <f t="shared" ca="1" si="4"/>
        <v>250</v>
      </c>
      <c r="AH7" s="17">
        <f t="shared" ca="1" si="4"/>
        <v>250</v>
      </c>
      <c r="AI7" s="17">
        <f t="shared" ca="1" si="4"/>
        <v>250</v>
      </c>
      <c r="AJ7" s="17">
        <f t="shared" ca="1" si="4"/>
        <v>250</v>
      </c>
      <c r="AK7" s="17">
        <f t="shared" ca="1" si="4"/>
        <v>250</v>
      </c>
      <c r="AL7" s="17">
        <f t="shared" ca="1" si="4"/>
        <v>250</v>
      </c>
      <c r="AM7" s="17">
        <f t="shared" ca="1" si="4"/>
        <v>250</v>
      </c>
      <c r="AN7" s="17">
        <f t="shared" ca="1" si="4"/>
        <v>250</v>
      </c>
      <c r="AO7" s="17">
        <f t="shared" ca="1" si="4"/>
        <v>250</v>
      </c>
      <c r="AP7" s="17">
        <f t="shared" ca="1" si="4"/>
        <v>250</v>
      </c>
      <c r="AQ7" s="17">
        <f t="shared" ca="1" si="4"/>
        <v>250</v>
      </c>
      <c r="AR7" s="17">
        <f t="shared" ca="1" si="4"/>
        <v>250</v>
      </c>
      <c r="AS7" s="17">
        <f t="shared" ref="AS7:BT7" ca="1" si="5">_xlfn.XLOOKUP(_xlfn.NUMBERVALUE(RIGHT(AS$2,1)),$C$11:$G$11,$C31:$G31)*$D7/12/$E7</f>
        <v>250</v>
      </c>
      <c r="AT7" s="17">
        <f t="shared" ca="1" si="5"/>
        <v>250</v>
      </c>
      <c r="AU7" s="17">
        <f t="shared" ca="1" si="5"/>
        <v>250</v>
      </c>
      <c r="AV7" s="17">
        <f t="shared" ca="1" si="5"/>
        <v>250</v>
      </c>
      <c r="AW7" s="17">
        <f t="shared" ca="1" si="5"/>
        <v>250</v>
      </c>
      <c r="AX7" s="17">
        <f t="shared" ca="1" si="5"/>
        <v>250</v>
      </c>
      <c r="AY7" s="17">
        <f t="shared" ca="1" si="5"/>
        <v>250</v>
      </c>
      <c r="AZ7" s="17">
        <f t="shared" ca="1" si="5"/>
        <v>250</v>
      </c>
      <c r="BA7" s="17">
        <f t="shared" ca="1" si="5"/>
        <v>250</v>
      </c>
      <c r="BB7" s="17">
        <f t="shared" ca="1" si="5"/>
        <v>250</v>
      </c>
      <c r="BC7" s="17">
        <f t="shared" ca="1" si="5"/>
        <v>250</v>
      </c>
      <c r="BD7" s="17">
        <f t="shared" ca="1" si="5"/>
        <v>250</v>
      </c>
      <c r="BE7" s="17">
        <f t="shared" ca="1" si="5"/>
        <v>250</v>
      </c>
      <c r="BF7" s="17">
        <f t="shared" ca="1" si="5"/>
        <v>250</v>
      </c>
      <c r="BG7" s="17">
        <f t="shared" ca="1" si="5"/>
        <v>250</v>
      </c>
      <c r="BH7" s="17">
        <f t="shared" ca="1" si="5"/>
        <v>250</v>
      </c>
      <c r="BI7" s="17">
        <f t="shared" ca="1" si="5"/>
        <v>250</v>
      </c>
      <c r="BJ7" s="17">
        <f t="shared" ca="1" si="5"/>
        <v>250</v>
      </c>
      <c r="BK7" s="17">
        <f t="shared" ca="1" si="5"/>
        <v>250</v>
      </c>
      <c r="BL7" s="17">
        <f t="shared" ca="1" si="5"/>
        <v>250</v>
      </c>
      <c r="BM7" s="17">
        <f t="shared" ca="1" si="5"/>
        <v>250</v>
      </c>
      <c r="BN7" s="17">
        <f t="shared" ca="1" si="5"/>
        <v>250</v>
      </c>
      <c r="BO7" s="17">
        <f t="shared" ca="1" si="5"/>
        <v>250</v>
      </c>
      <c r="BP7" s="17">
        <f t="shared" ca="1" si="5"/>
        <v>250</v>
      </c>
      <c r="BQ7" s="17">
        <f t="shared" ca="1" si="5"/>
        <v>250</v>
      </c>
      <c r="BR7" s="17">
        <f t="shared" ca="1" si="5"/>
        <v>250</v>
      </c>
      <c r="BS7" s="17">
        <f t="shared" ca="1" si="5"/>
        <v>250</v>
      </c>
      <c r="BT7" s="17">
        <f t="shared" ca="1" si="5"/>
        <v>250</v>
      </c>
    </row>
    <row r="8" spans="1:72" x14ac:dyDescent="0.3">
      <c r="D8" s="57"/>
      <c r="E8" s="7"/>
    </row>
    <row r="9" spans="1:72" x14ac:dyDescent="0.3">
      <c r="L9" s="16" t="s">
        <v>236</v>
      </c>
      <c r="M9" s="34">
        <f>SUM(M4:M7)</f>
        <v>466.66666666666663</v>
      </c>
      <c r="N9" s="34">
        <f t="shared" ref="N9:BT9" si="6">SUM(N4:N7)</f>
        <v>466.66666666666663</v>
      </c>
      <c r="O9" s="34">
        <f t="shared" si="6"/>
        <v>466.66666666666663</v>
      </c>
      <c r="P9" s="34">
        <f t="shared" si="6"/>
        <v>466.66666666666663</v>
      </c>
      <c r="Q9" s="34">
        <f t="shared" si="6"/>
        <v>466.66666666666663</v>
      </c>
      <c r="R9" s="34">
        <f t="shared" si="6"/>
        <v>466.66666666666663</v>
      </c>
      <c r="S9" s="34">
        <f t="shared" si="6"/>
        <v>466.66666666666663</v>
      </c>
      <c r="T9" s="34">
        <f t="shared" si="6"/>
        <v>466.66666666666663</v>
      </c>
      <c r="U9" s="34">
        <f t="shared" si="6"/>
        <v>466.66666666666663</v>
      </c>
      <c r="V9" s="34">
        <f t="shared" si="6"/>
        <v>466.66666666666663</v>
      </c>
      <c r="W9" s="34">
        <f t="shared" si="6"/>
        <v>466.66666666666663</v>
      </c>
      <c r="X9" s="34">
        <f t="shared" si="6"/>
        <v>466.66666666666663</v>
      </c>
      <c r="Y9" s="34">
        <f t="shared" ca="1" si="6"/>
        <v>716.66666666666652</v>
      </c>
      <c r="Z9" s="34">
        <f t="shared" ca="1" si="6"/>
        <v>716.66666666666652</v>
      </c>
      <c r="AA9" s="34">
        <f t="shared" ca="1" si="6"/>
        <v>716.66666666666652</v>
      </c>
      <c r="AB9" s="34">
        <f t="shared" ca="1" si="6"/>
        <v>716.66666666666652</v>
      </c>
      <c r="AC9" s="34">
        <f t="shared" ca="1" si="6"/>
        <v>716.66666666666652</v>
      </c>
      <c r="AD9" s="34">
        <f t="shared" ca="1" si="6"/>
        <v>716.66666666666652</v>
      </c>
      <c r="AE9" s="34">
        <f t="shared" ca="1" si="6"/>
        <v>716.66666666666652</v>
      </c>
      <c r="AF9" s="34">
        <f t="shared" ca="1" si="6"/>
        <v>716.66666666666652</v>
      </c>
      <c r="AG9" s="34">
        <f t="shared" ca="1" si="6"/>
        <v>716.66666666666652</v>
      </c>
      <c r="AH9" s="34">
        <f t="shared" ca="1" si="6"/>
        <v>716.66666666666652</v>
      </c>
      <c r="AI9" s="34">
        <f t="shared" ca="1" si="6"/>
        <v>716.66666666666652</v>
      </c>
      <c r="AJ9" s="34">
        <f t="shared" ca="1" si="6"/>
        <v>716.66666666666652</v>
      </c>
      <c r="AK9" s="34">
        <f t="shared" ca="1" si="6"/>
        <v>1116.6666666666665</v>
      </c>
      <c r="AL9" s="34">
        <f t="shared" ca="1" si="6"/>
        <v>1116.6666666666665</v>
      </c>
      <c r="AM9" s="34">
        <f t="shared" ca="1" si="6"/>
        <v>1116.6666666666665</v>
      </c>
      <c r="AN9" s="34">
        <f t="shared" ca="1" si="6"/>
        <v>1116.6666666666665</v>
      </c>
      <c r="AO9" s="34">
        <f t="shared" ca="1" si="6"/>
        <v>1116.6666666666665</v>
      </c>
      <c r="AP9" s="34">
        <f t="shared" ca="1" si="6"/>
        <v>1116.6666666666665</v>
      </c>
      <c r="AQ9" s="34">
        <f t="shared" ca="1" si="6"/>
        <v>1116.6666666666665</v>
      </c>
      <c r="AR9" s="34">
        <f t="shared" ca="1" si="6"/>
        <v>1116.6666666666665</v>
      </c>
      <c r="AS9" s="34">
        <f t="shared" ca="1" si="6"/>
        <v>1116.6666666666665</v>
      </c>
      <c r="AT9" s="34">
        <f t="shared" ca="1" si="6"/>
        <v>1116.6666666666665</v>
      </c>
      <c r="AU9" s="34">
        <f t="shared" ca="1" si="6"/>
        <v>1116.6666666666665</v>
      </c>
      <c r="AV9" s="34">
        <f t="shared" ca="1" si="6"/>
        <v>1116.6666666666665</v>
      </c>
      <c r="AW9" s="34">
        <f t="shared" ca="1" si="6"/>
        <v>1466.6666666666667</v>
      </c>
      <c r="AX9" s="34">
        <f t="shared" ca="1" si="6"/>
        <v>1466.6666666666667</v>
      </c>
      <c r="AY9" s="34">
        <f t="shared" ca="1" si="6"/>
        <v>1466.6666666666667</v>
      </c>
      <c r="AZ9" s="34">
        <f t="shared" ca="1" si="6"/>
        <v>1466.6666666666667</v>
      </c>
      <c r="BA9" s="34">
        <f t="shared" ca="1" si="6"/>
        <v>1466.6666666666667</v>
      </c>
      <c r="BB9" s="34">
        <f t="shared" ca="1" si="6"/>
        <v>1466.6666666666667</v>
      </c>
      <c r="BC9" s="34">
        <f t="shared" ca="1" si="6"/>
        <v>1466.6666666666667</v>
      </c>
      <c r="BD9" s="34">
        <f t="shared" ca="1" si="6"/>
        <v>1466.6666666666667</v>
      </c>
      <c r="BE9" s="34">
        <f t="shared" ca="1" si="6"/>
        <v>1466.6666666666667</v>
      </c>
      <c r="BF9" s="34">
        <f t="shared" ca="1" si="6"/>
        <v>1466.6666666666667</v>
      </c>
      <c r="BG9" s="34">
        <f t="shared" ca="1" si="6"/>
        <v>1466.6666666666667</v>
      </c>
      <c r="BH9" s="34">
        <f t="shared" ca="1" si="6"/>
        <v>1466.6666666666667</v>
      </c>
      <c r="BI9" s="34">
        <f t="shared" ca="1" si="6"/>
        <v>1466.6666666666667</v>
      </c>
      <c r="BJ9" s="34">
        <f t="shared" ca="1" si="6"/>
        <v>1466.6666666666667</v>
      </c>
      <c r="BK9" s="34">
        <f t="shared" ca="1" si="6"/>
        <v>1466.6666666666667</v>
      </c>
      <c r="BL9" s="34">
        <f t="shared" ca="1" si="6"/>
        <v>1466.6666666666667</v>
      </c>
      <c r="BM9" s="34">
        <f t="shared" ca="1" si="6"/>
        <v>1466.6666666666667</v>
      </c>
      <c r="BN9" s="34">
        <f t="shared" ca="1" si="6"/>
        <v>1466.6666666666667</v>
      </c>
      <c r="BO9" s="34">
        <f t="shared" ca="1" si="6"/>
        <v>1466.6666666666667</v>
      </c>
      <c r="BP9" s="34">
        <f t="shared" ca="1" si="6"/>
        <v>1466.6666666666667</v>
      </c>
      <c r="BQ9" s="34">
        <f t="shared" ca="1" si="6"/>
        <v>1466.6666666666667</v>
      </c>
      <c r="BR9" s="34">
        <f t="shared" ca="1" si="6"/>
        <v>1466.6666666666667</v>
      </c>
      <c r="BS9" s="34">
        <f t="shared" ca="1" si="6"/>
        <v>1466.6666666666667</v>
      </c>
      <c r="BT9" s="34">
        <f t="shared" ca="1" si="6"/>
        <v>1466.6666666666667</v>
      </c>
    </row>
    <row r="10" spans="1:72" x14ac:dyDescent="0.3">
      <c r="A10" s="16" t="s">
        <v>235</v>
      </c>
      <c r="M10" s="35"/>
    </row>
    <row r="11" spans="1:72" x14ac:dyDescent="0.3">
      <c r="B11" t="s">
        <v>27</v>
      </c>
      <c r="C11">
        <v>1</v>
      </c>
      <c r="D11">
        <v>2</v>
      </c>
      <c r="E11">
        <v>3</v>
      </c>
      <c r="F11">
        <v>4</v>
      </c>
      <c r="G11">
        <v>5</v>
      </c>
      <c r="J11" s="16" t="s">
        <v>237</v>
      </c>
    </row>
    <row r="12" spans="1:72" x14ac:dyDescent="0.3">
      <c r="K12" t="s">
        <v>231</v>
      </c>
      <c r="L12" s="35"/>
      <c r="M12" s="35">
        <f>_xlfn.XLOOKUP(_xlfn.NUMBERVALUE(RIGHT(M$2,1)),$C$11:$G$11,$C13:$G13)*_xlfn.XLOOKUP($K12,$C$4:$C$8,$D$4:$D$8)-SUM($M4:M4)</f>
        <v>5900</v>
      </c>
      <c r="N12" s="35">
        <f>_xlfn.XLOOKUP(_xlfn.NUMBERVALUE(RIGHT(N$2,1)),$C$11:$G$11,$C13:$G13)*_xlfn.XLOOKUP($K12,$C$4:$C$8,$D$4:$D$8)-SUM($M4:N4)</f>
        <v>5800</v>
      </c>
      <c r="O12" s="35">
        <f>_xlfn.XLOOKUP(_xlfn.NUMBERVALUE(RIGHT(O$2,1)),$C$11:$G$11,$C13:$G13)*_xlfn.XLOOKUP($K12,$C$4:$C$8,$D$4:$D$8)-SUM($M4:O4)</f>
        <v>5700</v>
      </c>
      <c r="P12" s="35">
        <f>_xlfn.XLOOKUP(_xlfn.NUMBERVALUE(RIGHT(P$2,1)),$C$11:$G$11,$C13:$G13)*_xlfn.XLOOKUP($K12,$C$4:$C$8,$D$4:$D$8)-SUM($M4:P4)</f>
        <v>5600</v>
      </c>
      <c r="Q12" s="35">
        <f>_xlfn.XLOOKUP(_xlfn.NUMBERVALUE(RIGHT(Q$2,1)),$C$11:$G$11,$C13:$G13)*_xlfn.XLOOKUP($K12,$C$4:$C$8,$D$4:$D$8)-SUM($M4:Q4)</f>
        <v>5500</v>
      </c>
      <c r="R12" s="35">
        <f>_xlfn.XLOOKUP(_xlfn.NUMBERVALUE(RIGHT(R$2,1)),$C$11:$G$11,$C13:$G13)*_xlfn.XLOOKUP($K12,$C$4:$C$8,$D$4:$D$8)-SUM($M4:R4)</f>
        <v>5400</v>
      </c>
      <c r="S12" s="35">
        <f>_xlfn.XLOOKUP(_xlfn.NUMBERVALUE(RIGHT(S$2,1)),$C$11:$G$11,$C13:$G13)*_xlfn.XLOOKUP($K12,$C$4:$C$8,$D$4:$D$8)-SUM($M4:S4)</f>
        <v>5300</v>
      </c>
      <c r="T12" s="35">
        <f>_xlfn.XLOOKUP(_xlfn.NUMBERVALUE(RIGHT(T$2,1)),$C$11:$G$11,$C13:$G13)*_xlfn.XLOOKUP($K12,$C$4:$C$8,$D$4:$D$8)-SUM($M4:T4)</f>
        <v>5200</v>
      </c>
      <c r="U12" s="35">
        <f>_xlfn.XLOOKUP(_xlfn.NUMBERVALUE(RIGHT(U$2,1)),$C$11:$G$11,$C13:$G13)*_xlfn.XLOOKUP($K12,$C$4:$C$8,$D$4:$D$8)-SUM($M4:U4)</f>
        <v>5100</v>
      </c>
      <c r="V12" s="35">
        <f>_xlfn.XLOOKUP(_xlfn.NUMBERVALUE(RIGHT(V$2,1)),$C$11:$G$11,$C13:$G13)*_xlfn.XLOOKUP($K12,$C$4:$C$8,$D$4:$D$8)-SUM($M4:V4)</f>
        <v>5000</v>
      </c>
      <c r="W12" s="35">
        <f>_xlfn.XLOOKUP(_xlfn.NUMBERVALUE(RIGHT(W$2,1)),$C$11:$G$11,$C13:$G13)*_xlfn.XLOOKUP($K12,$C$4:$C$8,$D$4:$D$8)-SUM($M4:W4)</f>
        <v>4900</v>
      </c>
      <c r="X12" s="35">
        <f>_xlfn.XLOOKUP(_xlfn.NUMBERVALUE(RIGHT(X$2,1)),$C$11:$G$11,$C13:$G13)*_xlfn.XLOOKUP($K12,$C$4:$C$8,$D$4:$D$8)-SUM($M4:X4)</f>
        <v>4800</v>
      </c>
      <c r="Y12" s="35">
        <f ca="1">_xlfn.XLOOKUP(_xlfn.NUMBERVALUE(RIGHT(Y$2,1)),$C$11:$G$11,$C13:$G13)*_xlfn.XLOOKUP($K12,$C$4:$C$8,$D$4:$D$8)-SUM($M4:Y4)</f>
        <v>14533.333333333334</v>
      </c>
      <c r="Z12" s="35">
        <f ca="1">_xlfn.XLOOKUP(_xlfn.NUMBERVALUE(RIGHT(Z$2,1)),$C$11:$G$11,$C13:$G13)*_xlfn.XLOOKUP($K12,$C$4:$C$8,$D$4:$D$8)-SUM($M4:Z4)</f>
        <v>14266.666666666668</v>
      </c>
      <c r="AA12" s="35">
        <f ca="1">_xlfn.XLOOKUP(_xlfn.NUMBERVALUE(RIGHT(AA$2,1)),$C$11:$G$11,$C13:$G13)*_xlfn.XLOOKUP($K12,$C$4:$C$8,$D$4:$D$8)-SUM($M4:AA4)</f>
        <v>14000</v>
      </c>
      <c r="AB12" s="35">
        <f ca="1">_xlfn.XLOOKUP(_xlfn.NUMBERVALUE(RIGHT(AB$2,1)),$C$11:$G$11,$C13:$G13)*_xlfn.XLOOKUP($K12,$C$4:$C$8,$D$4:$D$8)-SUM($M4:AB4)</f>
        <v>13733.333333333334</v>
      </c>
      <c r="AC12" s="35">
        <f ca="1">_xlfn.XLOOKUP(_xlfn.NUMBERVALUE(RIGHT(AC$2,1)),$C$11:$G$11,$C13:$G13)*_xlfn.XLOOKUP($K12,$C$4:$C$8,$D$4:$D$8)-SUM($M4:AC4)</f>
        <v>13466.666666666668</v>
      </c>
      <c r="AD12" s="35">
        <f ca="1">_xlfn.XLOOKUP(_xlfn.NUMBERVALUE(RIGHT(AD$2,1)),$C$11:$G$11,$C13:$G13)*_xlfn.XLOOKUP($K12,$C$4:$C$8,$D$4:$D$8)-SUM($M4:AD4)</f>
        <v>13200</v>
      </c>
      <c r="AE12" s="35">
        <f ca="1">_xlfn.XLOOKUP(_xlfn.NUMBERVALUE(RIGHT(AE$2,1)),$C$11:$G$11,$C13:$G13)*_xlfn.XLOOKUP($K12,$C$4:$C$8,$D$4:$D$8)-SUM($M4:AE4)</f>
        <v>12933.333333333334</v>
      </c>
      <c r="AF12" s="35">
        <f ca="1">_xlfn.XLOOKUP(_xlfn.NUMBERVALUE(RIGHT(AF$2,1)),$C$11:$G$11,$C13:$G13)*_xlfn.XLOOKUP($K12,$C$4:$C$8,$D$4:$D$8)-SUM($M4:AF4)</f>
        <v>12666.666666666668</v>
      </c>
      <c r="AG12" s="35">
        <f ca="1">_xlfn.XLOOKUP(_xlfn.NUMBERVALUE(RIGHT(AG$2,1)),$C$11:$G$11,$C13:$G13)*_xlfn.XLOOKUP($K12,$C$4:$C$8,$D$4:$D$8)-SUM($M4:AG4)</f>
        <v>12400.000000000002</v>
      </c>
      <c r="AH12" s="35">
        <f ca="1">_xlfn.XLOOKUP(_xlfn.NUMBERVALUE(RIGHT(AH$2,1)),$C$11:$G$11,$C13:$G13)*_xlfn.XLOOKUP($K12,$C$4:$C$8,$D$4:$D$8)-SUM($M4:AH4)</f>
        <v>12133.333333333336</v>
      </c>
      <c r="AI12" s="35">
        <f ca="1">_xlfn.XLOOKUP(_xlfn.NUMBERVALUE(RIGHT(AI$2,1)),$C$11:$G$11,$C13:$G13)*_xlfn.XLOOKUP($K12,$C$4:$C$8,$D$4:$D$8)-SUM($M4:AI4)</f>
        <v>11866.666666666668</v>
      </c>
      <c r="AJ12" s="35">
        <f ca="1">_xlfn.XLOOKUP(_xlfn.NUMBERVALUE(RIGHT(AJ$2,1)),$C$11:$G$11,$C13:$G13)*_xlfn.XLOOKUP($K12,$C$4:$C$8,$D$4:$D$8)-SUM($M4:AJ4)</f>
        <v>11600</v>
      </c>
      <c r="AK12" s="35">
        <f ca="1">_xlfn.XLOOKUP(_xlfn.NUMBERVALUE(RIGHT(AK$2,1)),$C$11:$G$11,$C13:$G13)*_xlfn.XLOOKUP($K12,$C$4:$C$8,$D$4:$D$8)-SUM($M4:AK4)</f>
        <v>27066.666666666668</v>
      </c>
      <c r="AL12" s="35">
        <f ca="1">_xlfn.XLOOKUP(_xlfn.NUMBERVALUE(RIGHT(AL$2,1)),$C$11:$G$11,$C13:$G13)*_xlfn.XLOOKUP($K12,$C$4:$C$8,$D$4:$D$8)-SUM($M4:AL4)</f>
        <v>26533.333333333336</v>
      </c>
      <c r="AM12" s="35">
        <f ca="1">_xlfn.XLOOKUP(_xlfn.NUMBERVALUE(RIGHT(AM$2,1)),$C$11:$G$11,$C13:$G13)*_xlfn.XLOOKUP($K12,$C$4:$C$8,$D$4:$D$8)-SUM($M4:AM4)</f>
        <v>26000</v>
      </c>
      <c r="AN12" s="35">
        <f ca="1">_xlfn.XLOOKUP(_xlfn.NUMBERVALUE(RIGHT(AN$2,1)),$C$11:$G$11,$C13:$G13)*_xlfn.XLOOKUP($K12,$C$4:$C$8,$D$4:$D$8)-SUM($M4:AN4)</f>
        <v>25466.666666666668</v>
      </c>
      <c r="AO12" s="35">
        <f ca="1">_xlfn.XLOOKUP(_xlfn.NUMBERVALUE(RIGHT(AO$2,1)),$C$11:$G$11,$C13:$G13)*_xlfn.XLOOKUP($K12,$C$4:$C$8,$D$4:$D$8)-SUM($M4:AO4)</f>
        <v>24933.333333333336</v>
      </c>
      <c r="AP12" s="35">
        <f ca="1">_xlfn.XLOOKUP(_xlfn.NUMBERVALUE(RIGHT(AP$2,1)),$C$11:$G$11,$C13:$G13)*_xlfn.XLOOKUP($K12,$C$4:$C$8,$D$4:$D$8)-SUM($M4:AP4)</f>
        <v>24400.000000000004</v>
      </c>
      <c r="AQ12" s="35">
        <f ca="1">_xlfn.XLOOKUP(_xlfn.NUMBERVALUE(RIGHT(AQ$2,1)),$C$11:$G$11,$C13:$G13)*_xlfn.XLOOKUP($K12,$C$4:$C$8,$D$4:$D$8)-SUM($M4:AQ4)</f>
        <v>23866.666666666672</v>
      </c>
      <c r="AR12" s="35">
        <f ca="1">_xlfn.XLOOKUP(_xlfn.NUMBERVALUE(RIGHT(AR$2,1)),$C$11:$G$11,$C13:$G13)*_xlfn.XLOOKUP($K12,$C$4:$C$8,$D$4:$D$8)-SUM($M4:AR4)</f>
        <v>23333.333333333336</v>
      </c>
      <c r="AS12" s="35">
        <f ca="1">_xlfn.XLOOKUP(_xlfn.NUMBERVALUE(RIGHT(AS$2,1)),$C$11:$G$11,$C13:$G13)*_xlfn.XLOOKUP($K12,$C$4:$C$8,$D$4:$D$8)-SUM($M4:AS4)</f>
        <v>22800</v>
      </c>
      <c r="AT12" s="35">
        <f ca="1">_xlfn.XLOOKUP(_xlfn.NUMBERVALUE(RIGHT(AT$2,1)),$C$11:$G$11,$C13:$G13)*_xlfn.XLOOKUP($K12,$C$4:$C$8,$D$4:$D$8)-SUM($M4:AT4)</f>
        <v>22266.666666666668</v>
      </c>
      <c r="AU12" s="35">
        <f ca="1">_xlfn.XLOOKUP(_xlfn.NUMBERVALUE(RIGHT(AU$2,1)),$C$11:$G$11,$C13:$G13)*_xlfn.XLOOKUP($K12,$C$4:$C$8,$D$4:$D$8)-SUM($M4:AU4)</f>
        <v>21733.333333333336</v>
      </c>
      <c r="AV12" s="35">
        <f ca="1">_xlfn.XLOOKUP(_xlfn.NUMBERVALUE(RIGHT(AV$2,1)),$C$11:$G$11,$C13:$G13)*_xlfn.XLOOKUP($K12,$C$4:$C$8,$D$4:$D$8)-SUM($M4:AV4)</f>
        <v>21200</v>
      </c>
      <c r="AW12" s="35">
        <f ca="1">_xlfn.XLOOKUP(_xlfn.NUMBERVALUE(RIGHT(AW$2,1)),$C$11:$G$11,$C13:$G13)*_xlfn.XLOOKUP($K12,$C$4:$C$8,$D$4:$D$8)-SUM($M4:AW4)</f>
        <v>34433.333333333336</v>
      </c>
      <c r="AX12" s="35">
        <f ca="1">_xlfn.XLOOKUP(_xlfn.NUMBERVALUE(RIGHT(AX$2,1)),$C$11:$G$11,$C13:$G13)*_xlfn.XLOOKUP($K12,$C$4:$C$8,$D$4:$D$8)-SUM($M4:AX4)</f>
        <v>33666.666666666672</v>
      </c>
      <c r="AY12" s="35">
        <f ca="1">_xlfn.XLOOKUP(_xlfn.NUMBERVALUE(RIGHT(AY$2,1)),$C$11:$G$11,$C13:$G13)*_xlfn.XLOOKUP($K12,$C$4:$C$8,$D$4:$D$8)-SUM($M4:AY4)</f>
        <v>32900</v>
      </c>
      <c r="AZ12" s="35">
        <f ca="1">_xlfn.XLOOKUP(_xlfn.NUMBERVALUE(RIGHT(AZ$2,1)),$C$11:$G$11,$C13:$G13)*_xlfn.XLOOKUP($K12,$C$4:$C$8,$D$4:$D$8)-SUM($M4:AZ4)</f>
        <v>32133.333333333336</v>
      </c>
      <c r="BA12" s="35">
        <f ca="1">_xlfn.XLOOKUP(_xlfn.NUMBERVALUE(RIGHT(BA$2,1)),$C$11:$G$11,$C13:$G13)*_xlfn.XLOOKUP($K12,$C$4:$C$8,$D$4:$D$8)-SUM($M4:BA4)</f>
        <v>31366.666666666672</v>
      </c>
      <c r="BB12" s="35">
        <f ca="1">_xlfn.XLOOKUP(_xlfn.NUMBERVALUE(RIGHT(BB$2,1)),$C$11:$G$11,$C13:$G13)*_xlfn.XLOOKUP($K12,$C$4:$C$8,$D$4:$D$8)-SUM($M4:BB4)</f>
        <v>30600.000000000004</v>
      </c>
      <c r="BC12" s="35">
        <f ca="1">_xlfn.XLOOKUP(_xlfn.NUMBERVALUE(RIGHT(BC$2,1)),$C$11:$G$11,$C13:$G13)*_xlfn.XLOOKUP($K12,$C$4:$C$8,$D$4:$D$8)-SUM($M4:BC4)</f>
        <v>29833.333333333336</v>
      </c>
      <c r="BD12" s="35">
        <f ca="1">_xlfn.XLOOKUP(_xlfn.NUMBERVALUE(RIGHT(BD$2,1)),$C$11:$G$11,$C13:$G13)*_xlfn.XLOOKUP($K12,$C$4:$C$8,$D$4:$D$8)-SUM($M4:BD4)</f>
        <v>29066.666666666672</v>
      </c>
      <c r="BE12" s="35">
        <f ca="1">_xlfn.XLOOKUP(_xlfn.NUMBERVALUE(RIGHT(BE$2,1)),$C$11:$G$11,$C13:$G13)*_xlfn.XLOOKUP($K12,$C$4:$C$8,$D$4:$D$8)-SUM($M4:BE4)</f>
        <v>28300.000000000004</v>
      </c>
      <c r="BF12" s="35">
        <f ca="1">_xlfn.XLOOKUP(_xlfn.NUMBERVALUE(RIGHT(BF$2,1)),$C$11:$G$11,$C13:$G13)*_xlfn.XLOOKUP($K12,$C$4:$C$8,$D$4:$D$8)-SUM($M4:BF4)</f>
        <v>27533.333333333336</v>
      </c>
      <c r="BG12" s="35">
        <f ca="1">_xlfn.XLOOKUP(_xlfn.NUMBERVALUE(RIGHT(BG$2,1)),$C$11:$G$11,$C13:$G13)*_xlfn.XLOOKUP($K12,$C$4:$C$8,$D$4:$D$8)-SUM($M4:BG4)</f>
        <v>26766.666666666668</v>
      </c>
      <c r="BH12" s="35">
        <f ca="1">_xlfn.XLOOKUP(_xlfn.NUMBERVALUE(RIGHT(BH$2,1)),$C$11:$G$11,$C13:$G13)*_xlfn.XLOOKUP($K12,$C$4:$C$8,$D$4:$D$8)-SUM($M4:BH4)</f>
        <v>26000</v>
      </c>
      <c r="BI12" s="35">
        <f ca="1">_xlfn.XLOOKUP(_xlfn.NUMBERVALUE(RIGHT(BI$2,1)),$C$11:$G$11,$C13:$G13)*_xlfn.XLOOKUP($K12,$C$4:$C$8,$D$4:$D$8)-SUM($M4:BI4)</f>
        <v>25233.333333333332</v>
      </c>
      <c r="BJ12" s="35">
        <f ca="1">_xlfn.XLOOKUP(_xlfn.NUMBERVALUE(RIGHT(BJ$2,1)),$C$11:$G$11,$C13:$G13)*_xlfn.XLOOKUP($K12,$C$4:$C$8,$D$4:$D$8)-SUM($M4:BJ4)</f>
        <v>24466.666666666664</v>
      </c>
      <c r="BK12" s="35">
        <f ca="1">_xlfn.XLOOKUP(_xlfn.NUMBERVALUE(RIGHT(BK$2,1)),$C$11:$G$11,$C13:$G13)*_xlfn.XLOOKUP($K12,$C$4:$C$8,$D$4:$D$8)-SUM($M4:BK4)</f>
        <v>23699.999999999996</v>
      </c>
      <c r="BL12" s="35">
        <f ca="1">_xlfn.XLOOKUP(_xlfn.NUMBERVALUE(RIGHT(BL$2,1)),$C$11:$G$11,$C13:$G13)*_xlfn.XLOOKUP($K12,$C$4:$C$8,$D$4:$D$8)-SUM($M4:BL4)</f>
        <v>22933.333333333328</v>
      </c>
      <c r="BM12" s="35">
        <f ca="1">_xlfn.XLOOKUP(_xlfn.NUMBERVALUE(RIGHT(BM$2,1)),$C$11:$G$11,$C13:$G13)*_xlfn.XLOOKUP($K12,$C$4:$C$8,$D$4:$D$8)-SUM($M4:BM4)</f>
        <v>22166.666666666661</v>
      </c>
      <c r="BN12" s="35">
        <f ca="1">_xlfn.XLOOKUP(_xlfn.NUMBERVALUE(RIGHT(BN$2,1)),$C$11:$G$11,$C13:$G13)*_xlfn.XLOOKUP($K12,$C$4:$C$8,$D$4:$D$8)-SUM($M4:BN4)</f>
        <v>21399.999999999993</v>
      </c>
      <c r="BO12" s="35">
        <f ca="1">_xlfn.XLOOKUP(_xlfn.NUMBERVALUE(RIGHT(BO$2,1)),$C$11:$G$11,$C13:$G13)*_xlfn.XLOOKUP($K12,$C$4:$C$8,$D$4:$D$8)-SUM($M4:BO4)</f>
        <v>20633.333333333325</v>
      </c>
      <c r="BP12" s="35">
        <f ca="1">_xlfn.XLOOKUP(_xlfn.NUMBERVALUE(RIGHT(BP$2,1)),$C$11:$G$11,$C13:$G13)*_xlfn.XLOOKUP($K12,$C$4:$C$8,$D$4:$D$8)-SUM($M4:BP4)</f>
        <v>19866.666666666657</v>
      </c>
      <c r="BQ12" s="35">
        <f ca="1">_xlfn.XLOOKUP(_xlfn.NUMBERVALUE(RIGHT(BQ$2,1)),$C$11:$G$11,$C13:$G13)*_xlfn.XLOOKUP($K12,$C$4:$C$8,$D$4:$D$8)-SUM($M4:BQ4)</f>
        <v>19099.999999999989</v>
      </c>
      <c r="BR12" s="35">
        <f ca="1">_xlfn.XLOOKUP(_xlfn.NUMBERVALUE(RIGHT(BR$2,1)),$C$11:$G$11,$C13:$G13)*_xlfn.XLOOKUP($K12,$C$4:$C$8,$D$4:$D$8)-SUM($M4:BR4)</f>
        <v>18333.333333333321</v>
      </c>
      <c r="BS12" s="35">
        <f ca="1">_xlfn.XLOOKUP(_xlfn.NUMBERVALUE(RIGHT(BS$2,1)),$C$11:$G$11,$C13:$G13)*_xlfn.XLOOKUP($K12,$C$4:$C$8,$D$4:$D$8)-SUM($M4:BS4)</f>
        <v>17566.666666666653</v>
      </c>
      <c r="BT12" s="35">
        <f ca="1">_xlfn.XLOOKUP(_xlfn.NUMBERVALUE(RIGHT(BT$2,1)),$C$11:$G$11,$C13:$G13)*_xlfn.XLOOKUP($K12,$C$4:$C$8,$D$4:$D$8)-SUM($M4:BT4)</f>
        <v>16799.999999999985</v>
      </c>
    </row>
    <row r="13" spans="1:72" x14ac:dyDescent="0.3">
      <c r="B13" t="s">
        <v>231</v>
      </c>
      <c r="C13">
        <f>C37</f>
        <v>3</v>
      </c>
      <c r="D13">
        <f t="shared" ref="D13:G13" si="7">D37</f>
        <v>8</v>
      </c>
      <c r="E13">
        <f t="shared" si="7"/>
        <v>16</v>
      </c>
      <c r="F13">
        <f t="shared" si="7"/>
        <v>23</v>
      </c>
      <c r="G13">
        <f t="shared" si="7"/>
        <v>23</v>
      </c>
      <c r="K13" t="s">
        <v>232</v>
      </c>
      <c r="L13" s="35"/>
      <c r="M13" s="35">
        <f>_xlfn.XLOOKUP(_xlfn.NUMBERVALUE(RIGHT(M$2,1)),$C$11:$G$11,$C14:$G14)*_xlfn.XLOOKUP($K13,$C$4:$C$8,$D$4:$D$8)-SUM($M5:M5)</f>
        <v>3933.3333333333335</v>
      </c>
      <c r="N13" s="35">
        <f>_xlfn.XLOOKUP(_xlfn.NUMBERVALUE(RIGHT(N$2,1)),$C$11:$G$11,$C14:$G14)*_xlfn.XLOOKUP($K13,$C$4:$C$8,$D$4:$D$8)-SUM($M5:N5)</f>
        <v>3866.6666666666665</v>
      </c>
      <c r="O13" s="35">
        <f>_xlfn.XLOOKUP(_xlfn.NUMBERVALUE(RIGHT(O$2,1)),$C$11:$G$11,$C14:$G14)*_xlfn.XLOOKUP($K13,$C$4:$C$8,$D$4:$D$8)-SUM($M5:O5)</f>
        <v>3800</v>
      </c>
      <c r="P13" s="35">
        <f>_xlfn.XLOOKUP(_xlfn.NUMBERVALUE(RIGHT(P$2,1)),$C$11:$G$11,$C14:$G14)*_xlfn.XLOOKUP($K13,$C$4:$C$8,$D$4:$D$8)-SUM($M5:P5)</f>
        <v>3733.3333333333335</v>
      </c>
      <c r="Q13" s="35">
        <f>_xlfn.XLOOKUP(_xlfn.NUMBERVALUE(RIGHT(Q$2,1)),$C$11:$G$11,$C14:$G14)*_xlfn.XLOOKUP($K13,$C$4:$C$8,$D$4:$D$8)-SUM($M5:Q5)</f>
        <v>3666.666666666667</v>
      </c>
      <c r="R13" s="35">
        <f>_xlfn.XLOOKUP(_xlfn.NUMBERVALUE(RIGHT(R$2,1)),$C$11:$G$11,$C14:$G14)*_xlfn.XLOOKUP($K13,$C$4:$C$8,$D$4:$D$8)-SUM($M5:R5)</f>
        <v>3600</v>
      </c>
      <c r="S13" s="35">
        <f>_xlfn.XLOOKUP(_xlfn.NUMBERVALUE(RIGHT(S$2,1)),$C$11:$G$11,$C14:$G14)*_xlfn.XLOOKUP($K13,$C$4:$C$8,$D$4:$D$8)-SUM($M5:S5)</f>
        <v>3533.3333333333335</v>
      </c>
      <c r="T13" s="35">
        <f>_xlfn.XLOOKUP(_xlfn.NUMBERVALUE(RIGHT(T$2,1)),$C$11:$G$11,$C14:$G14)*_xlfn.XLOOKUP($K13,$C$4:$C$8,$D$4:$D$8)-SUM($M5:T5)</f>
        <v>3466.666666666667</v>
      </c>
      <c r="U13" s="35">
        <f>_xlfn.XLOOKUP(_xlfn.NUMBERVALUE(RIGHT(U$2,1)),$C$11:$G$11,$C14:$G14)*_xlfn.XLOOKUP($K13,$C$4:$C$8,$D$4:$D$8)-SUM($M5:U5)</f>
        <v>3400</v>
      </c>
      <c r="V13" s="35">
        <f>_xlfn.XLOOKUP(_xlfn.NUMBERVALUE(RIGHT(V$2,1)),$C$11:$G$11,$C14:$G14)*_xlfn.XLOOKUP($K13,$C$4:$C$8,$D$4:$D$8)-SUM($M5:V5)</f>
        <v>3333.3333333333335</v>
      </c>
      <c r="W13" s="35">
        <f>_xlfn.XLOOKUP(_xlfn.NUMBERVALUE(RIGHT(W$2,1)),$C$11:$G$11,$C14:$G14)*_xlfn.XLOOKUP($K13,$C$4:$C$8,$D$4:$D$8)-SUM($M5:W5)</f>
        <v>3266.666666666667</v>
      </c>
      <c r="X13" s="35">
        <f>_xlfn.XLOOKUP(_xlfn.NUMBERVALUE(RIGHT(X$2,1)),$C$11:$G$11,$C14:$G14)*_xlfn.XLOOKUP($K13,$C$4:$C$8,$D$4:$D$8)-SUM($M5:X5)</f>
        <v>3200.0000000000005</v>
      </c>
      <c r="Y13" s="35">
        <f ca="1">_xlfn.XLOOKUP(_xlfn.NUMBERVALUE(RIGHT(Y$2,1)),$C$11:$G$11,$C14:$G14)*_xlfn.XLOOKUP($K13,$C$4:$C$8,$D$4:$D$8)-SUM($M5:Y5)</f>
        <v>3133.3333333333339</v>
      </c>
      <c r="Z13" s="35">
        <f ca="1">_xlfn.XLOOKUP(_xlfn.NUMBERVALUE(RIGHT(Z$2,1)),$C$11:$G$11,$C14:$G14)*_xlfn.XLOOKUP($K13,$C$4:$C$8,$D$4:$D$8)-SUM($M5:Z5)</f>
        <v>3066.666666666667</v>
      </c>
      <c r="AA13" s="35">
        <f ca="1">_xlfn.XLOOKUP(_xlfn.NUMBERVALUE(RIGHT(AA$2,1)),$C$11:$G$11,$C14:$G14)*_xlfn.XLOOKUP($K13,$C$4:$C$8,$D$4:$D$8)-SUM($M5:AA5)</f>
        <v>3000.0000000000005</v>
      </c>
      <c r="AB13" s="35">
        <f ca="1">_xlfn.XLOOKUP(_xlfn.NUMBERVALUE(RIGHT(AB$2,1)),$C$11:$G$11,$C14:$G14)*_xlfn.XLOOKUP($K13,$C$4:$C$8,$D$4:$D$8)-SUM($M5:AB5)</f>
        <v>2933.3333333333339</v>
      </c>
      <c r="AC13" s="35">
        <f ca="1">_xlfn.XLOOKUP(_xlfn.NUMBERVALUE(RIGHT(AC$2,1)),$C$11:$G$11,$C14:$G14)*_xlfn.XLOOKUP($K13,$C$4:$C$8,$D$4:$D$8)-SUM($M5:AC5)</f>
        <v>2866.666666666667</v>
      </c>
      <c r="AD13" s="35">
        <f ca="1">_xlfn.XLOOKUP(_xlfn.NUMBERVALUE(RIGHT(AD$2,1)),$C$11:$G$11,$C14:$G14)*_xlfn.XLOOKUP($K13,$C$4:$C$8,$D$4:$D$8)-SUM($M5:AD5)</f>
        <v>2800</v>
      </c>
      <c r="AE13" s="35">
        <f ca="1">_xlfn.XLOOKUP(_xlfn.NUMBERVALUE(RIGHT(AE$2,1)),$C$11:$G$11,$C14:$G14)*_xlfn.XLOOKUP($K13,$C$4:$C$8,$D$4:$D$8)-SUM($M5:AE5)</f>
        <v>2733.3333333333335</v>
      </c>
      <c r="AF13" s="35">
        <f ca="1">_xlfn.XLOOKUP(_xlfn.NUMBERVALUE(RIGHT(AF$2,1)),$C$11:$G$11,$C14:$G14)*_xlfn.XLOOKUP($K13,$C$4:$C$8,$D$4:$D$8)-SUM($M5:AF5)</f>
        <v>2666.666666666667</v>
      </c>
      <c r="AG13" s="35">
        <f ca="1">_xlfn.XLOOKUP(_xlfn.NUMBERVALUE(RIGHT(AG$2,1)),$C$11:$G$11,$C14:$G14)*_xlfn.XLOOKUP($K13,$C$4:$C$8,$D$4:$D$8)-SUM($M5:AG5)</f>
        <v>2600</v>
      </c>
      <c r="AH13" s="35">
        <f ca="1">_xlfn.XLOOKUP(_xlfn.NUMBERVALUE(RIGHT(AH$2,1)),$C$11:$G$11,$C14:$G14)*_xlfn.XLOOKUP($K13,$C$4:$C$8,$D$4:$D$8)-SUM($M5:AH5)</f>
        <v>2533.333333333333</v>
      </c>
      <c r="AI13" s="35">
        <f ca="1">_xlfn.XLOOKUP(_xlfn.NUMBERVALUE(RIGHT(AI$2,1)),$C$11:$G$11,$C14:$G14)*_xlfn.XLOOKUP($K13,$C$4:$C$8,$D$4:$D$8)-SUM($M5:AI5)</f>
        <v>2466.6666666666665</v>
      </c>
      <c r="AJ13" s="35">
        <f ca="1">_xlfn.XLOOKUP(_xlfn.NUMBERVALUE(RIGHT(AJ$2,1)),$C$11:$G$11,$C14:$G14)*_xlfn.XLOOKUP($K13,$C$4:$C$8,$D$4:$D$8)-SUM($M5:AJ5)</f>
        <v>2400</v>
      </c>
      <c r="AK13" s="35">
        <f ca="1">_xlfn.XLOOKUP(_xlfn.NUMBERVALUE(RIGHT(AK$2,1)),$C$11:$G$11,$C14:$G14)*_xlfn.XLOOKUP($K13,$C$4:$C$8,$D$4:$D$8)-SUM($M5:AK5)</f>
        <v>2333.333333333333</v>
      </c>
      <c r="AL13" s="35">
        <f ca="1">_xlfn.XLOOKUP(_xlfn.NUMBERVALUE(RIGHT(AL$2,1)),$C$11:$G$11,$C14:$G14)*_xlfn.XLOOKUP($K13,$C$4:$C$8,$D$4:$D$8)-SUM($M5:AL5)</f>
        <v>2266.6666666666661</v>
      </c>
      <c r="AM13" s="35">
        <f ca="1">_xlfn.XLOOKUP(_xlfn.NUMBERVALUE(RIGHT(AM$2,1)),$C$11:$G$11,$C14:$G14)*_xlfn.XLOOKUP($K13,$C$4:$C$8,$D$4:$D$8)-SUM($M5:AM5)</f>
        <v>2199.9999999999995</v>
      </c>
      <c r="AN13" s="35">
        <f ca="1">_xlfn.XLOOKUP(_xlfn.NUMBERVALUE(RIGHT(AN$2,1)),$C$11:$G$11,$C14:$G14)*_xlfn.XLOOKUP($K13,$C$4:$C$8,$D$4:$D$8)-SUM($M5:AN5)</f>
        <v>2133.333333333333</v>
      </c>
      <c r="AO13" s="35">
        <f ca="1">_xlfn.XLOOKUP(_xlfn.NUMBERVALUE(RIGHT(AO$2,1)),$C$11:$G$11,$C14:$G14)*_xlfn.XLOOKUP($K13,$C$4:$C$8,$D$4:$D$8)-SUM($M5:AO5)</f>
        <v>2066.6666666666661</v>
      </c>
      <c r="AP13" s="35">
        <f ca="1">_xlfn.XLOOKUP(_xlfn.NUMBERVALUE(RIGHT(AP$2,1)),$C$11:$G$11,$C14:$G14)*_xlfn.XLOOKUP($K13,$C$4:$C$8,$D$4:$D$8)-SUM($M5:AP5)</f>
        <v>1999.9999999999993</v>
      </c>
      <c r="AQ13" s="35">
        <f ca="1">_xlfn.XLOOKUP(_xlfn.NUMBERVALUE(RIGHT(AQ$2,1)),$C$11:$G$11,$C14:$G14)*_xlfn.XLOOKUP($K13,$C$4:$C$8,$D$4:$D$8)-SUM($M5:AQ5)</f>
        <v>1933.3333333333326</v>
      </c>
      <c r="AR13" s="35">
        <f ca="1">_xlfn.XLOOKUP(_xlfn.NUMBERVALUE(RIGHT(AR$2,1)),$C$11:$G$11,$C14:$G14)*_xlfn.XLOOKUP($K13,$C$4:$C$8,$D$4:$D$8)-SUM($M5:AR5)</f>
        <v>1866.6666666666661</v>
      </c>
      <c r="AS13" s="35">
        <f ca="1">_xlfn.XLOOKUP(_xlfn.NUMBERVALUE(RIGHT(AS$2,1)),$C$11:$G$11,$C14:$G14)*_xlfn.XLOOKUP($K13,$C$4:$C$8,$D$4:$D$8)-SUM($M5:AS5)</f>
        <v>1799.9999999999995</v>
      </c>
      <c r="AT13" s="35">
        <f ca="1">_xlfn.XLOOKUP(_xlfn.NUMBERVALUE(RIGHT(AT$2,1)),$C$11:$G$11,$C14:$G14)*_xlfn.XLOOKUP($K13,$C$4:$C$8,$D$4:$D$8)-SUM($M5:AT5)</f>
        <v>1733.333333333333</v>
      </c>
      <c r="AU13" s="35">
        <f ca="1">_xlfn.XLOOKUP(_xlfn.NUMBERVALUE(RIGHT(AU$2,1)),$C$11:$G$11,$C14:$G14)*_xlfn.XLOOKUP($K13,$C$4:$C$8,$D$4:$D$8)-SUM($M5:AU5)</f>
        <v>1666.6666666666665</v>
      </c>
      <c r="AV13" s="35">
        <f ca="1">_xlfn.XLOOKUP(_xlfn.NUMBERVALUE(RIGHT(AV$2,1)),$C$11:$G$11,$C14:$G14)*_xlfn.XLOOKUP($K13,$C$4:$C$8,$D$4:$D$8)-SUM($M5:AV5)</f>
        <v>1600</v>
      </c>
      <c r="AW13" s="35">
        <f ca="1">_xlfn.XLOOKUP(_xlfn.NUMBERVALUE(RIGHT(AW$2,1)),$C$11:$G$11,$C14:$G14)*_xlfn.XLOOKUP($K13,$C$4:$C$8,$D$4:$D$8)-SUM($M5:AW5)</f>
        <v>1533.3333333333335</v>
      </c>
      <c r="AX13" s="35">
        <f ca="1">_xlfn.XLOOKUP(_xlfn.NUMBERVALUE(RIGHT(AX$2,1)),$C$11:$G$11,$C14:$G14)*_xlfn.XLOOKUP($K13,$C$4:$C$8,$D$4:$D$8)-SUM($M5:AX5)</f>
        <v>1466.666666666667</v>
      </c>
      <c r="AY13" s="35">
        <f ca="1">_xlfn.XLOOKUP(_xlfn.NUMBERVALUE(RIGHT(AY$2,1)),$C$11:$G$11,$C14:$G14)*_xlfn.XLOOKUP($K13,$C$4:$C$8,$D$4:$D$8)-SUM($M5:AY5)</f>
        <v>1400.0000000000005</v>
      </c>
      <c r="AZ13" s="35">
        <f ca="1">_xlfn.XLOOKUP(_xlfn.NUMBERVALUE(RIGHT(AZ$2,1)),$C$11:$G$11,$C14:$G14)*_xlfn.XLOOKUP($K13,$C$4:$C$8,$D$4:$D$8)-SUM($M5:AZ5)</f>
        <v>1333.3333333333339</v>
      </c>
      <c r="BA13" s="35">
        <f ca="1">_xlfn.XLOOKUP(_xlfn.NUMBERVALUE(RIGHT(BA$2,1)),$C$11:$G$11,$C14:$G14)*_xlfn.XLOOKUP($K13,$C$4:$C$8,$D$4:$D$8)-SUM($M5:BA5)</f>
        <v>1266.6666666666674</v>
      </c>
      <c r="BB13" s="35">
        <f ca="1">_xlfn.XLOOKUP(_xlfn.NUMBERVALUE(RIGHT(BB$2,1)),$C$11:$G$11,$C14:$G14)*_xlfn.XLOOKUP($K13,$C$4:$C$8,$D$4:$D$8)-SUM($M5:BB5)</f>
        <v>1200.0000000000009</v>
      </c>
      <c r="BC13" s="35">
        <f ca="1">_xlfn.XLOOKUP(_xlfn.NUMBERVALUE(RIGHT(BC$2,1)),$C$11:$G$11,$C14:$G14)*_xlfn.XLOOKUP($K13,$C$4:$C$8,$D$4:$D$8)-SUM($M5:BC5)</f>
        <v>1133.3333333333344</v>
      </c>
      <c r="BD13" s="35">
        <f ca="1">_xlfn.XLOOKUP(_xlfn.NUMBERVALUE(RIGHT(BD$2,1)),$C$11:$G$11,$C14:$G14)*_xlfn.XLOOKUP($K13,$C$4:$C$8,$D$4:$D$8)-SUM($M5:BD5)</f>
        <v>1066.6666666666679</v>
      </c>
      <c r="BE13" s="35">
        <f ca="1">_xlfn.XLOOKUP(_xlfn.NUMBERVALUE(RIGHT(BE$2,1)),$C$11:$G$11,$C14:$G14)*_xlfn.XLOOKUP($K13,$C$4:$C$8,$D$4:$D$8)-SUM($M5:BE5)</f>
        <v>1000.0000000000014</v>
      </c>
      <c r="BF13" s="35">
        <f ca="1">_xlfn.XLOOKUP(_xlfn.NUMBERVALUE(RIGHT(BF$2,1)),$C$11:$G$11,$C14:$G14)*_xlfn.XLOOKUP($K13,$C$4:$C$8,$D$4:$D$8)-SUM($M5:BF5)</f>
        <v>933.33333333333485</v>
      </c>
      <c r="BG13" s="35">
        <f ca="1">_xlfn.XLOOKUP(_xlfn.NUMBERVALUE(RIGHT(BG$2,1)),$C$11:$G$11,$C14:$G14)*_xlfn.XLOOKUP($K13,$C$4:$C$8,$D$4:$D$8)-SUM($M5:BG5)</f>
        <v>866.66666666666833</v>
      </c>
      <c r="BH13" s="35">
        <f ca="1">_xlfn.XLOOKUP(_xlfn.NUMBERVALUE(RIGHT(BH$2,1)),$C$11:$G$11,$C14:$G14)*_xlfn.XLOOKUP($K13,$C$4:$C$8,$D$4:$D$8)-SUM($M5:BH5)</f>
        <v>800.00000000000182</v>
      </c>
      <c r="BI13" s="35">
        <f ca="1">_xlfn.XLOOKUP(_xlfn.NUMBERVALUE(RIGHT(BI$2,1)),$C$11:$G$11,$C14:$G14)*_xlfn.XLOOKUP($K13,$C$4:$C$8,$D$4:$D$8)-SUM($M5:BI5)</f>
        <v>733.3333333333353</v>
      </c>
      <c r="BJ13" s="35">
        <f ca="1">_xlfn.XLOOKUP(_xlfn.NUMBERVALUE(RIGHT(BJ$2,1)),$C$11:$G$11,$C14:$G14)*_xlfn.XLOOKUP($K13,$C$4:$C$8,$D$4:$D$8)-SUM($M5:BJ5)</f>
        <v>666.66666666666879</v>
      </c>
      <c r="BK13" s="35">
        <f ca="1">_xlfn.XLOOKUP(_xlfn.NUMBERVALUE(RIGHT(BK$2,1)),$C$11:$G$11,$C14:$G14)*_xlfn.XLOOKUP($K13,$C$4:$C$8,$D$4:$D$8)-SUM($M5:BK5)</f>
        <v>600.00000000000227</v>
      </c>
      <c r="BL13" s="35">
        <f ca="1">_xlfn.XLOOKUP(_xlfn.NUMBERVALUE(RIGHT(BL$2,1)),$C$11:$G$11,$C14:$G14)*_xlfn.XLOOKUP($K13,$C$4:$C$8,$D$4:$D$8)-SUM($M5:BL5)</f>
        <v>533.33333333333576</v>
      </c>
      <c r="BM13" s="35">
        <f ca="1">_xlfn.XLOOKUP(_xlfn.NUMBERVALUE(RIGHT(BM$2,1)),$C$11:$G$11,$C14:$G14)*_xlfn.XLOOKUP($K13,$C$4:$C$8,$D$4:$D$8)-SUM($M5:BM5)</f>
        <v>466.66666666666924</v>
      </c>
      <c r="BN13" s="35">
        <f ca="1">_xlfn.XLOOKUP(_xlfn.NUMBERVALUE(RIGHT(BN$2,1)),$C$11:$G$11,$C14:$G14)*_xlfn.XLOOKUP($K13,$C$4:$C$8,$D$4:$D$8)-SUM($M5:BN5)</f>
        <v>400.00000000000273</v>
      </c>
      <c r="BO13" s="35">
        <f ca="1">_xlfn.XLOOKUP(_xlfn.NUMBERVALUE(RIGHT(BO$2,1)),$C$11:$G$11,$C14:$G14)*_xlfn.XLOOKUP($K13,$C$4:$C$8,$D$4:$D$8)-SUM($M5:BO5)</f>
        <v>333.33333333333621</v>
      </c>
      <c r="BP13" s="35">
        <f ca="1">_xlfn.XLOOKUP(_xlfn.NUMBERVALUE(RIGHT(BP$2,1)),$C$11:$G$11,$C14:$G14)*_xlfn.XLOOKUP($K13,$C$4:$C$8,$D$4:$D$8)-SUM($M5:BP5)</f>
        <v>266.6666666666697</v>
      </c>
      <c r="BQ13" s="35">
        <f ca="1">_xlfn.XLOOKUP(_xlfn.NUMBERVALUE(RIGHT(BQ$2,1)),$C$11:$G$11,$C14:$G14)*_xlfn.XLOOKUP($K13,$C$4:$C$8,$D$4:$D$8)-SUM($M5:BQ5)</f>
        <v>200.00000000000318</v>
      </c>
      <c r="BR13" s="35">
        <f ca="1">_xlfn.XLOOKUP(_xlfn.NUMBERVALUE(RIGHT(BR$2,1)),$C$11:$G$11,$C14:$G14)*_xlfn.XLOOKUP($K13,$C$4:$C$8,$D$4:$D$8)-SUM($M5:BR5)</f>
        <v>133.33333333333667</v>
      </c>
      <c r="BS13" s="35">
        <f ca="1">_xlfn.XLOOKUP(_xlfn.NUMBERVALUE(RIGHT(BS$2,1)),$C$11:$G$11,$C14:$G14)*_xlfn.XLOOKUP($K13,$C$4:$C$8,$D$4:$D$8)-SUM($M5:BS5)</f>
        <v>66.666666666670153</v>
      </c>
      <c r="BT13" s="35">
        <f ca="1">_xlfn.XLOOKUP(_xlfn.NUMBERVALUE(RIGHT(BT$2,1)),$C$11:$G$11,$C14:$G14)*_xlfn.XLOOKUP($K13,$C$4:$C$8,$D$4:$D$8)-SUM($M5:BT5)</f>
        <v>3.637978807091713E-12</v>
      </c>
    </row>
    <row r="14" spans="1:72" x14ac:dyDescent="0.3">
      <c r="B14" t="s">
        <v>232</v>
      </c>
      <c r="C14" s="89">
        <v>1</v>
      </c>
      <c r="D14" s="90">
        <f>C14</f>
        <v>1</v>
      </c>
      <c r="E14" s="90">
        <f t="shared" ref="E14:G14" si="8">D14</f>
        <v>1</v>
      </c>
      <c r="F14" s="90">
        <f t="shared" si="8"/>
        <v>1</v>
      </c>
      <c r="G14" s="90">
        <f t="shared" si="8"/>
        <v>1</v>
      </c>
      <c r="K14" t="s">
        <v>233</v>
      </c>
      <c r="L14" s="35"/>
      <c r="M14" s="35">
        <f>_xlfn.XLOOKUP(_xlfn.NUMBERVALUE(RIGHT(M$2,1)),$C$11:$G$11,$C15:$G15)*_xlfn.XLOOKUP($K14,$C$4:$C$8,$D$4:$D$8)-SUM($M6:M6)</f>
        <v>2950</v>
      </c>
      <c r="N14" s="35">
        <f>_xlfn.XLOOKUP(_xlfn.NUMBERVALUE(RIGHT(N$2,1)),$C$11:$G$11,$C15:$G15)*_xlfn.XLOOKUP($K14,$C$4:$C$8,$D$4:$D$8)-SUM($M6:N6)</f>
        <v>2900</v>
      </c>
      <c r="O14" s="35">
        <f>_xlfn.XLOOKUP(_xlfn.NUMBERVALUE(RIGHT(O$2,1)),$C$11:$G$11,$C15:$G15)*_xlfn.XLOOKUP($K14,$C$4:$C$8,$D$4:$D$8)-SUM($M6:O6)</f>
        <v>2850</v>
      </c>
      <c r="P14" s="35">
        <f>_xlfn.XLOOKUP(_xlfn.NUMBERVALUE(RIGHT(P$2,1)),$C$11:$G$11,$C15:$G15)*_xlfn.XLOOKUP($K14,$C$4:$C$8,$D$4:$D$8)-SUM($M6:P6)</f>
        <v>2800</v>
      </c>
      <c r="Q14" s="35">
        <f>_xlfn.XLOOKUP(_xlfn.NUMBERVALUE(RIGHT(Q$2,1)),$C$11:$G$11,$C15:$G15)*_xlfn.XLOOKUP($K14,$C$4:$C$8,$D$4:$D$8)-SUM($M6:Q6)</f>
        <v>2750</v>
      </c>
      <c r="R14" s="35">
        <f>_xlfn.XLOOKUP(_xlfn.NUMBERVALUE(RIGHT(R$2,1)),$C$11:$G$11,$C15:$G15)*_xlfn.XLOOKUP($K14,$C$4:$C$8,$D$4:$D$8)-SUM($M6:R6)</f>
        <v>2700</v>
      </c>
      <c r="S14" s="35">
        <f>_xlfn.XLOOKUP(_xlfn.NUMBERVALUE(RIGHT(S$2,1)),$C$11:$G$11,$C15:$G15)*_xlfn.XLOOKUP($K14,$C$4:$C$8,$D$4:$D$8)-SUM($M6:S6)</f>
        <v>2650</v>
      </c>
      <c r="T14" s="35">
        <f>_xlfn.XLOOKUP(_xlfn.NUMBERVALUE(RIGHT(T$2,1)),$C$11:$G$11,$C15:$G15)*_xlfn.XLOOKUP($K14,$C$4:$C$8,$D$4:$D$8)-SUM($M6:T6)</f>
        <v>2600</v>
      </c>
      <c r="U14" s="35">
        <f>_xlfn.XLOOKUP(_xlfn.NUMBERVALUE(RIGHT(U$2,1)),$C$11:$G$11,$C15:$G15)*_xlfn.XLOOKUP($K14,$C$4:$C$8,$D$4:$D$8)-SUM($M6:U6)</f>
        <v>2550</v>
      </c>
      <c r="V14" s="35">
        <f>_xlfn.XLOOKUP(_xlfn.NUMBERVALUE(RIGHT(V$2,1)),$C$11:$G$11,$C15:$G15)*_xlfn.XLOOKUP($K14,$C$4:$C$8,$D$4:$D$8)-SUM($M6:V6)</f>
        <v>2500</v>
      </c>
      <c r="W14" s="35">
        <f>_xlfn.XLOOKUP(_xlfn.NUMBERVALUE(RIGHT(W$2,1)),$C$11:$G$11,$C15:$G15)*_xlfn.XLOOKUP($K14,$C$4:$C$8,$D$4:$D$8)-SUM($M6:W6)</f>
        <v>2450</v>
      </c>
      <c r="X14" s="35">
        <f>_xlfn.XLOOKUP(_xlfn.NUMBERVALUE(RIGHT(X$2,1)),$C$11:$G$11,$C15:$G15)*_xlfn.XLOOKUP($K14,$C$4:$C$8,$D$4:$D$8)-SUM($M6:X6)</f>
        <v>2400</v>
      </c>
      <c r="Y14" s="35">
        <f ca="1">_xlfn.XLOOKUP(_xlfn.NUMBERVALUE(RIGHT(Y$2,1)),$C$11:$G$11,$C15:$G15)*_xlfn.XLOOKUP($K14,$C$4:$C$8,$D$4:$D$8)-SUM($M6:Y6)</f>
        <v>7266.666666666667</v>
      </c>
      <c r="Z14" s="35">
        <f ca="1">_xlfn.XLOOKUP(_xlfn.NUMBERVALUE(RIGHT(Z$2,1)),$C$11:$G$11,$C15:$G15)*_xlfn.XLOOKUP($K14,$C$4:$C$8,$D$4:$D$8)-SUM($M6:Z6)</f>
        <v>7133.3333333333339</v>
      </c>
      <c r="AA14" s="35">
        <f ca="1">_xlfn.XLOOKUP(_xlfn.NUMBERVALUE(RIGHT(AA$2,1)),$C$11:$G$11,$C15:$G15)*_xlfn.XLOOKUP($K14,$C$4:$C$8,$D$4:$D$8)-SUM($M6:AA6)</f>
        <v>7000</v>
      </c>
      <c r="AB14" s="35">
        <f ca="1">_xlfn.XLOOKUP(_xlfn.NUMBERVALUE(RIGHT(AB$2,1)),$C$11:$G$11,$C15:$G15)*_xlfn.XLOOKUP($K14,$C$4:$C$8,$D$4:$D$8)-SUM($M6:AB6)</f>
        <v>6866.666666666667</v>
      </c>
      <c r="AC14" s="35">
        <f ca="1">_xlfn.XLOOKUP(_xlfn.NUMBERVALUE(RIGHT(AC$2,1)),$C$11:$G$11,$C15:$G15)*_xlfn.XLOOKUP($K14,$C$4:$C$8,$D$4:$D$8)-SUM($M6:AC6)</f>
        <v>6733.3333333333339</v>
      </c>
      <c r="AD14" s="35">
        <f ca="1">_xlfn.XLOOKUP(_xlfn.NUMBERVALUE(RIGHT(AD$2,1)),$C$11:$G$11,$C15:$G15)*_xlfn.XLOOKUP($K14,$C$4:$C$8,$D$4:$D$8)-SUM($M6:AD6)</f>
        <v>6600</v>
      </c>
      <c r="AE14" s="35">
        <f ca="1">_xlfn.XLOOKUP(_xlfn.NUMBERVALUE(RIGHT(AE$2,1)),$C$11:$G$11,$C15:$G15)*_xlfn.XLOOKUP($K14,$C$4:$C$8,$D$4:$D$8)-SUM($M6:AE6)</f>
        <v>6466.666666666667</v>
      </c>
      <c r="AF14" s="35">
        <f ca="1">_xlfn.XLOOKUP(_xlfn.NUMBERVALUE(RIGHT(AF$2,1)),$C$11:$G$11,$C15:$G15)*_xlfn.XLOOKUP($K14,$C$4:$C$8,$D$4:$D$8)-SUM($M6:AF6)</f>
        <v>6333.3333333333339</v>
      </c>
      <c r="AG14" s="35">
        <f ca="1">_xlfn.XLOOKUP(_xlfn.NUMBERVALUE(RIGHT(AG$2,1)),$C$11:$G$11,$C15:$G15)*_xlfn.XLOOKUP($K14,$C$4:$C$8,$D$4:$D$8)-SUM($M6:AG6)</f>
        <v>6200.0000000000009</v>
      </c>
      <c r="AH14" s="35">
        <f ca="1">_xlfn.XLOOKUP(_xlfn.NUMBERVALUE(RIGHT(AH$2,1)),$C$11:$G$11,$C15:$G15)*_xlfn.XLOOKUP($K14,$C$4:$C$8,$D$4:$D$8)-SUM($M6:AH6)</f>
        <v>6066.6666666666679</v>
      </c>
      <c r="AI14" s="35">
        <f ca="1">_xlfn.XLOOKUP(_xlfn.NUMBERVALUE(RIGHT(AI$2,1)),$C$11:$G$11,$C15:$G15)*_xlfn.XLOOKUP($K14,$C$4:$C$8,$D$4:$D$8)-SUM($M6:AI6)</f>
        <v>5933.3333333333339</v>
      </c>
      <c r="AJ14" s="35">
        <f ca="1">_xlfn.XLOOKUP(_xlfn.NUMBERVALUE(RIGHT(AJ$2,1)),$C$11:$G$11,$C15:$G15)*_xlfn.XLOOKUP($K14,$C$4:$C$8,$D$4:$D$8)-SUM($M6:AJ6)</f>
        <v>5800</v>
      </c>
      <c r="AK14" s="35">
        <f ca="1">_xlfn.XLOOKUP(_xlfn.NUMBERVALUE(RIGHT(AK$2,1)),$C$11:$G$11,$C15:$G15)*_xlfn.XLOOKUP($K14,$C$4:$C$8,$D$4:$D$8)-SUM($M6:AK6)</f>
        <v>13533.333333333334</v>
      </c>
      <c r="AL14" s="35">
        <f ca="1">_xlfn.XLOOKUP(_xlfn.NUMBERVALUE(RIGHT(AL$2,1)),$C$11:$G$11,$C15:$G15)*_xlfn.XLOOKUP($K14,$C$4:$C$8,$D$4:$D$8)-SUM($M6:AL6)</f>
        <v>13266.666666666668</v>
      </c>
      <c r="AM14" s="35">
        <f ca="1">_xlfn.XLOOKUP(_xlfn.NUMBERVALUE(RIGHT(AM$2,1)),$C$11:$G$11,$C15:$G15)*_xlfn.XLOOKUP($K14,$C$4:$C$8,$D$4:$D$8)-SUM($M6:AM6)</f>
        <v>13000</v>
      </c>
      <c r="AN14" s="35">
        <f ca="1">_xlfn.XLOOKUP(_xlfn.NUMBERVALUE(RIGHT(AN$2,1)),$C$11:$G$11,$C15:$G15)*_xlfn.XLOOKUP($K14,$C$4:$C$8,$D$4:$D$8)-SUM($M6:AN6)</f>
        <v>12733.333333333334</v>
      </c>
      <c r="AO14" s="35">
        <f ca="1">_xlfn.XLOOKUP(_xlfn.NUMBERVALUE(RIGHT(AO$2,1)),$C$11:$G$11,$C15:$G15)*_xlfn.XLOOKUP($K14,$C$4:$C$8,$D$4:$D$8)-SUM($M6:AO6)</f>
        <v>12466.666666666668</v>
      </c>
      <c r="AP14" s="35">
        <f ca="1">_xlfn.XLOOKUP(_xlfn.NUMBERVALUE(RIGHT(AP$2,1)),$C$11:$G$11,$C15:$G15)*_xlfn.XLOOKUP($K14,$C$4:$C$8,$D$4:$D$8)-SUM($M6:AP6)</f>
        <v>12200.000000000002</v>
      </c>
      <c r="AQ14" s="35">
        <f ca="1">_xlfn.XLOOKUP(_xlfn.NUMBERVALUE(RIGHT(AQ$2,1)),$C$11:$G$11,$C15:$G15)*_xlfn.XLOOKUP($K14,$C$4:$C$8,$D$4:$D$8)-SUM($M6:AQ6)</f>
        <v>11933.333333333336</v>
      </c>
      <c r="AR14" s="35">
        <f ca="1">_xlfn.XLOOKUP(_xlfn.NUMBERVALUE(RIGHT(AR$2,1)),$C$11:$G$11,$C15:$G15)*_xlfn.XLOOKUP($K14,$C$4:$C$8,$D$4:$D$8)-SUM($M6:AR6)</f>
        <v>11666.666666666668</v>
      </c>
      <c r="AS14" s="35">
        <f ca="1">_xlfn.XLOOKUP(_xlfn.NUMBERVALUE(RIGHT(AS$2,1)),$C$11:$G$11,$C15:$G15)*_xlfn.XLOOKUP($K14,$C$4:$C$8,$D$4:$D$8)-SUM($M6:AS6)</f>
        <v>11400</v>
      </c>
      <c r="AT14" s="35">
        <f ca="1">_xlfn.XLOOKUP(_xlfn.NUMBERVALUE(RIGHT(AT$2,1)),$C$11:$G$11,$C15:$G15)*_xlfn.XLOOKUP($K14,$C$4:$C$8,$D$4:$D$8)-SUM($M6:AT6)</f>
        <v>11133.333333333334</v>
      </c>
      <c r="AU14" s="35">
        <f ca="1">_xlfn.XLOOKUP(_xlfn.NUMBERVALUE(RIGHT(AU$2,1)),$C$11:$G$11,$C15:$G15)*_xlfn.XLOOKUP($K14,$C$4:$C$8,$D$4:$D$8)-SUM($M6:AU6)</f>
        <v>10866.666666666668</v>
      </c>
      <c r="AV14" s="35">
        <f ca="1">_xlfn.XLOOKUP(_xlfn.NUMBERVALUE(RIGHT(AV$2,1)),$C$11:$G$11,$C15:$G15)*_xlfn.XLOOKUP($K14,$C$4:$C$8,$D$4:$D$8)-SUM($M6:AV6)</f>
        <v>10600</v>
      </c>
      <c r="AW14" s="35">
        <f ca="1">_xlfn.XLOOKUP(_xlfn.NUMBERVALUE(RIGHT(AW$2,1)),$C$11:$G$11,$C15:$G15)*_xlfn.XLOOKUP($K14,$C$4:$C$8,$D$4:$D$8)-SUM($M6:AW6)</f>
        <v>17216.666666666668</v>
      </c>
      <c r="AX14" s="35">
        <f ca="1">_xlfn.XLOOKUP(_xlfn.NUMBERVALUE(RIGHT(AX$2,1)),$C$11:$G$11,$C15:$G15)*_xlfn.XLOOKUP($K14,$C$4:$C$8,$D$4:$D$8)-SUM($M6:AX6)</f>
        <v>16833.333333333336</v>
      </c>
      <c r="AY14" s="35">
        <f ca="1">_xlfn.XLOOKUP(_xlfn.NUMBERVALUE(RIGHT(AY$2,1)),$C$11:$G$11,$C15:$G15)*_xlfn.XLOOKUP($K14,$C$4:$C$8,$D$4:$D$8)-SUM($M6:AY6)</f>
        <v>16450</v>
      </c>
      <c r="AZ14" s="35">
        <f ca="1">_xlfn.XLOOKUP(_xlfn.NUMBERVALUE(RIGHT(AZ$2,1)),$C$11:$G$11,$C15:$G15)*_xlfn.XLOOKUP($K14,$C$4:$C$8,$D$4:$D$8)-SUM($M6:AZ6)</f>
        <v>16066.666666666668</v>
      </c>
      <c r="BA14" s="35">
        <f ca="1">_xlfn.XLOOKUP(_xlfn.NUMBERVALUE(RIGHT(BA$2,1)),$C$11:$G$11,$C15:$G15)*_xlfn.XLOOKUP($K14,$C$4:$C$8,$D$4:$D$8)-SUM($M6:BA6)</f>
        <v>15683.333333333336</v>
      </c>
      <c r="BB14" s="35">
        <f ca="1">_xlfn.XLOOKUP(_xlfn.NUMBERVALUE(RIGHT(BB$2,1)),$C$11:$G$11,$C15:$G15)*_xlfn.XLOOKUP($K14,$C$4:$C$8,$D$4:$D$8)-SUM($M6:BB6)</f>
        <v>15300.000000000002</v>
      </c>
      <c r="BC14" s="35">
        <f ca="1">_xlfn.XLOOKUP(_xlfn.NUMBERVALUE(RIGHT(BC$2,1)),$C$11:$G$11,$C15:$G15)*_xlfn.XLOOKUP($K14,$C$4:$C$8,$D$4:$D$8)-SUM($M6:BC6)</f>
        <v>14916.666666666668</v>
      </c>
      <c r="BD14" s="35">
        <f ca="1">_xlfn.XLOOKUP(_xlfn.NUMBERVALUE(RIGHT(BD$2,1)),$C$11:$G$11,$C15:$G15)*_xlfn.XLOOKUP($K14,$C$4:$C$8,$D$4:$D$8)-SUM($M6:BD6)</f>
        <v>14533.333333333336</v>
      </c>
      <c r="BE14" s="35">
        <f ca="1">_xlfn.XLOOKUP(_xlfn.NUMBERVALUE(RIGHT(BE$2,1)),$C$11:$G$11,$C15:$G15)*_xlfn.XLOOKUP($K14,$C$4:$C$8,$D$4:$D$8)-SUM($M6:BE6)</f>
        <v>14150.000000000002</v>
      </c>
      <c r="BF14" s="35">
        <f ca="1">_xlfn.XLOOKUP(_xlfn.NUMBERVALUE(RIGHT(BF$2,1)),$C$11:$G$11,$C15:$G15)*_xlfn.XLOOKUP($K14,$C$4:$C$8,$D$4:$D$8)-SUM($M6:BF6)</f>
        <v>13766.666666666668</v>
      </c>
      <c r="BG14" s="35">
        <f ca="1">_xlfn.XLOOKUP(_xlfn.NUMBERVALUE(RIGHT(BG$2,1)),$C$11:$G$11,$C15:$G15)*_xlfn.XLOOKUP($K14,$C$4:$C$8,$D$4:$D$8)-SUM($M6:BG6)</f>
        <v>13383.333333333334</v>
      </c>
      <c r="BH14" s="35">
        <f ca="1">_xlfn.XLOOKUP(_xlfn.NUMBERVALUE(RIGHT(BH$2,1)),$C$11:$G$11,$C15:$G15)*_xlfn.XLOOKUP($K14,$C$4:$C$8,$D$4:$D$8)-SUM($M6:BH6)</f>
        <v>13000</v>
      </c>
      <c r="BI14" s="35">
        <f ca="1">_xlfn.XLOOKUP(_xlfn.NUMBERVALUE(RIGHT(BI$2,1)),$C$11:$G$11,$C15:$G15)*_xlfn.XLOOKUP($K14,$C$4:$C$8,$D$4:$D$8)-SUM($M6:BI6)</f>
        <v>12616.666666666666</v>
      </c>
      <c r="BJ14" s="35">
        <f ca="1">_xlfn.XLOOKUP(_xlfn.NUMBERVALUE(RIGHT(BJ$2,1)),$C$11:$G$11,$C15:$G15)*_xlfn.XLOOKUP($K14,$C$4:$C$8,$D$4:$D$8)-SUM($M6:BJ6)</f>
        <v>12233.333333333332</v>
      </c>
      <c r="BK14" s="35">
        <f ca="1">_xlfn.XLOOKUP(_xlfn.NUMBERVALUE(RIGHT(BK$2,1)),$C$11:$G$11,$C15:$G15)*_xlfn.XLOOKUP($K14,$C$4:$C$8,$D$4:$D$8)-SUM($M6:BK6)</f>
        <v>11849.999999999998</v>
      </c>
      <c r="BL14" s="35">
        <f ca="1">_xlfn.XLOOKUP(_xlfn.NUMBERVALUE(RIGHT(BL$2,1)),$C$11:$G$11,$C15:$G15)*_xlfn.XLOOKUP($K14,$C$4:$C$8,$D$4:$D$8)-SUM($M6:BL6)</f>
        <v>11466.666666666664</v>
      </c>
      <c r="BM14" s="35">
        <f ca="1">_xlfn.XLOOKUP(_xlfn.NUMBERVALUE(RIGHT(BM$2,1)),$C$11:$G$11,$C15:$G15)*_xlfn.XLOOKUP($K14,$C$4:$C$8,$D$4:$D$8)-SUM($M6:BM6)</f>
        <v>11083.33333333333</v>
      </c>
      <c r="BN14" s="35">
        <f ca="1">_xlfn.XLOOKUP(_xlfn.NUMBERVALUE(RIGHT(BN$2,1)),$C$11:$G$11,$C15:$G15)*_xlfn.XLOOKUP($K14,$C$4:$C$8,$D$4:$D$8)-SUM($M6:BN6)</f>
        <v>10699.999999999996</v>
      </c>
      <c r="BO14" s="35">
        <f ca="1">_xlfn.XLOOKUP(_xlfn.NUMBERVALUE(RIGHT(BO$2,1)),$C$11:$G$11,$C15:$G15)*_xlfn.XLOOKUP($K14,$C$4:$C$8,$D$4:$D$8)-SUM($M6:BO6)</f>
        <v>10316.666666666662</v>
      </c>
      <c r="BP14" s="35">
        <f ca="1">_xlfn.XLOOKUP(_xlfn.NUMBERVALUE(RIGHT(BP$2,1)),$C$11:$G$11,$C15:$G15)*_xlfn.XLOOKUP($K14,$C$4:$C$8,$D$4:$D$8)-SUM($M6:BP6)</f>
        <v>9933.3333333333285</v>
      </c>
      <c r="BQ14" s="35">
        <f ca="1">_xlfn.XLOOKUP(_xlfn.NUMBERVALUE(RIGHT(BQ$2,1)),$C$11:$G$11,$C15:$G15)*_xlfn.XLOOKUP($K14,$C$4:$C$8,$D$4:$D$8)-SUM($M6:BQ6)</f>
        <v>9549.9999999999945</v>
      </c>
      <c r="BR14" s="35">
        <f ca="1">_xlfn.XLOOKUP(_xlfn.NUMBERVALUE(RIGHT(BR$2,1)),$C$11:$G$11,$C15:$G15)*_xlfn.XLOOKUP($K14,$C$4:$C$8,$D$4:$D$8)-SUM($M6:BR6)</f>
        <v>9166.6666666666606</v>
      </c>
      <c r="BS14" s="35">
        <f ca="1">_xlfn.XLOOKUP(_xlfn.NUMBERVALUE(RIGHT(BS$2,1)),$C$11:$G$11,$C15:$G15)*_xlfn.XLOOKUP($K14,$C$4:$C$8,$D$4:$D$8)-SUM($M6:BS6)</f>
        <v>8783.3333333333267</v>
      </c>
      <c r="BT14" s="35">
        <f ca="1">_xlfn.XLOOKUP(_xlfn.NUMBERVALUE(RIGHT(BT$2,1)),$C$11:$G$11,$C15:$G15)*_xlfn.XLOOKUP($K14,$C$4:$C$8,$D$4:$D$8)-SUM($M6:BT6)</f>
        <v>8399.9999999999927</v>
      </c>
    </row>
    <row r="15" spans="1:72" x14ac:dyDescent="0.3">
      <c r="B15" t="s">
        <v>233</v>
      </c>
      <c r="C15" s="90">
        <f>C37</f>
        <v>3</v>
      </c>
      <c r="D15" s="90">
        <f>D37</f>
        <v>8</v>
      </c>
      <c r="E15" s="90">
        <f>E37</f>
        <v>16</v>
      </c>
      <c r="F15" s="90">
        <f>F37</f>
        <v>23</v>
      </c>
      <c r="G15" s="90">
        <f>G37</f>
        <v>23</v>
      </c>
      <c r="K15" t="s">
        <v>234</v>
      </c>
      <c r="L15" s="35"/>
      <c r="M15" s="35">
        <f>_xlfn.XLOOKUP(_xlfn.NUMBERVALUE(RIGHT(M$2,1)),$C$11:$G$11,$C16:$G16)*_xlfn.XLOOKUP($K15,$C$4:$C$8,$D$4:$D$8)-SUM($M7:M7)</f>
        <v>14750</v>
      </c>
      <c r="N15" s="35">
        <f>_xlfn.XLOOKUP(_xlfn.NUMBERVALUE(RIGHT(N$2,1)),$C$11:$G$11,$C16:$G16)*_xlfn.XLOOKUP($K15,$C$4:$C$8,$D$4:$D$8)-SUM($M7:N7)</f>
        <v>14500</v>
      </c>
      <c r="O15" s="35">
        <f>_xlfn.XLOOKUP(_xlfn.NUMBERVALUE(RIGHT(O$2,1)),$C$11:$G$11,$C16:$G16)*_xlfn.XLOOKUP($K15,$C$4:$C$8,$D$4:$D$8)-SUM($M7:O7)</f>
        <v>14250</v>
      </c>
      <c r="P15" s="35">
        <f>_xlfn.XLOOKUP(_xlfn.NUMBERVALUE(RIGHT(P$2,1)),$C$11:$G$11,$C16:$G16)*_xlfn.XLOOKUP($K15,$C$4:$C$8,$D$4:$D$8)-SUM($M7:P7)</f>
        <v>14000</v>
      </c>
      <c r="Q15" s="35">
        <f>_xlfn.XLOOKUP(_xlfn.NUMBERVALUE(RIGHT(Q$2,1)),$C$11:$G$11,$C16:$G16)*_xlfn.XLOOKUP($K15,$C$4:$C$8,$D$4:$D$8)-SUM($M7:Q7)</f>
        <v>13750</v>
      </c>
      <c r="R15" s="35">
        <f>_xlfn.XLOOKUP(_xlfn.NUMBERVALUE(RIGHT(R$2,1)),$C$11:$G$11,$C16:$G16)*_xlfn.XLOOKUP($K15,$C$4:$C$8,$D$4:$D$8)-SUM($M7:R7)</f>
        <v>13500</v>
      </c>
      <c r="S15" s="35">
        <f>_xlfn.XLOOKUP(_xlfn.NUMBERVALUE(RIGHT(S$2,1)),$C$11:$G$11,$C16:$G16)*_xlfn.XLOOKUP($K15,$C$4:$C$8,$D$4:$D$8)-SUM($M7:S7)</f>
        <v>13250</v>
      </c>
      <c r="T15" s="35">
        <f>_xlfn.XLOOKUP(_xlfn.NUMBERVALUE(RIGHT(T$2,1)),$C$11:$G$11,$C16:$G16)*_xlfn.XLOOKUP($K15,$C$4:$C$8,$D$4:$D$8)-SUM($M7:T7)</f>
        <v>13000</v>
      </c>
      <c r="U15" s="35">
        <f>_xlfn.XLOOKUP(_xlfn.NUMBERVALUE(RIGHT(U$2,1)),$C$11:$G$11,$C16:$G16)*_xlfn.XLOOKUP($K15,$C$4:$C$8,$D$4:$D$8)-SUM($M7:U7)</f>
        <v>12750</v>
      </c>
      <c r="V15" s="35">
        <f>_xlfn.XLOOKUP(_xlfn.NUMBERVALUE(RIGHT(V$2,1)),$C$11:$G$11,$C16:$G16)*_xlfn.XLOOKUP($K15,$C$4:$C$8,$D$4:$D$8)-SUM($M7:V7)</f>
        <v>12500</v>
      </c>
      <c r="W15" s="35">
        <f>_xlfn.XLOOKUP(_xlfn.NUMBERVALUE(RIGHT(W$2,1)),$C$11:$G$11,$C16:$G16)*_xlfn.XLOOKUP($K15,$C$4:$C$8,$D$4:$D$8)-SUM($M7:W7)</f>
        <v>12250</v>
      </c>
      <c r="X15" s="35">
        <f>_xlfn.XLOOKUP(_xlfn.NUMBERVALUE(RIGHT(X$2,1)),$C$11:$G$11,$C16:$G16)*_xlfn.XLOOKUP($K15,$C$4:$C$8,$D$4:$D$8)-SUM($M7:X7)</f>
        <v>12000</v>
      </c>
      <c r="Y15" s="35">
        <f ca="1">_xlfn.XLOOKUP(_xlfn.NUMBERVALUE(RIGHT(Y$2,1)),$C$11:$G$11,$C16:$G16)*_xlfn.XLOOKUP($K15,$C$4:$C$8,$D$4:$D$8)-SUM($M7:Y7)</f>
        <v>11750</v>
      </c>
      <c r="Z15" s="35">
        <f ca="1">_xlfn.XLOOKUP(_xlfn.NUMBERVALUE(RIGHT(Z$2,1)),$C$11:$G$11,$C16:$G16)*_xlfn.XLOOKUP($K15,$C$4:$C$8,$D$4:$D$8)-SUM($M7:Z7)</f>
        <v>11500</v>
      </c>
      <c r="AA15" s="35">
        <f ca="1">_xlfn.XLOOKUP(_xlfn.NUMBERVALUE(RIGHT(AA$2,1)),$C$11:$G$11,$C16:$G16)*_xlfn.XLOOKUP($K15,$C$4:$C$8,$D$4:$D$8)-SUM($M7:AA7)</f>
        <v>11250</v>
      </c>
      <c r="AB15" s="35">
        <f ca="1">_xlfn.XLOOKUP(_xlfn.NUMBERVALUE(RIGHT(AB$2,1)),$C$11:$G$11,$C16:$G16)*_xlfn.XLOOKUP($K15,$C$4:$C$8,$D$4:$D$8)-SUM($M7:AB7)</f>
        <v>11000</v>
      </c>
      <c r="AC15" s="35">
        <f ca="1">_xlfn.XLOOKUP(_xlfn.NUMBERVALUE(RIGHT(AC$2,1)),$C$11:$G$11,$C16:$G16)*_xlfn.XLOOKUP($K15,$C$4:$C$8,$D$4:$D$8)-SUM($M7:AC7)</f>
        <v>10750</v>
      </c>
      <c r="AD15" s="35">
        <f ca="1">_xlfn.XLOOKUP(_xlfn.NUMBERVALUE(RIGHT(AD$2,1)),$C$11:$G$11,$C16:$G16)*_xlfn.XLOOKUP($K15,$C$4:$C$8,$D$4:$D$8)-SUM($M7:AD7)</f>
        <v>10500</v>
      </c>
      <c r="AE15" s="35">
        <f ca="1">_xlfn.XLOOKUP(_xlfn.NUMBERVALUE(RIGHT(AE$2,1)),$C$11:$G$11,$C16:$G16)*_xlfn.XLOOKUP($K15,$C$4:$C$8,$D$4:$D$8)-SUM($M7:AE7)</f>
        <v>10250</v>
      </c>
      <c r="AF15" s="35">
        <f ca="1">_xlfn.XLOOKUP(_xlfn.NUMBERVALUE(RIGHT(AF$2,1)),$C$11:$G$11,$C16:$G16)*_xlfn.XLOOKUP($K15,$C$4:$C$8,$D$4:$D$8)-SUM($M7:AF7)</f>
        <v>10000</v>
      </c>
      <c r="AG15" s="35">
        <f ca="1">_xlfn.XLOOKUP(_xlfn.NUMBERVALUE(RIGHT(AG$2,1)),$C$11:$G$11,$C16:$G16)*_xlfn.XLOOKUP($K15,$C$4:$C$8,$D$4:$D$8)-SUM($M7:AG7)</f>
        <v>9750</v>
      </c>
      <c r="AH15" s="35">
        <f ca="1">_xlfn.XLOOKUP(_xlfn.NUMBERVALUE(RIGHT(AH$2,1)),$C$11:$G$11,$C16:$G16)*_xlfn.XLOOKUP($K15,$C$4:$C$8,$D$4:$D$8)-SUM($M7:AH7)</f>
        <v>9500</v>
      </c>
      <c r="AI15" s="35">
        <f ca="1">_xlfn.XLOOKUP(_xlfn.NUMBERVALUE(RIGHT(AI$2,1)),$C$11:$G$11,$C16:$G16)*_xlfn.XLOOKUP($K15,$C$4:$C$8,$D$4:$D$8)-SUM($M7:AI7)</f>
        <v>9250</v>
      </c>
      <c r="AJ15" s="35">
        <f ca="1">_xlfn.XLOOKUP(_xlfn.NUMBERVALUE(RIGHT(AJ$2,1)),$C$11:$G$11,$C16:$G16)*_xlfn.XLOOKUP($K15,$C$4:$C$8,$D$4:$D$8)-SUM($M7:AJ7)</f>
        <v>9000</v>
      </c>
      <c r="AK15" s="35">
        <f ca="1">_xlfn.XLOOKUP(_xlfn.NUMBERVALUE(RIGHT(AK$2,1)),$C$11:$G$11,$C16:$G16)*_xlfn.XLOOKUP($K15,$C$4:$C$8,$D$4:$D$8)-SUM($M7:AK7)</f>
        <v>8750</v>
      </c>
      <c r="AL15" s="35">
        <f ca="1">_xlfn.XLOOKUP(_xlfn.NUMBERVALUE(RIGHT(AL$2,1)),$C$11:$G$11,$C16:$G16)*_xlfn.XLOOKUP($K15,$C$4:$C$8,$D$4:$D$8)-SUM($M7:AL7)</f>
        <v>8500</v>
      </c>
      <c r="AM15" s="35">
        <f ca="1">_xlfn.XLOOKUP(_xlfn.NUMBERVALUE(RIGHT(AM$2,1)),$C$11:$G$11,$C16:$G16)*_xlfn.XLOOKUP($K15,$C$4:$C$8,$D$4:$D$8)-SUM($M7:AM7)</f>
        <v>8250</v>
      </c>
      <c r="AN15" s="35">
        <f ca="1">_xlfn.XLOOKUP(_xlfn.NUMBERVALUE(RIGHT(AN$2,1)),$C$11:$G$11,$C16:$G16)*_xlfn.XLOOKUP($K15,$C$4:$C$8,$D$4:$D$8)-SUM($M7:AN7)</f>
        <v>8000</v>
      </c>
      <c r="AO15" s="35">
        <f ca="1">_xlfn.XLOOKUP(_xlfn.NUMBERVALUE(RIGHT(AO$2,1)),$C$11:$G$11,$C16:$G16)*_xlfn.XLOOKUP($K15,$C$4:$C$8,$D$4:$D$8)-SUM($M7:AO7)</f>
        <v>7750</v>
      </c>
      <c r="AP15" s="35">
        <f ca="1">_xlfn.XLOOKUP(_xlfn.NUMBERVALUE(RIGHT(AP$2,1)),$C$11:$G$11,$C16:$G16)*_xlfn.XLOOKUP($K15,$C$4:$C$8,$D$4:$D$8)-SUM($M7:AP7)</f>
        <v>7500</v>
      </c>
      <c r="AQ15" s="35">
        <f ca="1">_xlfn.XLOOKUP(_xlfn.NUMBERVALUE(RIGHT(AQ$2,1)),$C$11:$G$11,$C16:$G16)*_xlfn.XLOOKUP($K15,$C$4:$C$8,$D$4:$D$8)-SUM($M7:AQ7)</f>
        <v>7250</v>
      </c>
      <c r="AR15" s="35">
        <f ca="1">_xlfn.XLOOKUP(_xlfn.NUMBERVALUE(RIGHT(AR$2,1)),$C$11:$G$11,$C16:$G16)*_xlfn.XLOOKUP($K15,$C$4:$C$8,$D$4:$D$8)-SUM($M7:AR7)</f>
        <v>7000</v>
      </c>
      <c r="AS15" s="35">
        <f ca="1">_xlfn.XLOOKUP(_xlfn.NUMBERVALUE(RIGHT(AS$2,1)),$C$11:$G$11,$C16:$G16)*_xlfn.XLOOKUP($K15,$C$4:$C$8,$D$4:$D$8)-SUM($M7:AS7)</f>
        <v>6750</v>
      </c>
      <c r="AT15" s="35">
        <f ca="1">_xlfn.XLOOKUP(_xlfn.NUMBERVALUE(RIGHT(AT$2,1)),$C$11:$G$11,$C16:$G16)*_xlfn.XLOOKUP($K15,$C$4:$C$8,$D$4:$D$8)-SUM($M7:AT7)</f>
        <v>6500</v>
      </c>
      <c r="AU15" s="35">
        <f ca="1">_xlfn.XLOOKUP(_xlfn.NUMBERVALUE(RIGHT(AU$2,1)),$C$11:$G$11,$C16:$G16)*_xlfn.XLOOKUP($K15,$C$4:$C$8,$D$4:$D$8)-SUM($M7:AU7)</f>
        <v>6250</v>
      </c>
      <c r="AV15" s="35">
        <f ca="1">_xlfn.XLOOKUP(_xlfn.NUMBERVALUE(RIGHT(AV$2,1)),$C$11:$G$11,$C16:$G16)*_xlfn.XLOOKUP($K15,$C$4:$C$8,$D$4:$D$8)-SUM($M7:AV7)</f>
        <v>6000</v>
      </c>
      <c r="AW15" s="35">
        <f ca="1">_xlfn.XLOOKUP(_xlfn.NUMBERVALUE(RIGHT(AW$2,1)),$C$11:$G$11,$C16:$G16)*_xlfn.XLOOKUP($K15,$C$4:$C$8,$D$4:$D$8)-SUM($M7:AW7)</f>
        <v>5750</v>
      </c>
      <c r="AX15" s="35">
        <f ca="1">_xlfn.XLOOKUP(_xlfn.NUMBERVALUE(RIGHT(AX$2,1)),$C$11:$G$11,$C16:$G16)*_xlfn.XLOOKUP($K15,$C$4:$C$8,$D$4:$D$8)-SUM($M7:AX7)</f>
        <v>5500</v>
      </c>
      <c r="AY15" s="35">
        <f ca="1">_xlfn.XLOOKUP(_xlfn.NUMBERVALUE(RIGHT(AY$2,1)),$C$11:$G$11,$C16:$G16)*_xlfn.XLOOKUP($K15,$C$4:$C$8,$D$4:$D$8)-SUM($M7:AY7)</f>
        <v>5250</v>
      </c>
      <c r="AZ15" s="35">
        <f ca="1">_xlfn.XLOOKUP(_xlfn.NUMBERVALUE(RIGHT(AZ$2,1)),$C$11:$G$11,$C16:$G16)*_xlfn.XLOOKUP($K15,$C$4:$C$8,$D$4:$D$8)-SUM($M7:AZ7)</f>
        <v>5000</v>
      </c>
      <c r="BA15" s="35">
        <f ca="1">_xlfn.XLOOKUP(_xlfn.NUMBERVALUE(RIGHT(BA$2,1)),$C$11:$G$11,$C16:$G16)*_xlfn.XLOOKUP($K15,$C$4:$C$8,$D$4:$D$8)-SUM($M7:BA7)</f>
        <v>4750</v>
      </c>
      <c r="BB15" s="35">
        <f ca="1">_xlfn.XLOOKUP(_xlfn.NUMBERVALUE(RIGHT(BB$2,1)),$C$11:$G$11,$C16:$G16)*_xlfn.XLOOKUP($K15,$C$4:$C$8,$D$4:$D$8)-SUM($M7:BB7)</f>
        <v>4500</v>
      </c>
      <c r="BC15" s="35">
        <f ca="1">_xlfn.XLOOKUP(_xlfn.NUMBERVALUE(RIGHT(BC$2,1)),$C$11:$G$11,$C16:$G16)*_xlfn.XLOOKUP($K15,$C$4:$C$8,$D$4:$D$8)-SUM($M7:BC7)</f>
        <v>4250</v>
      </c>
      <c r="BD15" s="35">
        <f ca="1">_xlfn.XLOOKUP(_xlfn.NUMBERVALUE(RIGHT(BD$2,1)),$C$11:$G$11,$C16:$G16)*_xlfn.XLOOKUP($K15,$C$4:$C$8,$D$4:$D$8)-SUM($M7:BD7)</f>
        <v>4000</v>
      </c>
      <c r="BE15" s="35">
        <f ca="1">_xlfn.XLOOKUP(_xlfn.NUMBERVALUE(RIGHT(BE$2,1)),$C$11:$G$11,$C16:$G16)*_xlfn.XLOOKUP($K15,$C$4:$C$8,$D$4:$D$8)-SUM($M7:BE7)</f>
        <v>3750</v>
      </c>
      <c r="BF15" s="35">
        <f ca="1">_xlfn.XLOOKUP(_xlfn.NUMBERVALUE(RIGHT(BF$2,1)),$C$11:$G$11,$C16:$G16)*_xlfn.XLOOKUP($K15,$C$4:$C$8,$D$4:$D$8)-SUM($M7:BF7)</f>
        <v>3500</v>
      </c>
      <c r="BG15" s="35">
        <f ca="1">_xlfn.XLOOKUP(_xlfn.NUMBERVALUE(RIGHT(BG$2,1)),$C$11:$G$11,$C16:$G16)*_xlfn.XLOOKUP($K15,$C$4:$C$8,$D$4:$D$8)-SUM($M7:BG7)</f>
        <v>3250</v>
      </c>
      <c r="BH15" s="35">
        <f ca="1">_xlfn.XLOOKUP(_xlfn.NUMBERVALUE(RIGHT(BH$2,1)),$C$11:$G$11,$C16:$G16)*_xlfn.XLOOKUP($K15,$C$4:$C$8,$D$4:$D$8)-SUM($M7:BH7)</f>
        <v>3000</v>
      </c>
      <c r="BI15" s="35">
        <f ca="1">_xlfn.XLOOKUP(_xlfn.NUMBERVALUE(RIGHT(BI$2,1)),$C$11:$G$11,$C16:$G16)*_xlfn.XLOOKUP($K15,$C$4:$C$8,$D$4:$D$8)-SUM($M7:BI7)</f>
        <v>2750</v>
      </c>
      <c r="BJ15" s="35">
        <f ca="1">_xlfn.XLOOKUP(_xlfn.NUMBERVALUE(RIGHT(BJ$2,1)),$C$11:$G$11,$C16:$G16)*_xlfn.XLOOKUP($K15,$C$4:$C$8,$D$4:$D$8)-SUM($M7:BJ7)</f>
        <v>2500</v>
      </c>
      <c r="BK15" s="35">
        <f ca="1">_xlfn.XLOOKUP(_xlfn.NUMBERVALUE(RIGHT(BK$2,1)),$C$11:$G$11,$C16:$G16)*_xlfn.XLOOKUP($K15,$C$4:$C$8,$D$4:$D$8)-SUM($M7:BK7)</f>
        <v>2250</v>
      </c>
      <c r="BL15" s="35">
        <f ca="1">_xlfn.XLOOKUP(_xlfn.NUMBERVALUE(RIGHT(BL$2,1)),$C$11:$G$11,$C16:$G16)*_xlfn.XLOOKUP($K15,$C$4:$C$8,$D$4:$D$8)-SUM($M7:BL7)</f>
        <v>2000</v>
      </c>
      <c r="BM15" s="35">
        <f ca="1">_xlfn.XLOOKUP(_xlfn.NUMBERVALUE(RIGHT(BM$2,1)),$C$11:$G$11,$C16:$G16)*_xlfn.XLOOKUP($K15,$C$4:$C$8,$D$4:$D$8)-SUM($M7:BM7)</f>
        <v>1750</v>
      </c>
      <c r="BN15" s="35">
        <f ca="1">_xlfn.XLOOKUP(_xlfn.NUMBERVALUE(RIGHT(BN$2,1)),$C$11:$G$11,$C16:$G16)*_xlfn.XLOOKUP($K15,$C$4:$C$8,$D$4:$D$8)-SUM($M7:BN7)</f>
        <v>1500</v>
      </c>
      <c r="BO15" s="35">
        <f ca="1">_xlfn.XLOOKUP(_xlfn.NUMBERVALUE(RIGHT(BO$2,1)),$C$11:$G$11,$C16:$G16)*_xlfn.XLOOKUP($K15,$C$4:$C$8,$D$4:$D$8)-SUM($M7:BO7)</f>
        <v>1250</v>
      </c>
      <c r="BP15" s="35">
        <f ca="1">_xlfn.XLOOKUP(_xlfn.NUMBERVALUE(RIGHT(BP$2,1)),$C$11:$G$11,$C16:$G16)*_xlfn.XLOOKUP($K15,$C$4:$C$8,$D$4:$D$8)-SUM($M7:BP7)</f>
        <v>1000</v>
      </c>
      <c r="BQ15" s="35">
        <f ca="1">_xlfn.XLOOKUP(_xlfn.NUMBERVALUE(RIGHT(BQ$2,1)),$C$11:$G$11,$C16:$G16)*_xlfn.XLOOKUP($K15,$C$4:$C$8,$D$4:$D$8)-SUM($M7:BQ7)</f>
        <v>750</v>
      </c>
      <c r="BR15" s="35">
        <f ca="1">_xlfn.XLOOKUP(_xlfn.NUMBERVALUE(RIGHT(BR$2,1)),$C$11:$G$11,$C16:$G16)*_xlfn.XLOOKUP($K15,$C$4:$C$8,$D$4:$D$8)-SUM($M7:BR7)</f>
        <v>500</v>
      </c>
      <c r="BS15" s="35">
        <f ca="1">_xlfn.XLOOKUP(_xlfn.NUMBERVALUE(RIGHT(BS$2,1)),$C$11:$G$11,$C16:$G16)*_xlfn.XLOOKUP($K15,$C$4:$C$8,$D$4:$D$8)-SUM($M7:BS7)</f>
        <v>250</v>
      </c>
      <c r="BT15" s="35">
        <f ca="1">_xlfn.XLOOKUP(_xlfn.NUMBERVALUE(RIGHT(BT$2,1)),$C$11:$G$11,$C16:$G16)*_xlfn.XLOOKUP($K15,$C$4:$C$8,$D$4:$D$8)-SUM($M7:BT7)</f>
        <v>0</v>
      </c>
    </row>
    <row r="16" spans="1:72" x14ac:dyDescent="0.3">
      <c r="B16" t="s">
        <v>234</v>
      </c>
      <c r="C16" s="90">
        <v>1</v>
      </c>
      <c r="D16" s="90">
        <f>C16</f>
        <v>1</v>
      </c>
      <c r="E16" s="90">
        <f t="shared" ref="E16:G16" si="9">D16</f>
        <v>1</v>
      </c>
      <c r="F16" s="90">
        <f t="shared" si="9"/>
        <v>1</v>
      </c>
      <c r="G16" s="90">
        <f t="shared" si="9"/>
        <v>1</v>
      </c>
    </row>
    <row r="17" spans="1:72" x14ac:dyDescent="0.3">
      <c r="C17" s="89"/>
      <c r="D17" s="90"/>
      <c r="E17" s="89"/>
      <c r="F17" s="90"/>
      <c r="G17" s="89"/>
      <c r="L17" s="16" t="s">
        <v>238</v>
      </c>
      <c r="M17" s="34">
        <f>SUM(M12:M15)</f>
        <v>27533.333333333336</v>
      </c>
      <c r="N17" s="34">
        <f t="shared" ref="N17:BT17" si="10">SUM(N12:N15)</f>
        <v>27066.666666666664</v>
      </c>
      <c r="O17" s="34">
        <f t="shared" si="10"/>
        <v>26600</v>
      </c>
      <c r="P17" s="34">
        <f t="shared" si="10"/>
        <v>26133.333333333336</v>
      </c>
      <c r="Q17" s="34">
        <f t="shared" si="10"/>
        <v>25666.666666666668</v>
      </c>
      <c r="R17" s="34">
        <f t="shared" si="10"/>
        <v>25200</v>
      </c>
      <c r="S17" s="34">
        <f t="shared" si="10"/>
        <v>24733.333333333336</v>
      </c>
      <c r="T17" s="34">
        <f t="shared" si="10"/>
        <v>24266.666666666668</v>
      </c>
      <c r="U17" s="34">
        <f t="shared" si="10"/>
        <v>23800</v>
      </c>
      <c r="V17" s="34">
        <f t="shared" si="10"/>
        <v>23333.333333333336</v>
      </c>
      <c r="W17" s="34">
        <f t="shared" si="10"/>
        <v>22866.666666666668</v>
      </c>
      <c r="X17" s="34">
        <f t="shared" si="10"/>
        <v>22400</v>
      </c>
      <c r="Y17" s="34">
        <f t="shared" ca="1" si="10"/>
        <v>36683.333333333336</v>
      </c>
      <c r="Z17" s="34">
        <f t="shared" ca="1" si="10"/>
        <v>35966.666666666672</v>
      </c>
      <c r="AA17" s="34">
        <f t="shared" ca="1" si="10"/>
        <v>35250</v>
      </c>
      <c r="AB17" s="34">
        <f t="shared" ca="1" si="10"/>
        <v>34533.333333333336</v>
      </c>
      <c r="AC17" s="34">
        <f t="shared" ca="1" si="10"/>
        <v>33816.666666666672</v>
      </c>
      <c r="AD17" s="34">
        <f t="shared" ca="1" si="10"/>
        <v>33100</v>
      </c>
      <c r="AE17" s="34">
        <f t="shared" ca="1" si="10"/>
        <v>32383.333333333336</v>
      </c>
      <c r="AF17" s="34">
        <f t="shared" ca="1" si="10"/>
        <v>31666.666666666672</v>
      </c>
      <c r="AG17" s="34">
        <f t="shared" ca="1" si="10"/>
        <v>30950.000000000004</v>
      </c>
      <c r="AH17" s="34">
        <f t="shared" ca="1" si="10"/>
        <v>30233.333333333336</v>
      </c>
      <c r="AI17" s="34">
        <f t="shared" ca="1" si="10"/>
        <v>29516.666666666668</v>
      </c>
      <c r="AJ17" s="34">
        <f t="shared" ca="1" si="10"/>
        <v>28800</v>
      </c>
      <c r="AK17" s="34">
        <f t="shared" ca="1" si="10"/>
        <v>51683.333333333336</v>
      </c>
      <c r="AL17" s="34">
        <f t="shared" ca="1" si="10"/>
        <v>50566.666666666672</v>
      </c>
      <c r="AM17" s="34">
        <f t="shared" ca="1" si="10"/>
        <v>49450</v>
      </c>
      <c r="AN17" s="34">
        <f t="shared" ca="1" si="10"/>
        <v>48333.333333333336</v>
      </c>
      <c r="AO17" s="34">
        <f t="shared" ca="1" si="10"/>
        <v>47216.666666666672</v>
      </c>
      <c r="AP17" s="34">
        <f t="shared" ca="1" si="10"/>
        <v>46100.000000000007</v>
      </c>
      <c r="AQ17" s="34">
        <f t="shared" ca="1" si="10"/>
        <v>44983.333333333343</v>
      </c>
      <c r="AR17" s="34">
        <f t="shared" ca="1" si="10"/>
        <v>43866.666666666672</v>
      </c>
      <c r="AS17" s="34">
        <f t="shared" ca="1" si="10"/>
        <v>42750</v>
      </c>
      <c r="AT17" s="34">
        <f t="shared" ca="1" si="10"/>
        <v>41633.333333333336</v>
      </c>
      <c r="AU17" s="34">
        <f t="shared" ca="1" si="10"/>
        <v>40516.666666666672</v>
      </c>
      <c r="AV17" s="34">
        <f t="shared" ca="1" si="10"/>
        <v>39400</v>
      </c>
      <c r="AW17" s="34">
        <f t="shared" ca="1" si="10"/>
        <v>58933.333333333343</v>
      </c>
      <c r="AX17" s="34">
        <f t="shared" ca="1" si="10"/>
        <v>57466.666666666672</v>
      </c>
      <c r="AY17" s="34">
        <f t="shared" ca="1" si="10"/>
        <v>56000</v>
      </c>
      <c r="AZ17" s="34">
        <f t="shared" ca="1" si="10"/>
        <v>54533.333333333343</v>
      </c>
      <c r="BA17" s="34">
        <f t="shared" ca="1" si="10"/>
        <v>53066.666666666672</v>
      </c>
      <c r="BB17" s="34">
        <f t="shared" ca="1" si="10"/>
        <v>51600.000000000007</v>
      </c>
      <c r="BC17" s="34">
        <f t="shared" ca="1" si="10"/>
        <v>50133.333333333343</v>
      </c>
      <c r="BD17" s="34">
        <f t="shared" ca="1" si="10"/>
        <v>48666.666666666672</v>
      </c>
      <c r="BE17" s="34">
        <f t="shared" ca="1" si="10"/>
        <v>47200.000000000007</v>
      </c>
      <c r="BF17" s="34">
        <f t="shared" ca="1" si="10"/>
        <v>45733.333333333343</v>
      </c>
      <c r="BG17" s="34">
        <f t="shared" ca="1" si="10"/>
        <v>44266.666666666672</v>
      </c>
      <c r="BH17" s="34">
        <f t="shared" ca="1" si="10"/>
        <v>42800</v>
      </c>
      <c r="BI17" s="34">
        <f t="shared" ca="1" si="10"/>
        <v>41333.333333333336</v>
      </c>
      <c r="BJ17" s="34">
        <f t="shared" ca="1" si="10"/>
        <v>39866.666666666664</v>
      </c>
      <c r="BK17" s="34">
        <f t="shared" ca="1" si="10"/>
        <v>38400</v>
      </c>
      <c r="BL17" s="34">
        <f t="shared" ca="1" si="10"/>
        <v>36933.333333333328</v>
      </c>
      <c r="BM17" s="34">
        <f t="shared" ca="1" si="10"/>
        <v>35466.666666666657</v>
      </c>
      <c r="BN17" s="34">
        <f t="shared" ca="1" si="10"/>
        <v>33999.999999999993</v>
      </c>
      <c r="BO17" s="34">
        <f t="shared" ca="1" si="10"/>
        <v>32533.333333333321</v>
      </c>
      <c r="BP17" s="34">
        <f t="shared" ca="1" si="10"/>
        <v>31066.666666666657</v>
      </c>
      <c r="BQ17" s="34">
        <f t="shared" ca="1" si="10"/>
        <v>29599.999999999985</v>
      </c>
      <c r="BR17" s="34">
        <f t="shared" ca="1" si="10"/>
        <v>28133.333333333318</v>
      </c>
      <c r="BS17" s="34">
        <f t="shared" ca="1" si="10"/>
        <v>26666.66666666665</v>
      </c>
      <c r="BT17" s="34">
        <f t="shared" ca="1" si="10"/>
        <v>25199.999999999982</v>
      </c>
    </row>
    <row r="19" spans="1:72" x14ac:dyDescent="0.3">
      <c r="C19" s="90"/>
      <c r="D19" s="90"/>
      <c r="E19" s="90"/>
      <c r="F19" s="90"/>
      <c r="G19" s="90"/>
      <c r="J19" s="16" t="s">
        <v>240</v>
      </c>
      <c r="M19" s="36"/>
    </row>
    <row r="20" spans="1:72" x14ac:dyDescent="0.3">
      <c r="A20" s="16" t="s">
        <v>239</v>
      </c>
      <c r="C20" s="90"/>
      <c r="D20" s="90"/>
      <c r="E20" s="90"/>
      <c r="F20" s="90"/>
      <c r="G20" s="90"/>
      <c r="L20" s="16" t="s">
        <v>241</v>
      </c>
      <c r="M20" s="98">
        <f t="shared" ref="M20:AR20" si="11">IF(M3=$M$3,_xlfn.XLOOKUP(_xlfn.NUMBERVALUE(RIGHT(M2,1)),$C$11:$G$11,$C$39:$G$39),0)</f>
        <v>28000</v>
      </c>
      <c r="N20" s="98">
        <f t="shared" si="11"/>
        <v>0</v>
      </c>
      <c r="O20" s="98">
        <f t="shared" si="11"/>
        <v>0</v>
      </c>
      <c r="P20" s="98">
        <f t="shared" si="11"/>
        <v>0</v>
      </c>
      <c r="Q20" s="98">
        <f t="shared" si="11"/>
        <v>0</v>
      </c>
      <c r="R20" s="98">
        <f t="shared" si="11"/>
        <v>0</v>
      </c>
      <c r="S20" s="98">
        <f t="shared" si="11"/>
        <v>0</v>
      </c>
      <c r="T20" s="98">
        <f t="shared" si="11"/>
        <v>0</v>
      </c>
      <c r="U20" s="98">
        <f t="shared" si="11"/>
        <v>0</v>
      </c>
      <c r="V20" s="98">
        <f t="shared" si="11"/>
        <v>0</v>
      </c>
      <c r="W20" s="98">
        <f t="shared" si="11"/>
        <v>0</v>
      </c>
      <c r="X20" s="98">
        <f t="shared" si="11"/>
        <v>0</v>
      </c>
      <c r="Y20" s="98">
        <f t="shared" si="11"/>
        <v>15000</v>
      </c>
      <c r="Z20" s="98">
        <f t="shared" si="11"/>
        <v>0</v>
      </c>
      <c r="AA20" s="98">
        <f t="shared" si="11"/>
        <v>0</v>
      </c>
      <c r="AB20" s="98">
        <f t="shared" si="11"/>
        <v>0</v>
      </c>
      <c r="AC20" s="98">
        <f t="shared" si="11"/>
        <v>0</v>
      </c>
      <c r="AD20" s="98">
        <f t="shared" si="11"/>
        <v>0</v>
      </c>
      <c r="AE20" s="98">
        <f t="shared" si="11"/>
        <v>0</v>
      </c>
      <c r="AF20" s="98">
        <f t="shared" si="11"/>
        <v>0</v>
      </c>
      <c r="AG20" s="98">
        <f t="shared" si="11"/>
        <v>0</v>
      </c>
      <c r="AH20" s="98">
        <f t="shared" si="11"/>
        <v>0</v>
      </c>
      <c r="AI20" s="98">
        <f t="shared" si="11"/>
        <v>0</v>
      </c>
      <c r="AJ20" s="98">
        <f t="shared" si="11"/>
        <v>0</v>
      </c>
      <c r="AK20" s="98">
        <f t="shared" si="11"/>
        <v>24000</v>
      </c>
      <c r="AL20" s="98">
        <f t="shared" si="11"/>
        <v>0</v>
      </c>
      <c r="AM20" s="98">
        <f t="shared" si="11"/>
        <v>0</v>
      </c>
      <c r="AN20" s="98">
        <f t="shared" si="11"/>
        <v>0</v>
      </c>
      <c r="AO20" s="98">
        <f t="shared" si="11"/>
        <v>0</v>
      </c>
      <c r="AP20" s="98">
        <f t="shared" si="11"/>
        <v>0</v>
      </c>
      <c r="AQ20" s="98">
        <f t="shared" si="11"/>
        <v>0</v>
      </c>
      <c r="AR20" s="98">
        <f t="shared" si="11"/>
        <v>0</v>
      </c>
      <c r="AS20" s="98">
        <f t="shared" ref="AS20:BT20" si="12">IF(AS3=$M$3,_xlfn.XLOOKUP(_xlfn.NUMBERVALUE(RIGHT(AS2,1)),$C$11:$G$11,$C$39:$G$39),0)</f>
        <v>0</v>
      </c>
      <c r="AT20" s="98">
        <f t="shared" si="12"/>
        <v>0</v>
      </c>
      <c r="AU20" s="98">
        <f t="shared" si="12"/>
        <v>0</v>
      </c>
      <c r="AV20" s="98">
        <f t="shared" si="12"/>
        <v>0</v>
      </c>
      <c r="AW20" s="98">
        <f t="shared" si="12"/>
        <v>21000</v>
      </c>
      <c r="AX20" s="98">
        <f t="shared" si="12"/>
        <v>0</v>
      </c>
      <c r="AY20" s="98">
        <f t="shared" si="12"/>
        <v>0</v>
      </c>
      <c r="AZ20" s="98">
        <f t="shared" si="12"/>
        <v>0</v>
      </c>
      <c r="BA20" s="98">
        <f t="shared" si="12"/>
        <v>0</v>
      </c>
      <c r="BB20" s="98">
        <f t="shared" si="12"/>
        <v>0</v>
      </c>
      <c r="BC20" s="98">
        <f t="shared" si="12"/>
        <v>0</v>
      </c>
      <c r="BD20" s="98">
        <f t="shared" si="12"/>
        <v>0</v>
      </c>
      <c r="BE20" s="98">
        <f t="shared" si="12"/>
        <v>0</v>
      </c>
      <c r="BF20" s="98">
        <f t="shared" si="12"/>
        <v>0</v>
      </c>
      <c r="BG20" s="98">
        <f t="shared" si="12"/>
        <v>0</v>
      </c>
      <c r="BH20" s="98">
        <f t="shared" si="12"/>
        <v>0</v>
      </c>
      <c r="BI20" s="98">
        <f t="shared" si="12"/>
        <v>0</v>
      </c>
      <c r="BJ20" s="98">
        <f t="shared" si="12"/>
        <v>0</v>
      </c>
      <c r="BK20" s="98">
        <f t="shared" si="12"/>
        <v>0</v>
      </c>
      <c r="BL20" s="98">
        <f t="shared" si="12"/>
        <v>0</v>
      </c>
      <c r="BM20" s="98">
        <f t="shared" si="12"/>
        <v>0</v>
      </c>
      <c r="BN20" s="98">
        <f t="shared" si="12"/>
        <v>0</v>
      </c>
      <c r="BO20" s="98">
        <f t="shared" si="12"/>
        <v>0</v>
      </c>
      <c r="BP20" s="98">
        <f t="shared" si="12"/>
        <v>0</v>
      </c>
      <c r="BQ20" s="98">
        <f t="shared" si="12"/>
        <v>0</v>
      </c>
      <c r="BR20" s="98">
        <f t="shared" si="12"/>
        <v>0</v>
      </c>
      <c r="BS20" s="98">
        <f t="shared" si="12"/>
        <v>0</v>
      </c>
      <c r="BT20" s="98">
        <f t="shared" si="12"/>
        <v>0</v>
      </c>
    </row>
    <row r="21" spans="1:72" x14ac:dyDescent="0.3">
      <c r="B21" t="s">
        <v>231</v>
      </c>
      <c r="C21" s="90">
        <f>C13</f>
        <v>3</v>
      </c>
      <c r="D21" s="90">
        <f>D13-C13</f>
        <v>5</v>
      </c>
      <c r="E21" s="90">
        <f t="shared" ref="E21:G21" si="13">E13-D13</f>
        <v>8</v>
      </c>
      <c r="F21" s="90">
        <f t="shared" si="13"/>
        <v>7</v>
      </c>
      <c r="G21" s="90">
        <f t="shared" si="13"/>
        <v>0</v>
      </c>
    </row>
    <row r="22" spans="1:72" x14ac:dyDescent="0.3">
      <c r="B22" t="s">
        <v>232</v>
      </c>
      <c r="C22" s="90">
        <f t="shared" ref="C22" si="14">C14</f>
        <v>1</v>
      </c>
      <c r="D22" s="90">
        <f t="shared" ref="D22:G22" si="15">D14-C14</f>
        <v>0</v>
      </c>
      <c r="E22" s="90">
        <f t="shared" si="15"/>
        <v>0</v>
      </c>
      <c r="F22" s="90">
        <f t="shared" si="15"/>
        <v>0</v>
      </c>
      <c r="G22" s="90">
        <f t="shared" si="15"/>
        <v>0</v>
      </c>
    </row>
    <row r="23" spans="1:72" x14ac:dyDescent="0.3">
      <c r="B23" t="s">
        <v>233</v>
      </c>
      <c r="C23" s="90">
        <f>C15</f>
        <v>3</v>
      </c>
      <c r="D23" s="90">
        <f t="shared" ref="D23:G24" si="16">D15-C15</f>
        <v>5</v>
      </c>
      <c r="E23" s="90">
        <f t="shared" si="16"/>
        <v>8</v>
      </c>
      <c r="F23" s="90">
        <f t="shared" si="16"/>
        <v>7</v>
      </c>
      <c r="G23" s="90">
        <f t="shared" si="16"/>
        <v>0</v>
      </c>
    </row>
    <row r="24" spans="1:72" x14ac:dyDescent="0.3">
      <c r="B24" t="s">
        <v>234</v>
      </c>
      <c r="C24" s="90">
        <f>C16</f>
        <v>1</v>
      </c>
      <c r="D24" s="90">
        <f t="shared" si="16"/>
        <v>0</v>
      </c>
      <c r="E24" s="90">
        <f t="shared" si="16"/>
        <v>0</v>
      </c>
      <c r="F24" s="90">
        <f t="shared" si="16"/>
        <v>0</v>
      </c>
      <c r="G24" s="90">
        <f t="shared" si="16"/>
        <v>0</v>
      </c>
    </row>
    <row r="25" spans="1:72" x14ac:dyDescent="0.3">
      <c r="C25" s="90"/>
      <c r="D25" s="90"/>
      <c r="E25" s="90"/>
      <c r="F25" s="90"/>
      <c r="G25" s="90"/>
    </row>
    <row r="27" spans="1:72" x14ac:dyDescent="0.3">
      <c r="A27" s="16" t="s">
        <v>242</v>
      </c>
    </row>
    <row r="28" spans="1:72" x14ac:dyDescent="0.3">
      <c r="B28" t="s">
        <v>231</v>
      </c>
      <c r="C28" s="90">
        <f>C13</f>
        <v>3</v>
      </c>
      <c r="D28" s="90">
        <f ca="1">IF(COUNT($C$21:D$21)&gt;$E4,C28-N(OFFSET(D21,0,-$E4)),C28)+D21</f>
        <v>8</v>
      </c>
      <c r="E28" s="90">
        <f ca="1">IF(COUNT($C$21:E$21)&gt;$E4,D28-N(OFFSET(E21,0,-$E4)),D28)+E21</f>
        <v>16</v>
      </c>
      <c r="F28" s="90">
        <f ca="1">IF(COUNT($C$21:F$21)&gt;$E4,E28-N(OFFSET(F21,0,-$E4)),E28)+F21</f>
        <v>23</v>
      </c>
      <c r="G28" s="90">
        <f ca="1">IF(COUNT($C$21:G$21)&gt;$E4,F28-N(OFFSET(G21,0,-$E4)),F28)+G21</f>
        <v>23</v>
      </c>
    </row>
    <row r="29" spans="1:72" x14ac:dyDescent="0.3">
      <c r="B29" t="s">
        <v>232</v>
      </c>
      <c r="C29" s="90">
        <f t="shared" ref="C29" si="17">C14</f>
        <v>1</v>
      </c>
      <c r="D29" s="90">
        <f ca="1">IF(COUNT($C$21:D$21)&gt;$E5,C29-N(OFFSET(D22,0,-$E5)),C29)+D22</f>
        <v>1</v>
      </c>
      <c r="E29" s="90">
        <f ca="1">IF(COUNT($C$21:E$21)&gt;$E5,D29-N(OFFSET(E22,0,-$E5)),D29)+E22</f>
        <v>1</v>
      </c>
      <c r="F29" s="90">
        <f ca="1">IF(COUNT($C$21:F$21)&gt;$E5,E29-N(OFFSET(F22,0,-$E5)),E29)+F22</f>
        <v>1</v>
      </c>
      <c r="G29" s="90">
        <f ca="1">IF(COUNT($C$21:G$21)&gt;$E5,F29-N(OFFSET(G22,0,-$E5)),F29)+G22</f>
        <v>1</v>
      </c>
    </row>
    <row r="30" spans="1:72" x14ac:dyDescent="0.3">
      <c r="B30" t="s">
        <v>233</v>
      </c>
      <c r="C30" s="90">
        <f>C15</f>
        <v>3</v>
      </c>
      <c r="D30" s="90">
        <f ca="1">IF(COUNT($C$21:D$21)&gt;$E6,C30-N(OFFSET(D23,0,-$E6)),C30)+D23</f>
        <v>8</v>
      </c>
      <c r="E30" s="90">
        <f ca="1">IF(COUNT($C$21:E$21)&gt;$E6,D30-N(OFFSET(E23,0,-$E6)),D30)+E23</f>
        <v>16</v>
      </c>
      <c r="F30" s="90">
        <f ca="1">IF(COUNT($C$21:F$21)&gt;$E6,E30-N(OFFSET(F23,0,-$E6)),E30)+F23</f>
        <v>23</v>
      </c>
      <c r="G30" s="90">
        <f ca="1">IF(COUNT($C$21:G$21)&gt;$E6,F30-N(OFFSET(G23,0,-$E6)),F30)+G23</f>
        <v>23</v>
      </c>
    </row>
    <row r="31" spans="1:72" x14ac:dyDescent="0.3">
      <c r="B31" t="s">
        <v>234</v>
      </c>
      <c r="C31" s="90">
        <f>C16</f>
        <v>1</v>
      </c>
      <c r="D31" s="90">
        <f ca="1">IF(COUNT($C$21:D$21)&gt;$E7,C31-N(OFFSET(D24,0,-$E7)),C31)+D24</f>
        <v>1</v>
      </c>
      <c r="E31" s="90">
        <f ca="1">IF(COUNT($C$21:E$21)&gt;$E7,D31-N(OFFSET(E24,0,-$E7)),D31)+E24</f>
        <v>1</v>
      </c>
      <c r="F31" s="90">
        <f ca="1">IF(COUNT($C$21:F$21)&gt;$E7,E31-N(OFFSET(F24,0,-$E7)),E31)+F24</f>
        <v>1</v>
      </c>
      <c r="G31" s="90">
        <f ca="1">IF(COUNT($C$21:G$21)&gt;$E7,F31-N(OFFSET(G24,0,-$E7)),F31)+G24</f>
        <v>1</v>
      </c>
    </row>
    <row r="32" spans="1:72" x14ac:dyDescent="0.3">
      <c r="C32" s="90"/>
      <c r="D32" s="90"/>
      <c r="E32" s="90"/>
      <c r="F32" s="90"/>
      <c r="G32" s="90"/>
    </row>
    <row r="36" spans="1:7" x14ac:dyDescent="0.3">
      <c r="A36" s="16" t="s">
        <v>243</v>
      </c>
    </row>
    <row r="37" spans="1:7" x14ac:dyDescent="0.3">
      <c r="B37" t="s">
        <v>244</v>
      </c>
      <c r="C37" cm="1">
        <f t="array" ref="C37:G37">HeadCount!B8:F8</f>
        <v>3</v>
      </c>
      <c r="D37">
        <v>8</v>
      </c>
      <c r="E37">
        <v>16</v>
      </c>
      <c r="F37">
        <v>23</v>
      </c>
      <c r="G37">
        <v>23</v>
      </c>
    </row>
    <row r="39" spans="1:7" x14ac:dyDescent="0.3">
      <c r="A39" s="16" t="s">
        <v>245</v>
      </c>
      <c r="C39" s="17">
        <f>SUMPRODUCT(C21:C25,$D$4:$D$8)</f>
        <v>28000</v>
      </c>
      <c r="D39" s="17">
        <f>SUMPRODUCT(D21:D25,$D$4:$D$8)</f>
        <v>15000</v>
      </c>
      <c r="E39" s="17">
        <f>SUMPRODUCT(E21:E25,$D$4:$D$8)</f>
        <v>24000</v>
      </c>
      <c r="F39" s="17">
        <f>SUMPRODUCT(F21:F25,$D$4:$D$8)</f>
        <v>21000</v>
      </c>
      <c r="G39" s="17">
        <f>SUMPRODUCT(G21:G25,$D$4:$D$8)</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F8878-C1F7-4CC1-812F-FDAE9373C7F8}">
  <sheetPr>
    <tabColor rgb="FFFFFF00"/>
  </sheetPr>
  <dimension ref="A1:BT21"/>
  <sheetViews>
    <sheetView workbookViewId="0"/>
  </sheetViews>
  <sheetFormatPr defaultColWidth="11.44140625" defaultRowHeight="14.4" x14ac:dyDescent="0.3"/>
  <cols>
    <col min="1" max="1" width="6.6640625" customWidth="1"/>
    <col min="2" max="8" width="1.6640625" customWidth="1"/>
    <col min="13" max="13" width="12" customWidth="1"/>
  </cols>
  <sheetData>
    <row r="1" spans="1:72" x14ac:dyDescent="0.3">
      <c r="A1" t="s">
        <v>130</v>
      </c>
    </row>
    <row r="2" spans="1:72" x14ac:dyDescent="0.3">
      <c r="I2" s="16"/>
    </row>
    <row r="3" spans="1:72" x14ac:dyDescent="0.3">
      <c r="M3" s="38" t="str" cm="1">
        <f t="array" ref="M3:BT4">'Sales &amp; Marketing'!M2:BT3</f>
        <v>Year 1</v>
      </c>
      <c r="N3" s="38" t="str">
        <v>Year 1</v>
      </c>
      <c r="O3" s="38" t="str">
        <v>Year 1</v>
      </c>
      <c r="P3" s="38" t="str">
        <v>Year 1</v>
      </c>
      <c r="Q3" s="38" t="str">
        <v>Year 1</v>
      </c>
      <c r="R3" s="38" t="str">
        <v>Year 1</v>
      </c>
      <c r="S3" s="38" t="str">
        <v>Year 1</v>
      </c>
      <c r="T3" s="38" t="str">
        <v>Year 1</v>
      </c>
      <c r="U3" s="38" t="str">
        <v>Year 1</v>
      </c>
      <c r="V3" s="38" t="str">
        <v>Year 1</v>
      </c>
      <c r="W3" s="38" t="str">
        <v>Year 1</v>
      </c>
      <c r="X3" s="38" t="str">
        <v>Year 1</v>
      </c>
      <c r="Y3" s="38" t="str">
        <v>Year 2</v>
      </c>
      <c r="Z3" s="38" t="str">
        <v>Year 2</v>
      </c>
      <c r="AA3" s="38" t="str">
        <v>Year 2</v>
      </c>
      <c r="AB3" s="38" t="str">
        <v>Year 2</v>
      </c>
      <c r="AC3" s="38" t="str">
        <v>Year 2</v>
      </c>
      <c r="AD3" s="38" t="str">
        <v>Year 2</v>
      </c>
      <c r="AE3" s="38" t="str">
        <v>Year 2</v>
      </c>
      <c r="AF3" s="38" t="str">
        <v>Year 2</v>
      </c>
      <c r="AG3" s="38" t="str">
        <v>Year 2</v>
      </c>
      <c r="AH3" s="38" t="str">
        <v>Year 2</v>
      </c>
      <c r="AI3" s="38" t="str">
        <v>Year 2</v>
      </c>
      <c r="AJ3" s="38" t="str">
        <v>Year 2</v>
      </c>
      <c r="AK3" s="38" t="str">
        <v>Year 3</v>
      </c>
      <c r="AL3" s="38" t="str">
        <v>Year 3</v>
      </c>
      <c r="AM3" s="38" t="str">
        <v>Year 3</v>
      </c>
      <c r="AN3" s="38" t="str">
        <v>Year 3</v>
      </c>
      <c r="AO3" s="38" t="str">
        <v>Year 3</v>
      </c>
      <c r="AP3" s="38" t="str">
        <v>Year 3</v>
      </c>
      <c r="AQ3" s="38" t="str">
        <v>Year 3</v>
      </c>
      <c r="AR3" s="38" t="str">
        <v>Year 3</v>
      </c>
      <c r="AS3" s="38" t="str">
        <v>Year 3</v>
      </c>
      <c r="AT3" s="38" t="str">
        <v>Year 3</v>
      </c>
      <c r="AU3" s="38" t="str">
        <v>Year 3</v>
      </c>
      <c r="AV3" s="38" t="str">
        <v>Year 3</v>
      </c>
      <c r="AW3" s="38" t="str">
        <v>Year 4</v>
      </c>
      <c r="AX3" s="38" t="str">
        <v>Year 4</v>
      </c>
      <c r="AY3" s="38" t="str">
        <v>Year 4</v>
      </c>
      <c r="AZ3" s="38" t="str">
        <v>Year 4</v>
      </c>
      <c r="BA3" s="38" t="str">
        <v>Year 4</v>
      </c>
      <c r="BB3" s="38" t="str">
        <v>Year 4</v>
      </c>
      <c r="BC3" s="38" t="str">
        <v>Year 4</v>
      </c>
      <c r="BD3" s="38" t="str">
        <v>Year 4</v>
      </c>
      <c r="BE3" s="38" t="str">
        <v>Year 4</v>
      </c>
      <c r="BF3" s="38" t="str">
        <v>Year 4</v>
      </c>
      <c r="BG3" s="38" t="str">
        <v>Year 4</v>
      </c>
      <c r="BH3" s="38" t="str">
        <v>Year 4</v>
      </c>
      <c r="BI3" s="38" t="str">
        <v>Year 5</v>
      </c>
      <c r="BJ3" s="38" t="str">
        <v>Year 5</v>
      </c>
      <c r="BK3" s="38" t="str">
        <v>Year 5</v>
      </c>
      <c r="BL3" s="38" t="str">
        <v>Year 5</v>
      </c>
      <c r="BM3" s="38" t="str">
        <v>Year 5</v>
      </c>
      <c r="BN3" s="38" t="str">
        <v>Year 5</v>
      </c>
      <c r="BO3" s="38" t="str">
        <v>Year 5</v>
      </c>
      <c r="BP3" s="38" t="str">
        <v>Year 5</v>
      </c>
      <c r="BQ3" s="38" t="str">
        <v>Year 5</v>
      </c>
      <c r="BR3" s="38" t="str">
        <v>Year 5</v>
      </c>
      <c r="BS3" s="38" t="str">
        <v>Year 5</v>
      </c>
      <c r="BT3" s="38" t="str">
        <v>Year 5</v>
      </c>
    </row>
    <row r="4" spans="1:72" x14ac:dyDescent="0.3">
      <c r="M4" s="39" t="str">
        <v>Jan</v>
      </c>
      <c r="N4" s="39" t="str">
        <v>Feb</v>
      </c>
      <c r="O4" s="39" t="str">
        <v>Mar</v>
      </c>
      <c r="P4" s="39" t="str">
        <v>Apr</v>
      </c>
      <c r="Q4" s="39" t="str">
        <v>May</v>
      </c>
      <c r="R4" s="39" t="str">
        <v>Jun</v>
      </c>
      <c r="S4" s="39" t="str">
        <v>Jul</v>
      </c>
      <c r="T4" s="39" t="str">
        <v>Aug</v>
      </c>
      <c r="U4" s="39" t="str">
        <v>Sep</v>
      </c>
      <c r="V4" s="39" t="str">
        <v>Oct</v>
      </c>
      <c r="W4" s="39" t="str">
        <v>Nov</v>
      </c>
      <c r="X4" s="39" t="str">
        <v>Dec</v>
      </c>
      <c r="Y4" s="39" t="str">
        <v>Jan</v>
      </c>
      <c r="Z4" s="39" t="str">
        <v>Feb</v>
      </c>
      <c r="AA4" s="39" t="str">
        <v>Mar</v>
      </c>
      <c r="AB4" s="39" t="str">
        <v>Apr</v>
      </c>
      <c r="AC4" s="39" t="str">
        <v>May</v>
      </c>
      <c r="AD4" s="39" t="str">
        <v>Jun</v>
      </c>
      <c r="AE4" s="39" t="str">
        <v>Jul</v>
      </c>
      <c r="AF4" s="39" t="str">
        <v>Aug</v>
      </c>
      <c r="AG4" s="39" t="str">
        <v>Sep</v>
      </c>
      <c r="AH4" s="39" t="str">
        <v>Oct</v>
      </c>
      <c r="AI4" s="39" t="str">
        <v>Nov</v>
      </c>
      <c r="AJ4" s="39" t="str">
        <v>Dec</v>
      </c>
      <c r="AK4" s="39" t="str">
        <v>Jan</v>
      </c>
      <c r="AL4" s="39" t="str">
        <v>Feb</v>
      </c>
      <c r="AM4" s="39" t="str">
        <v>Mar</v>
      </c>
      <c r="AN4" s="39" t="str">
        <v>Apr</v>
      </c>
      <c r="AO4" s="39" t="str">
        <v>May</v>
      </c>
      <c r="AP4" s="39" t="str">
        <v>Jun</v>
      </c>
      <c r="AQ4" s="39" t="str">
        <v>Jul</v>
      </c>
      <c r="AR4" s="39" t="str">
        <v>Aug</v>
      </c>
      <c r="AS4" s="39" t="str">
        <v>Sep</v>
      </c>
      <c r="AT4" s="39" t="str">
        <v>Oct</v>
      </c>
      <c r="AU4" s="39" t="str">
        <v>Nov</v>
      </c>
      <c r="AV4" s="39" t="str">
        <v>Dec</v>
      </c>
      <c r="AW4" s="39" t="str">
        <v>Jan</v>
      </c>
      <c r="AX4" s="39" t="str">
        <v>Feb</v>
      </c>
      <c r="AY4" s="39" t="str">
        <v>Mar</v>
      </c>
      <c r="AZ4" s="39" t="str">
        <v>Apr</v>
      </c>
      <c r="BA4" s="39" t="str">
        <v>May</v>
      </c>
      <c r="BB4" s="39" t="str">
        <v>Jun</v>
      </c>
      <c r="BC4" s="39" t="str">
        <v>Jul</v>
      </c>
      <c r="BD4" s="39" t="str">
        <v>Aug</v>
      </c>
      <c r="BE4" s="39" t="str">
        <v>Sep</v>
      </c>
      <c r="BF4" s="39" t="str">
        <v>Oct</v>
      </c>
      <c r="BG4" s="39" t="str">
        <v>Nov</v>
      </c>
      <c r="BH4" s="39" t="str">
        <v>Dec</v>
      </c>
      <c r="BI4" s="39" t="str">
        <v>Jan</v>
      </c>
      <c r="BJ4" s="39" t="str">
        <v>Feb</v>
      </c>
      <c r="BK4" s="39" t="str">
        <v>Mar</v>
      </c>
      <c r="BL4" s="39" t="str">
        <v>Apr</v>
      </c>
      <c r="BM4" s="39" t="str">
        <v>May</v>
      </c>
      <c r="BN4" s="39" t="str">
        <v>Jun</v>
      </c>
      <c r="BO4" s="39" t="str">
        <v>Jul</v>
      </c>
      <c r="BP4" s="39" t="str">
        <v>Aug</v>
      </c>
      <c r="BQ4" s="39" t="str">
        <v>Sep</v>
      </c>
      <c r="BR4" s="39" t="str">
        <v>Oct</v>
      </c>
      <c r="BS4" s="39" t="str">
        <v>Nov</v>
      </c>
      <c r="BT4" s="39" t="str">
        <v>Dec</v>
      </c>
    </row>
    <row r="5" spans="1:72" x14ac:dyDescent="0.3">
      <c r="N5" s="40"/>
    </row>
    <row r="6" spans="1:72" x14ac:dyDescent="0.3">
      <c r="I6" t="s">
        <v>219</v>
      </c>
      <c r="M6" s="41">
        <f>L21</f>
        <v>5069.0985721034203</v>
      </c>
      <c r="N6" s="15">
        <f t="shared" ref="N6:BT6" si="0">+M6</f>
        <v>5069.0985721034203</v>
      </c>
      <c r="O6" s="15">
        <f t="shared" si="0"/>
        <v>5069.0985721034203</v>
      </c>
      <c r="P6" s="15">
        <f t="shared" si="0"/>
        <v>5069.0985721034203</v>
      </c>
      <c r="Q6" s="15">
        <f t="shared" si="0"/>
        <v>5069.0985721034203</v>
      </c>
      <c r="R6" s="15">
        <f t="shared" si="0"/>
        <v>5069.0985721034203</v>
      </c>
      <c r="S6" s="15">
        <f t="shared" si="0"/>
        <v>5069.0985721034203</v>
      </c>
      <c r="T6" s="15">
        <f t="shared" si="0"/>
        <v>5069.0985721034203</v>
      </c>
      <c r="U6" s="15">
        <f t="shared" si="0"/>
        <v>5069.0985721034203</v>
      </c>
      <c r="V6" s="15">
        <f t="shared" si="0"/>
        <v>5069.0985721034203</v>
      </c>
      <c r="W6" s="15">
        <f t="shared" si="0"/>
        <v>5069.0985721034203</v>
      </c>
      <c r="X6" s="15">
        <f t="shared" si="0"/>
        <v>5069.0985721034203</v>
      </c>
      <c r="Y6" s="15">
        <f t="shared" si="0"/>
        <v>5069.0985721034203</v>
      </c>
      <c r="Z6" s="15">
        <f t="shared" si="0"/>
        <v>5069.0985721034203</v>
      </c>
      <c r="AA6" s="15">
        <f t="shared" si="0"/>
        <v>5069.0985721034203</v>
      </c>
      <c r="AB6" s="15">
        <f t="shared" si="0"/>
        <v>5069.0985721034203</v>
      </c>
      <c r="AC6" s="15">
        <f t="shared" si="0"/>
        <v>5069.0985721034203</v>
      </c>
      <c r="AD6" s="15">
        <f t="shared" si="0"/>
        <v>5069.0985721034203</v>
      </c>
      <c r="AE6" s="15">
        <f t="shared" si="0"/>
        <v>5069.0985721034203</v>
      </c>
      <c r="AF6" s="15">
        <f t="shared" si="0"/>
        <v>5069.0985721034203</v>
      </c>
      <c r="AG6" s="15">
        <f t="shared" si="0"/>
        <v>5069.0985721034203</v>
      </c>
      <c r="AH6" s="15">
        <f t="shared" si="0"/>
        <v>5069.0985721034203</v>
      </c>
      <c r="AI6" s="15">
        <f t="shared" si="0"/>
        <v>5069.0985721034203</v>
      </c>
      <c r="AJ6" s="15">
        <f t="shared" si="0"/>
        <v>5069.0985721034203</v>
      </c>
      <c r="AK6" s="15">
        <f t="shared" si="0"/>
        <v>5069.0985721034203</v>
      </c>
      <c r="AL6" s="15">
        <f t="shared" si="0"/>
        <v>5069.0985721034203</v>
      </c>
      <c r="AM6" s="15">
        <f t="shared" si="0"/>
        <v>5069.0985721034203</v>
      </c>
      <c r="AN6" s="15">
        <f t="shared" si="0"/>
        <v>5069.0985721034203</v>
      </c>
      <c r="AO6" s="15">
        <f t="shared" si="0"/>
        <v>5069.0985721034203</v>
      </c>
      <c r="AP6" s="15">
        <f t="shared" si="0"/>
        <v>5069.0985721034203</v>
      </c>
      <c r="AQ6" s="15">
        <f t="shared" si="0"/>
        <v>5069.0985721034203</v>
      </c>
      <c r="AR6" s="15">
        <f t="shared" si="0"/>
        <v>5069.0985721034203</v>
      </c>
      <c r="AS6" s="15">
        <f t="shared" si="0"/>
        <v>5069.0985721034203</v>
      </c>
      <c r="AT6" s="15">
        <f t="shared" si="0"/>
        <v>5069.0985721034203</v>
      </c>
      <c r="AU6" s="15">
        <f t="shared" si="0"/>
        <v>5069.0985721034203</v>
      </c>
      <c r="AV6" s="15">
        <f t="shared" si="0"/>
        <v>5069.0985721034203</v>
      </c>
      <c r="AW6" s="15">
        <f t="shared" si="0"/>
        <v>5069.0985721034203</v>
      </c>
      <c r="AX6" s="15">
        <f t="shared" si="0"/>
        <v>5069.0985721034203</v>
      </c>
      <c r="AY6" s="15">
        <f t="shared" si="0"/>
        <v>5069.0985721034203</v>
      </c>
      <c r="AZ6" s="15">
        <f t="shared" si="0"/>
        <v>5069.0985721034203</v>
      </c>
      <c r="BA6" s="15">
        <f t="shared" si="0"/>
        <v>5069.0985721034203</v>
      </c>
      <c r="BB6" s="15">
        <f t="shared" si="0"/>
        <v>5069.0985721034203</v>
      </c>
      <c r="BC6" s="15">
        <f t="shared" si="0"/>
        <v>5069.0985721034203</v>
      </c>
      <c r="BD6" s="15">
        <f t="shared" si="0"/>
        <v>5069.0985721034203</v>
      </c>
      <c r="BE6" s="15">
        <f t="shared" si="0"/>
        <v>5069.0985721034203</v>
      </c>
      <c r="BF6" s="15">
        <f t="shared" si="0"/>
        <v>5069.0985721034203</v>
      </c>
      <c r="BG6" s="15">
        <f t="shared" si="0"/>
        <v>5069.0985721034203</v>
      </c>
      <c r="BH6" s="15">
        <f t="shared" si="0"/>
        <v>5069.0985721034203</v>
      </c>
      <c r="BI6" s="15">
        <f t="shared" si="0"/>
        <v>5069.0985721034203</v>
      </c>
      <c r="BJ6" s="15">
        <f t="shared" si="0"/>
        <v>5069.0985721034203</v>
      </c>
      <c r="BK6" s="15">
        <f t="shared" si="0"/>
        <v>5069.0985721034203</v>
      </c>
      <c r="BL6" s="15">
        <f t="shared" si="0"/>
        <v>5069.0985721034203</v>
      </c>
      <c r="BM6" s="15">
        <f t="shared" si="0"/>
        <v>5069.0985721034203</v>
      </c>
      <c r="BN6" s="15">
        <f t="shared" si="0"/>
        <v>5069.0985721034203</v>
      </c>
      <c r="BO6" s="15">
        <f t="shared" si="0"/>
        <v>5069.0985721034203</v>
      </c>
      <c r="BP6" s="15">
        <f t="shared" si="0"/>
        <v>5069.0985721034203</v>
      </c>
      <c r="BQ6" s="15">
        <f t="shared" si="0"/>
        <v>5069.0985721034203</v>
      </c>
      <c r="BR6" s="15">
        <f t="shared" si="0"/>
        <v>5069.0985721034203</v>
      </c>
      <c r="BS6" s="15">
        <f t="shared" si="0"/>
        <v>5069.0985721034203</v>
      </c>
      <c r="BT6" s="15">
        <f t="shared" si="0"/>
        <v>5069.0985721034203</v>
      </c>
    </row>
    <row r="7" spans="1:72" x14ac:dyDescent="0.3">
      <c r="I7" t="s">
        <v>220</v>
      </c>
      <c r="M7" s="41">
        <f>L16*M13</f>
        <v>1666.6666666666667</v>
      </c>
      <c r="N7" s="14">
        <f t="shared" ref="N7:AS7" si="1">M11*$L16</f>
        <v>1643.9837872970884</v>
      </c>
      <c r="O7" s="14">
        <f t="shared" si="1"/>
        <v>1621.1496887317128</v>
      </c>
      <c r="P7" s="14">
        <f t="shared" si="1"/>
        <v>1598.1633628425679</v>
      </c>
      <c r="Q7" s="14">
        <f t="shared" si="1"/>
        <v>1575.0237947808291</v>
      </c>
      <c r="R7" s="14">
        <f t="shared" si="1"/>
        <v>1551.7299629320119</v>
      </c>
      <c r="S7" s="14">
        <f t="shared" si="1"/>
        <v>1528.280838870869</v>
      </c>
      <c r="T7" s="14">
        <f t="shared" si="1"/>
        <v>1504.6753873159853</v>
      </c>
      <c r="U7" s="14">
        <f t="shared" si="1"/>
        <v>1480.9125660840691</v>
      </c>
      <c r="V7" s="14">
        <f t="shared" si="1"/>
        <v>1456.99132604394</v>
      </c>
      <c r="W7" s="14">
        <f t="shared" si="1"/>
        <v>1432.9106110702101</v>
      </c>
      <c r="X7" s="14">
        <f t="shared" si="1"/>
        <v>1408.6693579966554</v>
      </c>
      <c r="Y7" s="14">
        <f t="shared" si="1"/>
        <v>1384.266496569277</v>
      </c>
      <c r="Z7" s="14">
        <f t="shared" si="1"/>
        <v>1359.7009493990495</v>
      </c>
      <c r="AA7" s="14">
        <f t="shared" si="1"/>
        <v>1334.9716319143536</v>
      </c>
      <c r="AB7" s="14">
        <f t="shared" si="1"/>
        <v>1310.0774523130931</v>
      </c>
      <c r="AC7" s="14">
        <f t="shared" si="1"/>
        <v>1285.017311514491</v>
      </c>
      <c r="AD7" s="14">
        <f t="shared" si="1"/>
        <v>1259.7901031105648</v>
      </c>
      <c r="AE7" s="14">
        <f t="shared" si="1"/>
        <v>1234.3947133172792</v>
      </c>
      <c r="AF7" s="14">
        <f t="shared" si="1"/>
        <v>1208.8300209253714</v>
      </c>
      <c r="AG7" s="14">
        <f t="shared" si="1"/>
        <v>1183.0948972508511</v>
      </c>
      <c r="AH7" s="14">
        <f t="shared" si="1"/>
        <v>1157.1882060851674</v>
      </c>
      <c r="AI7" s="14">
        <f t="shared" si="1"/>
        <v>1131.1088036450458</v>
      </c>
      <c r="AJ7" s="14">
        <f t="shared" si="1"/>
        <v>1104.8555385219897</v>
      </c>
      <c r="AK7" s="14">
        <f t="shared" si="1"/>
        <v>1078.4272516314468</v>
      </c>
      <c r="AL7" s="14">
        <f t="shared" si="1"/>
        <v>1051.8227761616338</v>
      </c>
      <c r="AM7" s="14">
        <f t="shared" si="1"/>
        <v>1025.0409375220217</v>
      </c>
      <c r="AN7" s="14">
        <f t="shared" si="1"/>
        <v>998.08055329147908</v>
      </c>
      <c r="AO7" s="14">
        <f t="shared" si="1"/>
        <v>970.9404331660661</v>
      </c>
      <c r="AP7" s="14">
        <f t="shared" si="1"/>
        <v>943.6193789064838</v>
      </c>
      <c r="AQ7" s="14">
        <f t="shared" si="1"/>
        <v>916.11618428517102</v>
      </c>
      <c r="AR7" s="14">
        <f t="shared" si="1"/>
        <v>888.42963503304929</v>
      </c>
      <c r="AS7" s="14">
        <f t="shared" si="1"/>
        <v>860.55850878591355</v>
      </c>
      <c r="AT7" s="14">
        <f t="shared" ref="AT7:BT7" si="2">AS11*$L16</f>
        <v>832.50157503046353</v>
      </c>
      <c r="AU7" s="14">
        <f t="shared" si="2"/>
        <v>804.25759504997723</v>
      </c>
      <c r="AV7" s="14">
        <f t="shared" si="2"/>
        <v>775.82532186962089</v>
      </c>
      <c r="AW7" s="14">
        <f t="shared" si="2"/>
        <v>747.20350020139551</v>
      </c>
      <c r="AX7" s="14">
        <f t="shared" si="2"/>
        <v>718.39086638871538</v>
      </c>
      <c r="AY7" s="14">
        <f t="shared" si="2"/>
        <v>689.3861483506173</v>
      </c>
      <c r="AZ7" s="14">
        <f t="shared" si="2"/>
        <v>660.18806552559863</v>
      </c>
      <c r="BA7" s="14">
        <f t="shared" si="2"/>
        <v>630.79532881507976</v>
      </c>
      <c r="BB7" s="14">
        <f t="shared" si="2"/>
        <v>601.20664052649079</v>
      </c>
      <c r="BC7" s="14">
        <f t="shared" si="2"/>
        <v>571.42069431597793</v>
      </c>
      <c r="BD7" s="14">
        <f t="shared" si="2"/>
        <v>541.43617513072832</v>
      </c>
      <c r="BE7" s="14">
        <f t="shared" si="2"/>
        <v>511.25175915091029</v>
      </c>
      <c r="BF7" s="14">
        <f t="shared" si="2"/>
        <v>480.8661137312269</v>
      </c>
      <c r="BG7" s="14">
        <f t="shared" si="2"/>
        <v>450.27789734207892</v>
      </c>
      <c r="BH7" s="14">
        <f t="shared" si="2"/>
        <v>419.48575951033661</v>
      </c>
      <c r="BI7" s="14">
        <f t="shared" si="2"/>
        <v>388.48834075971604</v>
      </c>
      <c r="BJ7" s="14">
        <f t="shared" si="2"/>
        <v>357.28427255075803</v>
      </c>
      <c r="BK7" s="14">
        <f t="shared" si="2"/>
        <v>325.87217722040697</v>
      </c>
      <c r="BL7" s="14">
        <f t="shared" si="2"/>
        <v>294.25066792118685</v>
      </c>
      <c r="BM7" s="14">
        <f t="shared" si="2"/>
        <v>262.41834855997195</v>
      </c>
      <c r="BN7" s="14">
        <f t="shared" si="2"/>
        <v>230.37381373634892</v>
      </c>
      <c r="BO7" s="14">
        <f t="shared" si="2"/>
        <v>198.11564868056846</v>
      </c>
      <c r="BP7" s="14">
        <f t="shared" si="2"/>
        <v>165.64242919108275</v>
      </c>
      <c r="BQ7" s="14">
        <f t="shared" si="2"/>
        <v>132.95272157166715</v>
      </c>
      <c r="BR7" s="14">
        <f t="shared" si="2"/>
        <v>100.04508256812214</v>
      </c>
      <c r="BS7" s="14">
        <f t="shared" si="2"/>
        <v>66.918059304553495</v>
      </c>
      <c r="BT7" s="14">
        <f t="shared" si="2"/>
        <v>33.570189219227714</v>
      </c>
    </row>
    <row r="8" spans="1:72" x14ac:dyDescent="0.3">
      <c r="I8" t="s">
        <v>221</v>
      </c>
      <c r="M8" s="73">
        <f>M6-M7</f>
        <v>3402.4319054367534</v>
      </c>
      <c r="N8" s="74">
        <f>N6-N7</f>
        <v>3425.114784806332</v>
      </c>
      <c r="O8" s="74">
        <f t="shared" ref="O8:BT8" si="3">O6-O7</f>
        <v>3447.9488833717078</v>
      </c>
      <c r="P8" s="74">
        <f t="shared" si="3"/>
        <v>3470.9352092608524</v>
      </c>
      <c r="Q8" s="74">
        <f t="shared" si="3"/>
        <v>3494.0747773225912</v>
      </c>
      <c r="R8" s="74">
        <f t="shared" si="3"/>
        <v>3517.3686091714085</v>
      </c>
      <c r="S8" s="74">
        <f t="shared" si="3"/>
        <v>3540.8177332325513</v>
      </c>
      <c r="T8" s="74">
        <f t="shared" si="3"/>
        <v>3564.4231847874353</v>
      </c>
      <c r="U8" s="74">
        <f t="shared" si="3"/>
        <v>3588.1860060193512</v>
      </c>
      <c r="V8" s="74">
        <f t="shared" si="3"/>
        <v>3612.1072460594805</v>
      </c>
      <c r="W8" s="74">
        <f t="shared" si="3"/>
        <v>3636.1879610332103</v>
      </c>
      <c r="X8" s="74">
        <f t="shared" si="3"/>
        <v>3660.4292141067649</v>
      </c>
      <c r="Y8" s="74">
        <f t="shared" si="3"/>
        <v>3684.8320755341433</v>
      </c>
      <c r="Z8" s="74">
        <f t="shared" si="3"/>
        <v>3709.3976227043709</v>
      </c>
      <c r="AA8" s="74">
        <f t="shared" si="3"/>
        <v>3734.1269401890668</v>
      </c>
      <c r="AB8" s="74">
        <f t="shared" si="3"/>
        <v>3759.0211197903272</v>
      </c>
      <c r="AC8" s="74">
        <f t="shared" si="3"/>
        <v>3784.0812605889296</v>
      </c>
      <c r="AD8" s="74">
        <f t="shared" si="3"/>
        <v>3809.3084689928555</v>
      </c>
      <c r="AE8" s="74">
        <f t="shared" si="3"/>
        <v>3834.7038587861412</v>
      </c>
      <c r="AF8" s="74">
        <f t="shared" si="3"/>
        <v>3860.2685511780492</v>
      </c>
      <c r="AG8" s="74">
        <f t="shared" si="3"/>
        <v>3886.003674852569</v>
      </c>
      <c r="AH8" s="74">
        <f t="shared" si="3"/>
        <v>3911.9103660182527</v>
      </c>
      <c r="AI8" s="74">
        <f t="shared" si="3"/>
        <v>3937.9897684583748</v>
      </c>
      <c r="AJ8" s="74">
        <f t="shared" si="3"/>
        <v>3964.2430335814306</v>
      </c>
      <c r="AK8" s="74">
        <f t="shared" si="3"/>
        <v>3990.6713204719736</v>
      </c>
      <c r="AL8" s="74">
        <f t="shared" si="3"/>
        <v>4017.2757959417868</v>
      </c>
      <c r="AM8" s="74">
        <f t="shared" si="3"/>
        <v>4044.0576345813988</v>
      </c>
      <c r="AN8" s="74">
        <f t="shared" si="3"/>
        <v>4071.0180188119411</v>
      </c>
      <c r="AO8" s="74">
        <f t="shared" si="3"/>
        <v>4098.1581389373541</v>
      </c>
      <c r="AP8" s="74">
        <f t="shared" si="3"/>
        <v>4125.4791931969366</v>
      </c>
      <c r="AQ8" s="74">
        <f t="shared" si="3"/>
        <v>4152.9823878182497</v>
      </c>
      <c r="AR8" s="74">
        <f t="shared" si="3"/>
        <v>4180.6689370703707</v>
      </c>
      <c r="AS8" s="74">
        <f t="shared" si="3"/>
        <v>4208.5400633175068</v>
      </c>
      <c r="AT8" s="74">
        <f t="shared" si="3"/>
        <v>4236.5969970729566</v>
      </c>
      <c r="AU8" s="74">
        <f t="shared" si="3"/>
        <v>4264.8409770534436</v>
      </c>
      <c r="AV8" s="74">
        <f t="shared" si="3"/>
        <v>4293.2732502337994</v>
      </c>
      <c r="AW8" s="74">
        <f t="shared" si="3"/>
        <v>4321.8950719020249</v>
      </c>
      <c r="AX8" s="74">
        <f t="shared" si="3"/>
        <v>4350.7077057147053</v>
      </c>
      <c r="AY8" s="74">
        <f t="shared" si="3"/>
        <v>4379.7124237528033</v>
      </c>
      <c r="AZ8" s="74">
        <f t="shared" si="3"/>
        <v>4408.9105065778222</v>
      </c>
      <c r="BA8" s="74">
        <f t="shared" si="3"/>
        <v>4438.303243288341</v>
      </c>
      <c r="BB8" s="74">
        <f t="shared" si="3"/>
        <v>4467.8919315769299</v>
      </c>
      <c r="BC8" s="74">
        <f t="shared" si="3"/>
        <v>4497.6778777874424</v>
      </c>
      <c r="BD8" s="74">
        <f t="shared" si="3"/>
        <v>4527.6623969726916</v>
      </c>
      <c r="BE8" s="74">
        <f t="shared" si="3"/>
        <v>4557.8468129525099</v>
      </c>
      <c r="BF8" s="74">
        <f t="shared" si="3"/>
        <v>4588.2324583721938</v>
      </c>
      <c r="BG8" s="74">
        <f t="shared" si="3"/>
        <v>4618.8206747613413</v>
      </c>
      <c r="BH8" s="74">
        <f t="shared" si="3"/>
        <v>4649.6128125930836</v>
      </c>
      <c r="BI8" s="74">
        <f t="shared" si="3"/>
        <v>4680.6102313437041</v>
      </c>
      <c r="BJ8" s="74">
        <f t="shared" si="3"/>
        <v>4711.8142995526623</v>
      </c>
      <c r="BK8" s="74">
        <f t="shared" si="3"/>
        <v>4743.2263948830132</v>
      </c>
      <c r="BL8" s="74">
        <f t="shared" si="3"/>
        <v>4774.8479041822338</v>
      </c>
      <c r="BM8" s="74">
        <f t="shared" si="3"/>
        <v>4806.6802235434479</v>
      </c>
      <c r="BN8" s="74">
        <f t="shared" si="3"/>
        <v>4838.7247583670714</v>
      </c>
      <c r="BO8" s="74">
        <f t="shared" si="3"/>
        <v>4870.9829234228519</v>
      </c>
      <c r="BP8" s="74">
        <f t="shared" si="3"/>
        <v>4903.4561429123378</v>
      </c>
      <c r="BQ8" s="74">
        <f t="shared" si="3"/>
        <v>4936.1458505317532</v>
      </c>
      <c r="BR8" s="74">
        <f t="shared" si="3"/>
        <v>4969.0534895352985</v>
      </c>
      <c r="BS8" s="74">
        <f t="shared" si="3"/>
        <v>5002.1805127988664</v>
      </c>
      <c r="BT8" s="74">
        <f t="shared" si="3"/>
        <v>5035.528382884193</v>
      </c>
    </row>
    <row r="9" spans="1:72" x14ac:dyDescent="0.3">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row>
    <row r="10" spans="1:72" x14ac:dyDescent="0.3">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row>
    <row r="11" spans="1:72" ht="15" thickBot="1" x14ac:dyDescent="0.35">
      <c r="I11" t="s">
        <v>222</v>
      </c>
      <c r="M11" s="71">
        <f>+M13-M8</f>
        <v>246597.56809456323</v>
      </c>
      <c r="N11" s="72">
        <f t="shared" ref="N11:BT11" si="4">+M11-N8</f>
        <v>243172.45330975691</v>
      </c>
      <c r="O11" s="72">
        <f t="shared" si="4"/>
        <v>239724.50442638519</v>
      </c>
      <c r="P11" s="72">
        <f t="shared" si="4"/>
        <v>236253.56921712434</v>
      </c>
      <c r="Q11" s="72">
        <f t="shared" si="4"/>
        <v>232759.49443980175</v>
      </c>
      <c r="R11" s="72">
        <f t="shared" si="4"/>
        <v>229242.12583063034</v>
      </c>
      <c r="S11" s="72">
        <f t="shared" si="4"/>
        <v>225701.30809739779</v>
      </c>
      <c r="T11" s="72">
        <f t="shared" si="4"/>
        <v>222136.88491261035</v>
      </c>
      <c r="U11" s="72">
        <f t="shared" si="4"/>
        <v>218548.69890659099</v>
      </c>
      <c r="V11" s="72">
        <f t="shared" si="4"/>
        <v>214936.5916605315</v>
      </c>
      <c r="W11" s="72">
        <f t="shared" si="4"/>
        <v>211300.4036994983</v>
      </c>
      <c r="X11" s="72">
        <f t="shared" si="4"/>
        <v>207639.97448539155</v>
      </c>
      <c r="Y11" s="72">
        <f t="shared" si="4"/>
        <v>203955.14240985739</v>
      </c>
      <c r="Z11" s="72">
        <f t="shared" si="4"/>
        <v>200245.74478715303</v>
      </c>
      <c r="AA11" s="72">
        <f t="shared" si="4"/>
        <v>196511.61784696396</v>
      </c>
      <c r="AB11" s="72">
        <f t="shared" si="4"/>
        <v>192752.59672717363</v>
      </c>
      <c r="AC11" s="72">
        <f t="shared" si="4"/>
        <v>188968.51546658471</v>
      </c>
      <c r="AD11" s="72">
        <f t="shared" si="4"/>
        <v>185159.20699759186</v>
      </c>
      <c r="AE11" s="72">
        <f t="shared" si="4"/>
        <v>181324.50313880571</v>
      </c>
      <c r="AF11" s="72">
        <f t="shared" si="4"/>
        <v>177464.23458762767</v>
      </c>
      <c r="AG11" s="72">
        <f t="shared" si="4"/>
        <v>173578.23091277509</v>
      </c>
      <c r="AH11" s="72">
        <f t="shared" si="4"/>
        <v>169666.32054675685</v>
      </c>
      <c r="AI11" s="72">
        <f t="shared" si="4"/>
        <v>165728.33077829846</v>
      </c>
      <c r="AJ11" s="72">
        <f t="shared" si="4"/>
        <v>161764.08774471702</v>
      </c>
      <c r="AK11" s="72">
        <f t="shared" si="4"/>
        <v>157773.41642424505</v>
      </c>
      <c r="AL11" s="72">
        <f t="shared" si="4"/>
        <v>153756.14062830326</v>
      </c>
      <c r="AM11" s="72">
        <f t="shared" si="4"/>
        <v>149712.08299372185</v>
      </c>
      <c r="AN11" s="72">
        <f t="shared" si="4"/>
        <v>145641.06497490991</v>
      </c>
      <c r="AO11" s="72">
        <f t="shared" si="4"/>
        <v>141542.90683597256</v>
      </c>
      <c r="AP11" s="72">
        <f t="shared" si="4"/>
        <v>137417.42764277564</v>
      </c>
      <c r="AQ11" s="72">
        <f t="shared" si="4"/>
        <v>133264.44525495739</v>
      </c>
      <c r="AR11" s="72">
        <f t="shared" si="4"/>
        <v>129083.77631788702</v>
      </c>
      <c r="AS11" s="72">
        <f t="shared" si="4"/>
        <v>124875.23625456952</v>
      </c>
      <c r="AT11" s="72">
        <f t="shared" si="4"/>
        <v>120638.63925749657</v>
      </c>
      <c r="AU11" s="72">
        <f t="shared" si="4"/>
        <v>116373.79828044312</v>
      </c>
      <c r="AV11" s="72">
        <f t="shared" si="4"/>
        <v>112080.52503020932</v>
      </c>
      <c r="AW11" s="72">
        <f t="shared" si="4"/>
        <v>107758.6299583073</v>
      </c>
      <c r="AX11" s="72">
        <f t="shared" si="4"/>
        <v>103407.92225259259</v>
      </c>
      <c r="AY11" s="72">
        <f t="shared" si="4"/>
        <v>99028.209828839783</v>
      </c>
      <c r="AZ11" s="72">
        <f t="shared" si="4"/>
        <v>94619.299322261955</v>
      </c>
      <c r="BA11" s="72">
        <f t="shared" si="4"/>
        <v>90180.996078973607</v>
      </c>
      <c r="BB11" s="72">
        <f t="shared" si="4"/>
        <v>85713.104147396676</v>
      </c>
      <c r="BC11" s="72">
        <f t="shared" si="4"/>
        <v>81215.426269609234</v>
      </c>
      <c r="BD11" s="72">
        <f t="shared" si="4"/>
        <v>76687.76387263654</v>
      </c>
      <c r="BE11" s="72">
        <f t="shared" si="4"/>
        <v>72129.917059684027</v>
      </c>
      <c r="BF11" s="72">
        <f t="shared" si="4"/>
        <v>67541.684601311834</v>
      </c>
      <c r="BG11" s="72">
        <f t="shared" si="4"/>
        <v>62922.86392655049</v>
      </c>
      <c r="BH11" s="72">
        <f t="shared" si="4"/>
        <v>58273.251113957405</v>
      </c>
      <c r="BI11" s="72">
        <f t="shared" si="4"/>
        <v>53592.640882613705</v>
      </c>
      <c r="BJ11" s="72">
        <f t="shared" si="4"/>
        <v>48880.82658306104</v>
      </c>
      <c r="BK11" s="72">
        <f t="shared" si="4"/>
        <v>44137.600188178025</v>
      </c>
      <c r="BL11" s="72">
        <f t="shared" si="4"/>
        <v>39362.752283995789</v>
      </c>
      <c r="BM11" s="72">
        <f t="shared" si="4"/>
        <v>34556.072060452338</v>
      </c>
      <c r="BN11" s="72">
        <f t="shared" si="4"/>
        <v>29717.347302085265</v>
      </c>
      <c r="BO11" s="72">
        <f t="shared" si="4"/>
        <v>24846.364378662412</v>
      </c>
      <c r="BP11" s="72">
        <f t="shared" si="4"/>
        <v>19942.908235750074</v>
      </c>
      <c r="BQ11" s="72">
        <f t="shared" si="4"/>
        <v>15006.762385218321</v>
      </c>
      <c r="BR11" s="72">
        <f t="shared" si="4"/>
        <v>10037.708895683023</v>
      </c>
      <c r="BS11" s="72">
        <f t="shared" si="4"/>
        <v>5035.5283828841566</v>
      </c>
      <c r="BT11" s="72">
        <f t="shared" si="4"/>
        <v>-3.637978807091713E-11</v>
      </c>
    </row>
    <row r="12" spans="1:72" ht="15" thickTop="1" x14ac:dyDescent="0.3"/>
    <row r="13" spans="1:72" x14ac:dyDescent="0.3">
      <c r="I13" s="42" t="s">
        <v>221</v>
      </c>
      <c r="J13" s="42"/>
      <c r="K13" s="42"/>
      <c r="M13" s="43">
        <v>250000</v>
      </c>
    </row>
    <row r="14" spans="1:72" x14ac:dyDescent="0.3">
      <c r="I14" s="44"/>
      <c r="J14" s="44"/>
      <c r="K14" s="44"/>
      <c r="L14" s="44"/>
    </row>
    <row r="15" spans="1:72" x14ac:dyDescent="0.3">
      <c r="I15" s="42" t="s">
        <v>223</v>
      </c>
      <c r="J15" s="44"/>
      <c r="K15" s="44"/>
      <c r="L15" s="45">
        <v>0.08</v>
      </c>
    </row>
    <row r="16" spans="1:72" x14ac:dyDescent="0.3">
      <c r="I16" s="44" t="s">
        <v>224</v>
      </c>
      <c r="J16" s="44"/>
      <c r="K16" s="44"/>
      <c r="L16" s="46">
        <f>L15/L19</f>
        <v>6.6666666666666671E-3</v>
      </c>
    </row>
    <row r="17" spans="9:12" x14ac:dyDescent="0.3">
      <c r="I17" s="44"/>
      <c r="J17" s="44"/>
      <c r="K17" s="44"/>
      <c r="L17" s="46"/>
    </row>
    <row r="18" spans="9:12" x14ac:dyDescent="0.3">
      <c r="I18" s="42" t="s">
        <v>225</v>
      </c>
      <c r="J18" s="42"/>
      <c r="K18" s="42"/>
      <c r="L18" s="47">
        <v>5</v>
      </c>
    </row>
    <row r="19" spans="9:12" x14ac:dyDescent="0.3">
      <c r="I19" s="42" t="s">
        <v>226</v>
      </c>
      <c r="J19" s="42"/>
      <c r="K19" s="42"/>
      <c r="L19" s="47">
        <v>12</v>
      </c>
    </row>
    <row r="20" spans="9:12" x14ac:dyDescent="0.3">
      <c r="I20" s="44"/>
      <c r="J20" s="44"/>
      <c r="K20" s="44"/>
      <c r="L20" s="44"/>
    </row>
    <row r="21" spans="9:12" x14ac:dyDescent="0.3">
      <c r="I21" s="44" t="s">
        <v>219</v>
      </c>
      <c r="J21" s="44"/>
      <c r="K21" s="44"/>
      <c r="L21" s="48">
        <f>-PMT(L15/L19,L18*L19,M13)</f>
        <v>5069.0985721034203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Company Summary W Graphs</vt:lpstr>
      <vt:lpstr>Investor Table</vt:lpstr>
      <vt:lpstr>Rev</vt:lpstr>
      <vt:lpstr>Sales Rev</vt:lpstr>
      <vt:lpstr>Summary P&amp;L</vt:lpstr>
      <vt:lpstr>P&amp;L</vt:lpstr>
      <vt:lpstr>Balance Sheet</vt:lpstr>
      <vt:lpstr>HeadCount</vt:lpstr>
      <vt:lpstr>R&amp;D</vt:lpstr>
      <vt:lpstr>G&amp;A</vt:lpstr>
      <vt:lpstr>Sales &amp; Marketing</vt:lpstr>
      <vt:lpstr>CapEx</vt:lpstr>
      <vt:lpstr>Loan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Tanmay Sharma</cp:lastModifiedBy>
  <cp:revision/>
  <dcterms:created xsi:type="dcterms:W3CDTF">2025-02-19T01:46:33Z</dcterms:created>
  <dcterms:modified xsi:type="dcterms:W3CDTF">2025-03-10T23:34:39Z</dcterms:modified>
  <cp:category/>
  <cp:contentStatus/>
</cp:coreProperties>
</file>